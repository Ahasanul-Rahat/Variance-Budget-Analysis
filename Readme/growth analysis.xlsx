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KE\Downloads\"/>
    </mc:Choice>
  </mc:AlternateContent>
  <xr:revisionPtr revIDLastSave="0" documentId="8_{ED0C1A4A-411C-48BD-80C7-8C6D31C9981B}" xr6:coauthVersionLast="47" xr6:coauthVersionMax="47" xr10:uidLastSave="{00000000-0000-0000-0000-000000000000}"/>
  <bookViews>
    <workbookView xWindow="-108" yWindow="-108" windowWidth="23256" windowHeight="12456" xr2:uid="{72CC12D2-E744-4D4C-A466-C613D89FF2D6}"/>
  </bookViews>
  <sheets>
    <sheet name="Growth Analysis" sheetId="2" r:id="rId1"/>
    <sheet name="April - Jun (Q2) Collection" sheetId="3" r:id="rId2"/>
    <sheet name="April - Jun (Q2) Delivery Note" sheetId="4" r:id="rId3"/>
  </sheets>
  <externalReferences>
    <externalReference r:id="rId4"/>
    <externalReference r:id="rId5"/>
  </externalReferences>
  <definedNames>
    <definedName name="_xlnm._FilterDatabase" localSheetId="1" hidden="1">'April - Jun (Q2) Collection'!$A$4:$AB$347</definedName>
    <definedName name="_xlnm._FilterDatabase" localSheetId="2" hidden="1">'April - Jun (Q2) Delivery Note'!$A$4:$AA$347</definedName>
    <definedName name="_xlnm._FilterDatabase" localSheetId="0" hidden="1">'Growth Analysis'!$A$4:$N$339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39" i="4" l="1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I163" i="4"/>
  <c r="Q3" i="3"/>
  <c r="P3" i="3"/>
  <c r="O3" i="3"/>
  <c r="F335" i="3"/>
  <c r="F334" i="3"/>
  <c r="F333" i="3"/>
  <c r="F332" i="3"/>
  <c r="H332" i="3" s="1"/>
  <c r="F331" i="3"/>
  <c r="F330" i="3"/>
  <c r="F329" i="3"/>
  <c r="F328" i="3"/>
  <c r="H328" i="3" s="1"/>
  <c r="F327" i="3"/>
  <c r="F326" i="3"/>
  <c r="F324" i="3"/>
  <c r="F323" i="3"/>
  <c r="H323" i="3" s="1"/>
  <c r="F322" i="3"/>
  <c r="F321" i="3"/>
  <c r="F320" i="3"/>
  <c r="F319" i="3"/>
  <c r="H319" i="3" s="1"/>
  <c r="F318" i="3"/>
  <c r="F317" i="3"/>
  <c r="F316" i="3"/>
  <c r="F314" i="3"/>
  <c r="H314" i="3" s="1"/>
  <c r="F313" i="3"/>
  <c r="F312" i="3"/>
  <c r="F311" i="3"/>
  <c r="F308" i="3"/>
  <c r="F307" i="3"/>
  <c r="F306" i="3"/>
  <c r="F305" i="3"/>
  <c r="F304" i="3"/>
  <c r="H304" i="3" s="1"/>
  <c r="F303" i="3"/>
  <c r="F302" i="3"/>
  <c r="F301" i="3"/>
  <c r="F300" i="3"/>
  <c r="H300" i="3" s="1"/>
  <c r="F299" i="3"/>
  <c r="F298" i="3"/>
  <c r="F296" i="3"/>
  <c r="F295" i="3"/>
  <c r="H295" i="3" s="1"/>
  <c r="F294" i="3"/>
  <c r="F293" i="3"/>
  <c r="F292" i="3"/>
  <c r="F291" i="3"/>
  <c r="H291" i="3" s="1"/>
  <c r="F290" i="3"/>
  <c r="F288" i="3"/>
  <c r="F287" i="3"/>
  <c r="F286" i="3"/>
  <c r="H286" i="3" s="1"/>
  <c r="F285" i="3"/>
  <c r="F284" i="3"/>
  <c r="F283" i="3"/>
  <c r="F282" i="3"/>
  <c r="H282" i="3" s="1"/>
  <c r="O282" i="3" s="1"/>
  <c r="F281" i="3"/>
  <c r="F280" i="3"/>
  <c r="F276" i="3"/>
  <c r="F275" i="3"/>
  <c r="H275" i="3" s="1"/>
  <c r="F274" i="3"/>
  <c r="F273" i="3"/>
  <c r="F272" i="3"/>
  <c r="F271" i="3"/>
  <c r="H271" i="3" s="1"/>
  <c r="F269" i="3"/>
  <c r="F268" i="3"/>
  <c r="F267" i="3"/>
  <c r="F266" i="3"/>
  <c r="F270" i="3" s="1"/>
  <c r="H270" i="3" s="1"/>
  <c r="O270" i="3" s="1"/>
  <c r="F265" i="3"/>
  <c r="F264" i="3"/>
  <c r="F262" i="3"/>
  <c r="F261" i="3"/>
  <c r="F263" i="3" s="1"/>
  <c r="F260" i="3"/>
  <c r="F259" i="3"/>
  <c r="F258" i="3"/>
  <c r="F256" i="3"/>
  <c r="H256" i="3" s="1"/>
  <c r="F255" i="3"/>
  <c r="F254" i="3"/>
  <c r="F253" i="3"/>
  <c r="F252" i="3"/>
  <c r="H252" i="3" s="1"/>
  <c r="F251" i="3"/>
  <c r="F248" i="3"/>
  <c r="F247" i="3"/>
  <c r="F246" i="3"/>
  <c r="H246" i="3" s="1"/>
  <c r="O246" i="3" s="1"/>
  <c r="F245" i="3"/>
  <c r="F244" i="3"/>
  <c r="F243" i="3"/>
  <c r="F242" i="3"/>
  <c r="H242" i="3" s="1"/>
  <c r="F241" i="3"/>
  <c r="F239" i="3"/>
  <c r="F238" i="3"/>
  <c r="F237" i="3"/>
  <c r="H237" i="3" s="1"/>
  <c r="O237" i="3" s="1"/>
  <c r="F236" i="3"/>
  <c r="F235" i="3"/>
  <c r="F234" i="3"/>
  <c r="F233" i="3"/>
  <c r="H233" i="3" s="1"/>
  <c r="O233" i="3" s="1"/>
  <c r="F232" i="3"/>
  <c r="F231" i="3"/>
  <c r="F228" i="3"/>
  <c r="F227" i="3"/>
  <c r="F229" i="3" s="1"/>
  <c r="H229" i="3" s="1"/>
  <c r="F226" i="3"/>
  <c r="F225" i="3"/>
  <c r="F223" i="3"/>
  <c r="F222" i="3"/>
  <c r="H222" i="3" s="1"/>
  <c r="F221" i="3"/>
  <c r="F220" i="3"/>
  <c r="F219" i="3"/>
  <c r="F218" i="3"/>
  <c r="H218" i="3" s="1"/>
  <c r="F217" i="3"/>
  <c r="F216" i="3"/>
  <c r="F214" i="3"/>
  <c r="F213" i="3"/>
  <c r="H213" i="3" s="1"/>
  <c r="O213" i="3" s="1"/>
  <c r="F212" i="3"/>
  <c r="F211" i="3"/>
  <c r="F210" i="3"/>
  <c r="F209" i="3"/>
  <c r="H209" i="3" s="1"/>
  <c r="O209" i="3" s="1"/>
  <c r="F205" i="3"/>
  <c r="F204" i="3"/>
  <c r="F203" i="3"/>
  <c r="F202" i="3"/>
  <c r="H202" i="3" s="1"/>
  <c r="F201" i="3"/>
  <c r="F200" i="3"/>
  <c r="F199" i="3"/>
  <c r="F198" i="3"/>
  <c r="H198" i="3" s="1"/>
  <c r="F196" i="3"/>
  <c r="F195" i="3"/>
  <c r="F194" i="3"/>
  <c r="F193" i="3"/>
  <c r="F197" i="3" s="1"/>
  <c r="H197" i="3" s="1"/>
  <c r="P197" i="3" s="1"/>
  <c r="F192" i="3"/>
  <c r="F190" i="3"/>
  <c r="F189" i="3"/>
  <c r="F188" i="3"/>
  <c r="H188" i="3" s="1"/>
  <c r="O188" i="3" s="1"/>
  <c r="F187" i="3"/>
  <c r="F186" i="3"/>
  <c r="F185" i="3"/>
  <c r="F183" i="3"/>
  <c r="H183" i="3" s="1"/>
  <c r="O183" i="3" s="1"/>
  <c r="F182" i="3"/>
  <c r="F181" i="3"/>
  <c r="F180" i="3"/>
  <c r="F179" i="3"/>
  <c r="F184" i="3" s="1"/>
  <c r="F178" i="3"/>
  <c r="F177" i="3"/>
  <c r="F176" i="3"/>
  <c r="F173" i="3"/>
  <c r="F172" i="3"/>
  <c r="F171" i="3"/>
  <c r="F170" i="3"/>
  <c r="F169" i="3"/>
  <c r="H169" i="3" s="1"/>
  <c r="F168" i="3"/>
  <c r="F167" i="3"/>
  <c r="F166" i="3"/>
  <c r="F165" i="3"/>
  <c r="F174" i="3" s="1"/>
  <c r="H174" i="3" s="1"/>
  <c r="F164" i="3"/>
  <c r="F162" i="3"/>
  <c r="F161" i="3"/>
  <c r="F160" i="3"/>
  <c r="F159" i="3"/>
  <c r="F158" i="3"/>
  <c r="F157" i="3"/>
  <c r="F156" i="3"/>
  <c r="F163" i="3" s="1"/>
  <c r="F155" i="3"/>
  <c r="F154" i="3"/>
  <c r="F152" i="3"/>
  <c r="F151" i="3"/>
  <c r="H151" i="3" s="1"/>
  <c r="F150" i="3"/>
  <c r="F149" i="3"/>
  <c r="F148" i="3"/>
  <c r="F147" i="3"/>
  <c r="H147" i="3" s="1"/>
  <c r="F146" i="3"/>
  <c r="F145" i="3"/>
  <c r="F142" i="3"/>
  <c r="F141" i="3"/>
  <c r="H141" i="3" s="1"/>
  <c r="F140" i="3"/>
  <c r="F139" i="3"/>
  <c r="F138" i="3"/>
  <c r="F137" i="3"/>
  <c r="F143" i="3" s="1"/>
  <c r="H143" i="3" s="1"/>
  <c r="F136" i="3"/>
  <c r="F134" i="3"/>
  <c r="F133" i="3"/>
  <c r="F132" i="3"/>
  <c r="H132" i="3" s="1"/>
  <c r="F131" i="3"/>
  <c r="F130" i="3"/>
  <c r="F129" i="3"/>
  <c r="F128" i="3"/>
  <c r="F135" i="3" s="1"/>
  <c r="H135" i="3" s="1"/>
  <c r="F127" i="3"/>
  <c r="F126" i="3"/>
  <c r="F124" i="3"/>
  <c r="F123" i="3"/>
  <c r="H123" i="3" s="1"/>
  <c r="F122" i="3"/>
  <c r="F121" i="3"/>
  <c r="F120" i="3"/>
  <c r="F119" i="3"/>
  <c r="H119" i="3" s="1"/>
  <c r="F118" i="3"/>
  <c r="F117" i="3"/>
  <c r="F116" i="3"/>
  <c r="F115" i="3"/>
  <c r="H115" i="3" s="1"/>
  <c r="F111" i="3"/>
  <c r="F110" i="3"/>
  <c r="F109" i="3"/>
  <c r="F108" i="3"/>
  <c r="H108" i="3" s="1"/>
  <c r="F107" i="3"/>
  <c r="F106" i="3"/>
  <c r="F104" i="3"/>
  <c r="F103" i="3"/>
  <c r="H103" i="3" s="1"/>
  <c r="F102" i="3"/>
  <c r="F101" i="3"/>
  <c r="F100" i="3"/>
  <c r="F99" i="3"/>
  <c r="F105" i="3" s="1"/>
  <c r="H105" i="3" s="1"/>
  <c r="P105" i="3" s="1"/>
  <c r="F98" i="3"/>
  <c r="F96" i="3"/>
  <c r="F95" i="3"/>
  <c r="F94" i="3"/>
  <c r="F93" i="3"/>
  <c r="F92" i="3"/>
  <c r="F91" i="3"/>
  <c r="F88" i="3"/>
  <c r="H88" i="3" s="1"/>
  <c r="F87" i="3"/>
  <c r="F86" i="3"/>
  <c r="F85" i="3"/>
  <c r="F84" i="3"/>
  <c r="F89" i="3" s="1"/>
  <c r="F83" i="3"/>
  <c r="F81" i="3"/>
  <c r="F80" i="3"/>
  <c r="F79" i="3"/>
  <c r="H79" i="3" s="1"/>
  <c r="P79" i="3" s="1"/>
  <c r="F78" i="3"/>
  <c r="F77" i="3"/>
  <c r="F76" i="3"/>
  <c r="F75" i="3"/>
  <c r="H75" i="3" s="1"/>
  <c r="P75" i="3" s="1"/>
  <c r="F74" i="3"/>
  <c r="F72" i="3"/>
  <c r="F71" i="3"/>
  <c r="F70" i="3"/>
  <c r="H70" i="3" s="1"/>
  <c r="F69" i="3"/>
  <c r="F68" i="3"/>
  <c r="F67" i="3"/>
  <c r="F66" i="3"/>
  <c r="F73" i="3" s="1"/>
  <c r="H73" i="3" s="1"/>
  <c r="F65" i="3"/>
  <c r="F64" i="3"/>
  <c r="F61" i="3"/>
  <c r="F60" i="3"/>
  <c r="H60" i="3" s="1"/>
  <c r="F59" i="3"/>
  <c r="F58" i="3"/>
  <c r="F57" i="3"/>
  <c r="F56" i="3"/>
  <c r="H56" i="3" s="1"/>
  <c r="P56" i="3" s="1"/>
  <c r="F55" i="3"/>
  <c r="F54" i="3"/>
  <c r="F52" i="3"/>
  <c r="F51" i="3"/>
  <c r="H51" i="3" s="1"/>
  <c r="P51" i="3" s="1"/>
  <c r="F50" i="3"/>
  <c r="F49" i="3"/>
  <c r="F48" i="3"/>
  <c r="F47" i="3"/>
  <c r="F53" i="3" s="1"/>
  <c r="F46" i="3"/>
  <c r="F45" i="3"/>
  <c r="F43" i="3"/>
  <c r="F42" i="3"/>
  <c r="H42" i="3" s="1"/>
  <c r="P42" i="3" s="1"/>
  <c r="F41" i="3"/>
  <c r="F40" i="3"/>
  <c r="F39" i="3"/>
  <c r="F38" i="3"/>
  <c r="H38" i="3" s="1"/>
  <c r="Q38" i="3" s="1"/>
  <c r="F35" i="3"/>
  <c r="F34" i="3"/>
  <c r="F33" i="3"/>
  <c r="F32" i="3"/>
  <c r="F31" i="3"/>
  <c r="F30" i="3"/>
  <c r="F29" i="3"/>
  <c r="F28" i="3"/>
  <c r="H28" i="3" s="1"/>
  <c r="Q28" i="3" s="1"/>
  <c r="F26" i="3"/>
  <c r="F25" i="3"/>
  <c r="F24" i="3"/>
  <c r="F23" i="3"/>
  <c r="H23" i="3" s="1"/>
  <c r="F22" i="3"/>
  <c r="F21" i="3"/>
  <c r="F19" i="3"/>
  <c r="F18" i="3"/>
  <c r="H18" i="3" s="1"/>
  <c r="Q18" i="3" s="1"/>
  <c r="F17" i="3"/>
  <c r="F16" i="3"/>
  <c r="F15" i="3"/>
  <c r="F14" i="3"/>
  <c r="F20" i="3" s="1"/>
  <c r="H20" i="3" s="1"/>
  <c r="F13" i="3"/>
  <c r="F11" i="3"/>
  <c r="F10" i="3"/>
  <c r="F9" i="3"/>
  <c r="H9" i="3" s="1"/>
  <c r="O9" i="3" s="1"/>
  <c r="F8" i="3"/>
  <c r="F7" i="3"/>
  <c r="F6" i="3"/>
  <c r="F5" i="3"/>
  <c r="E335" i="3"/>
  <c r="E334" i="3"/>
  <c r="E333" i="3"/>
  <c r="E332" i="3"/>
  <c r="I332" i="3" s="1"/>
  <c r="E331" i="3"/>
  <c r="E330" i="3"/>
  <c r="E329" i="3"/>
  <c r="E328" i="3"/>
  <c r="I328" i="3" s="1"/>
  <c r="E327" i="3"/>
  <c r="E326" i="3"/>
  <c r="E324" i="3"/>
  <c r="E323" i="3"/>
  <c r="I323" i="3" s="1"/>
  <c r="E322" i="3"/>
  <c r="E321" i="3"/>
  <c r="E320" i="3"/>
  <c r="E319" i="3"/>
  <c r="I319" i="3" s="1"/>
  <c r="E318" i="3"/>
  <c r="E317" i="3"/>
  <c r="E316" i="3"/>
  <c r="E314" i="3"/>
  <c r="E315" i="3" s="1"/>
  <c r="I315" i="3" s="1"/>
  <c r="E313" i="3"/>
  <c r="E312" i="3"/>
  <c r="E311" i="3"/>
  <c r="E308" i="3"/>
  <c r="I308" i="3" s="1"/>
  <c r="E307" i="3"/>
  <c r="E306" i="3"/>
  <c r="E305" i="3"/>
  <c r="E304" i="3"/>
  <c r="I304" i="3" s="1"/>
  <c r="E303" i="3"/>
  <c r="E302" i="3"/>
  <c r="E301" i="3"/>
  <c r="E300" i="3"/>
  <c r="E309" i="3" s="1"/>
  <c r="I309" i="3" s="1"/>
  <c r="E299" i="3"/>
  <c r="E298" i="3"/>
  <c r="E296" i="3"/>
  <c r="E295" i="3"/>
  <c r="G295" i="3" s="1"/>
  <c r="E294" i="3"/>
  <c r="E293" i="3"/>
  <c r="E292" i="3"/>
  <c r="E291" i="3"/>
  <c r="G291" i="3" s="1"/>
  <c r="E290" i="3"/>
  <c r="E288" i="3"/>
  <c r="E287" i="3"/>
  <c r="E286" i="3"/>
  <c r="G286" i="3" s="1"/>
  <c r="E285" i="3"/>
  <c r="E284" i="3"/>
  <c r="E283" i="3"/>
  <c r="E282" i="3"/>
  <c r="G282" i="3" s="1"/>
  <c r="E281" i="3"/>
  <c r="E280" i="3"/>
  <c r="E276" i="3"/>
  <c r="E275" i="3"/>
  <c r="G275" i="3" s="1"/>
  <c r="E274" i="3"/>
  <c r="E273" i="3"/>
  <c r="E272" i="3"/>
  <c r="E271" i="3"/>
  <c r="G271" i="3" s="1"/>
  <c r="E269" i="3"/>
  <c r="E268" i="3"/>
  <c r="E267" i="3"/>
  <c r="E266" i="3"/>
  <c r="G266" i="3" s="1"/>
  <c r="E265" i="3"/>
  <c r="E264" i="3"/>
  <c r="E262" i="3"/>
  <c r="E261" i="3"/>
  <c r="G261" i="3" s="1"/>
  <c r="E260" i="3"/>
  <c r="E259" i="3"/>
  <c r="E258" i="3"/>
  <c r="E256" i="3"/>
  <c r="I256" i="3" s="1"/>
  <c r="E255" i="3"/>
  <c r="E254" i="3"/>
  <c r="E253" i="3"/>
  <c r="E252" i="3"/>
  <c r="G252" i="3" s="1"/>
  <c r="E251" i="3"/>
  <c r="E248" i="3"/>
  <c r="E247" i="3"/>
  <c r="E246" i="3"/>
  <c r="G246" i="3" s="1"/>
  <c r="E245" i="3"/>
  <c r="E244" i="3"/>
  <c r="E243" i="3"/>
  <c r="E242" i="3"/>
  <c r="G242" i="3" s="1"/>
  <c r="E241" i="3"/>
  <c r="E239" i="3"/>
  <c r="E238" i="3"/>
  <c r="E237" i="3"/>
  <c r="I237" i="3" s="1"/>
  <c r="E236" i="3"/>
  <c r="E235" i="3"/>
  <c r="E234" i="3"/>
  <c r="E233" i="3"/>
  <c r="G233" i="3" s="1"/>
  <c r="E232" i="3"/>
  <c r="E231" i="3"/>
  <c r="E228" i="3"/>
  <c r="E227" i="3"/>
  <c r="E229" i="3" s="1"/>
  <c r="E226" i="3"/>
  <c r="E225" i="3"/>
  <c r="E223" i="3"/>
  <c r="E222" i="3"/>
  <c r="G222" i="3" s="1"/>
  <c r="E221" i="3"/>
  <c r="E220" i="3"/>
  <c r="E219" i="3"/>
  <c r="E218" i="3"/>
  <c r="E224" i="3" s="1"/>
  <c r="E217" i="3"/>
  <c r="E216" i="3"/>
  <c r="E214" i="3"/>
  <c r="E213" i="3"/>
  <c r="G213" i="3" s="1"/>
  <c r="E212" i="3"/>
  <c r="E211" i="3"/>
  <c r="E210" i="3"/>
  <c r="E209" i="3"/>
  <c r="G209" i="3" s="1"/>
  <c r="E205" i="3"/>
  <c r="E204" i="3"/>
  <c r="E203" i="3"/>
  <c r="E202" i="3"/>
  <c r="G202" i="3" s="1"/>
  <c r="E201" i="3"/>
  <c r="E200" i="3"/>
  <c r="E199" i="3"/>
  <c r="E198" i="3"/>
  <c r="I198" i="3" s="1"/>
  <c r="E196" i="3"/>
  <c r="E195" i="3"/>
  <c r="E194" i="3"/>
  <c r="E193" i="3"/>
  <c r="G193" i="3" s="1"/>
  <c r="E192" i="3"/>
  <c r="E190" i="3"/>
  <c r="E189" i="3"/>
  <c r="E188" i="3"/>
  <c r="E191" i="3" s="1"/>
  <c r="E187" i="3"/>
  <c r="E186" i="3"/>
  <c r="E185" i="3"/>
  <c r="E183" i="3"/>
  <c r="I183" i="3" s="1"/>
  <c r="E182" i="3"/>
  <c r="E181" i="3"/>
  <c r="E180" i="3"/>
  <c r="E179" i="3"/>
  <c r="I179" i="3" s="1"/>
  <c r="E178" i="3"/>
  <c r="E177" i="3"/>
  <c r="E176" i="3"/>
  <c r="E173" i="3"/>
  <c r="I173" i="3" s="1"/>
  <c r="E172" i="3"/>
  <c r="E171" i="3"/>
  <c r="E170" i="3"/>
  <c r="E169" i="3"/>
  <c r="I169" i="3" s="1"/>
  <c r="E168" i="3"/>
  <c r="E167" i="3"/>
  <c r="E166" i="3"/>
  <c r="E165" i="3"/>
  <c r="I165" i="3" s="1"/>
  <c r="E164" i="3"/>
  <c r="E162" i="3"/>
  <c r="E161" i="3"/>
  <c r="E160" i="3"/>
  <c r="I160" i="3" s="1"/>
  <c r="E159" i="3"/>
  <c r="E158" i="3"/>
  <c r="E157" i="3"/>
  <c r="E156" i="3"/>
  <c r="I156" i="3" s="1"/>
  <c r="E155" i="3"/>
  <c r="E154" i="3"/>
  <c r="E152" i="3"/>
  <c r="E151" i="3"/>
  <c r="I151" i="3" s="1"/>
  <c r="E150" i="3"/>
  <c r="E149" i="3"/>
  <c r="E148" i="3"/>
  <c r="E147" i="3"/>
  <c r="I147" i="3" s="1"/>
  <c r="E146" i="3"/>
  <c r="E145" i="3"/>
  <c r="E142" i="3"/>
  <c r="E141" i="3"/>
  <c r="I141" i="3" s="1"/>
  <c r="E140" i="3"/>
  <c r="E139" i="3"/>
  <c r="E138" i="3"/>
  <c r="E137" i="3"/>
  <c r="G137" i="3" s="1"/>
  <c r="E136" i="3"/>
  <c r="E134" i="3"/>
  <c r="E133" i="3"/>
  <c r="E132" i="3"/>
  <c r="G132" i="3" s="1"/>
  <c r="E131" i="3"/>
  <c r="E130" i="3"/>
  <c r="E129" i="3"/>
  <c r="E128" i="3"/>
  <c r="E135" i="3" s="1"/>
  <c r="I135" i="3" s="1"/>
  <c r="E127" i="3"/>
  <c r="E126" i="3"/>
  <c r="E124" i="3"/>
  <c r="E123" i="3"/>
  <c r="I123" i="3" s="1"/>
  <c r="E122" i="3"/>
  <c r="E121" i="3"/>
  <c r="E120" i="3"/>
  <c r="E119" i="3"/>
  <c r="G119" i="3" s="1"/>
  <c r="E118" i="3"/>
  <c r="E117" i="3"/>
  <c r="E116" i="3"/>
  <c r="E115" i="3"/>
  <c r="G115" i="3" s="1"/>
  <c r="E111" i="3"/>
  <c r="E110" i="3"/>
  <c r="E109" i="3"/>
  <c r="E108" i="3"/>
  <c r="G108" i="3" s="1"/>
  <c r="E107" i="3"/>
  <c r="E106" i="3"/>
  <c r="E104" i="3"/>
  <c r="E103" i="3"/>
  <c r="I103" i="3" s="1"/>
  <c r="E102" i="3"/>
  <c r="E101" i="3"/>
  <c r="E100" i="3"/>
  <c r="E99" i="3"/>
  <c r="I99" i="3" s="1"/>
  <c r="E98" i="3"/>
  <c r="E96" i="3"/>
  <c r="E95" i="3"/>
  <c r="E94" i="3"/>
  <c r="I94" i="3" s="1"/>
  <c r="E93" i="3"/>
  <c r="E92" i="3"/>
  <c r="E91" i="3"/>
  <c r="E88" i="3"/>
  <c r="G88" i="3" s="1"/>
  <c r="E87" i="3"/>
  <c r="E86" i="3"/>
  <c r="E85" i="3"/>
  <c r="E84" i="3"/>
  <c r="I84" i="3" s="1"/>
  <c r="E83" i="3"/>
  <c r="E81" i="3"/>
  <c r="E80" i="3"/>
  <c r="G80" i="3" s="1"/>
  <c r="E79" i="3"/>
  <c r="G79" i="3" s="1"/>
  <c r="E78" i="3"/>
  <c r="E77" i="3"/>
  <c r="E76" i="3"/>
  <c r="G76" i="3" s="1"/>
  <c r="E75" i="3"/>
  <c r="G75" i="3" s="1"/>
  <c r="E74" i="3"/>
  <c r="E72" i="3"/>
  <c r="E71" i="3"/>
  <c r="G71" i="3" s="1"/>
  <c r="E70" i="3"/>
  <c r="G70" i="3" s="1"/>
  <c r="E69" i="3"/>
  <c r="E68" i="3"/>
  <c r="E67" i="3"/>
  <c r="G67" i="3" s="1"/>
  <c r="E66" i="3"/>
  <c r="G66" i="3" s="1"/>
  <c r="E65" i="3"/>
  <c r="E64" i="3"/>
  <c r="E61" i="3"/>
  <c r="G61" i="3" s="1"/>
  <c r="E60" i="3"/>
  <c r="G60" i="3" s="1"/>
  <c r="E59" i="3"/>
  <c r="E58" i="3"/>
  <c r="E57" i="3"/>
  <c r="G57" i="3" s="1"/>
  <c r="E56" i="3"/>
  <c r="G56" i="3" s="1"/>
  <c r="E55" i="3"/>
  <c r="E54" i="3"/>
  <c r="E52" i="3"/>
  <c r="I52" i="3" s="1"/>
  <c r="E51" i="3"/>
  <c r="G51" i="3" s="1"/>
  <c r="E50" i="3"/>
  <c r="E49" i="3"/>
  <c r="E48" i="3"/>
  <c r="I48" i="3" s="1"/>
  <c r="E47" i="3"/>
  <c r="G47" i="3" s="1"/>
  <c r="E46" i="3"/>
  <c r="E45" i="3"/>
  <c r="E43" i="3"/>
  <c r="I43" i="3" s="1"/>
  <c r="E42" i="3"/>
  <c r="I42" i="3" s="1"/>
  <c r="E41" i="3"/>
  <c r="E40" i="3"/>
  <c r="E39" i="3"/>
  <c r="I39" i="3" s="1"/>
  <c r="E38" i="3"/>
  <c r="I38" i="3" s="1"/>
  <c r="E35" i="3"/>
  <c r="E34" i="3"/>
  <c r="E33" i="3"/>
  <c r="G33" i="3" s="1"/>
  <c r="E32" i="3"/>
  <c r="I32" i="3" s="1"/>
  <c r="E31" i="3"/>
  <c r="E30" i="3"/>
  <c r="E29" i="3"/>
  <c r="G29" i="3" s="1"/>
  <c r="E28" i="3"/>
  <c r="I28" i="3" s="1"/>
  <c r="E26" i="3"/>
  <c r="E25" i="3"/>
  <c r="E24" i="3"/>
  <c r="G24" i="3" s="1"/>
  <c r="E23" i="3"/>
  <c r="G23" i="3" s="1"/>
  <c r="E22" i="3"/>
  <c r="E21" i="3"/>
  <c r="E19" i="3"/>
  <c r="I19" i="3" s="1"/>
  <c r="E18" i="3"/>
  <c r="G18" i="3" s="1"/>
  <c r="E17" i="3"/>
  <c r="E16" i="3"/>
  <c r="E15" i="3"/>
  <c r="I15" i="3" s="1"/>
  <c r="E14" i="3"/>
  <c r="G14" i="3" s="1"/>
  <c r="E13" i="3"/>
  <c r="E11" i="3"/>
  <c r="E10" i="3"/>
  <c r="I10" i="3" s="1"/>
  <c r="E9" i="3"/>
  <c r="G9" i="3" s="1"/>
  <c r="E8" i="3"/>
  <c r="E7" i="3"/>
  <c r="E6" i="3"/>
  <c r="I6" i="3" s="1"/>
  <c r="E5" i="3"/>
  <c r="I5" i="3" s="1"/>
  <c r="C282" i="3"/>
  <c r="C202" i="3"/>
  <c r="C183" i="3"/>
  <c r="C88" i="3"/>
  <c r="C70" i="3"/>
  <c r="C51" i="3"/>
  <c r="C32" i="3"/>
  <c r="C14" i="3"/>
  <c r="D3" i="3"/>
  <c r="B335" i="3"/>
  <c r="B334" i="3"/>
  <c r="B333" i="3"/>
  <c r="B332" i="3"/>
  <c r="B331" i="3"/>
  <c r="B330" i="3"/>
  <c r="B329" i="3"/>
  <c r="B328" i="3"/>
  <c r="B327" i="3"/>
  <c r="B326" i="3"/>
  <c r="B324" i="3"/>
  <c r="B323" i="3"/>
  <c r="B322" i="3"/>
  <c r="B321" i="3"/>
  <c r="B320" i="3"/>
  <c r="B319" i="3"/>
  <c r="B318" i="3"/>
  <c r="B317" i="3"/>
  <c r="B316" i="3"/>
  <c r="B314" i="3"/>
  <c r="B313" i="3"/>
  <c r="B312" i="3"/>
  <c r="B311" i="3"/>
  <c r="B308" i="3"/>
  <c r="B307" i="3"/>
  <c r="B306" i="3"/>
  <c r="B305" i="3"/>
  <c r="B304" i="3"/>
  <c r="B303" i="3"/>
  <c r="B302" i="3"/>
  <c r="B301" i="3"/>
  <c r="B300" i="3"/>
  <c r="B299" i="3"/>
  <c r="B298" i="3"/>
  <c r="B296" i="3"/>
  <c r="B295" i="3"/>
  <c r="B294" i="3"/>
  <c r="B293" i="3"/>
  <c r="B292" i="3"/>
  <c r="B291" i="3"/>
  <c r="B290" i="3"/>
  <c r="B288" i="3"/>
  <c r="B287" i="3"/>
  <c r="B286" i="3"/>
  <c r="B285" i="3"/>
  <c r="B284" i="3"/>
  <c r="B283" i="3"/>
  <c r="B282" i="3"/>
  <c r="B281" i="3"/>
  <c r="B280" i="3"/>
  <c r="B276" i="3"/>
  <c r="B275" i="3"/>
  <c r="B274" i="3"/>
  <c r="B273" i="3"/>
  <c r="B272" i="3"/>
  <c r="B271" i="3"/>
  <c r="B269" i="3"/>
  <c r="B268" i="3"/>
  <c r="B267" i="3"/>
  <c r="B266" i="3"/>
  <c r="B265" i="3"/>
  <c r="B264" i="3"/>
  <c r="B262" i="3"/>
  <c r="B261" i="3"/>
  <c r="B260" i="3"/>
  <c r="B259" i="3"/>
  <c r="B258" i="3"/>
  <c r="B256" i="3"/>
  <c r="B255" i="3"/>
  <c r="B254" i="3"/>
  <c r="B253" i="3"/>
  <c r="B252" i="3"/>
  <c r="B251" i="3"/>
  <c r="B248" i="3"/>
  <c r="B247" i="3"/>
  <c r="B246" i="3"/>
  <c r="B245" i="3"/>
  <c r="B244" i="3"/>
  <c r="B243" i="3"/>
  <c r="B242" i="3"/>
  <c r="B241" i="3"/>
  <c r="B239" i="3"/>
  <c r="B238" i="3"/>
  <c r="B237" i="3"/>
  <c r="B236" i="3"/>
  <c r="B235" i="3"/>
  <c r="B234" i="3"/>
  <c r="B233" i="3"/>
  <c r="B232" i="3"/>
  <c r="B231" i="3"/>
  <c r="B228" i="3"/>
  <c r="B227" i="3"/>
  <c r="B226" i="3"/>
  <c r="B225" i="3"/>
  <c r="B223" i="3"/>
  <c r="B222" i="3"/>
  <c r="B221" i="3"/>
  <c r="B220" i="3"/>
  <c r="B219" i="3"/>
  <c r="B218" i="3"/>
  <c r="B217" i="3"/>
  <c r="B216" i="3"/>
  <c r="B214" i="3"/>
  <c r="B213" i="3"/>
  <c r="B212" i="3"/>
  <c r="B211" i="3"/>
  <c r="B210" i="3"/>
  <c r="B209" i="3"/>
  <c r="B205" i="3"/>
  <c r="B204" i="3"/>
  <c r="B203" i="3"/>
  <c r="B202" i="3"/>
  <c r="B201" i="3"/>
  <c r="B200" i="3"/>
  <c r="B199" i="3"/>
  <c r="B198" i="3"/>
  <c r="B196" i="3"/>
  <c r="B195" i="3"/>
  <c r="B194" i="3"/>
  <c r="B193" i="3"/>
  <c r="B192" i="3"/>
  <c r="B190" i="3"/>
  <c r="B189" i="3"/>
  <c r="B188" i="3"/>
  <c r="B187" i="3"/>
  <c r="B186" i="3"/>
  <c r="B185" i="3"/>
  <c r="B183" i="3"/>
  <c r="B182" i="3"/>
  <c r="B181" i="3"/>
  <c r="B180" i="3"/>
  <c r="B179" i="3"/>
  <c r="B178" i="3"/>
  <c r="B177" i="3"/>
  <c r="B176" i="3"/>
  <c r="B173" i="3"/>
  <c r="B172" i="3"/>
  <c r="B171" i="3"/>
  <c r="B170" i="3"/>
  <c r="B169" i="3"/>
  <c r="B168" i="3"/>
  <c r="B167" i="3"/>
  <c r="B166" i="3"/>
  <c r="B165" i="3"/>
  <c r="B164" i="3"/>
  <c r="B162" i="3"/>
  <c r="B161" i="3"/>
  <c r="B160" i="3"/>
  <c r="B159" i="3"/>
  <c r="B158" i="3"/>
  <c r="B157" i="3"/>
  <c r="B156" i="3"/>
  <c r="B155" i="3"/>
  <c r="B154" i="3"/>
  <c r="B152" i="3"/>
  <c r="B151" i="3"/>
  <c r="B150" i="3"/>
  <c r="B149" i="3"/>
  <c r="B148" i="3"/>
  <c r="B147" i="3"/>
  <c r="B146" i="3"/>
  <c r="B145" i="3"/>
  <c r="B142" i="3"/>
  <c r="B141" i="3"/>
  <c r="B140" i="3"/>
  <c r="B139" i="3"/>
  <c r="B138" i="3"/>
  <c r="B137" i="3"/>
  <c r="B136" i="3"/>
  <c r="B134" i="3"/>
  <c r="B133" i="3"/>
  <c r="B132" i="3"/>
  <c r="B131" i="3"/>
  <c r="B130" i="3"/>
  <c r="B129" i="3"/>
  <c r="B128" i="3"/>
  <c r="B127" i="3"/>
  <c r="B126" i="3"/>
  <c r="B124" i="3"/>
  <c r="B123" i="3"/>
  <c r="B122" i="3"/>
  <c r="B121" i="3"/>
  <c r="B120" i="3"/>
  <c r="B119" i="3"/>
  <c r="B118" i="3"/>
  <c r="B117" i="3"/>
  <c r="B116" i="3"/>
  <c r="B115" i="3"/>
  <c r="B111" i="3"/>
  <c r="B110" i="3"/>
  <c r="B109" i="3"/>
  <c r="B108" i="3"/>
  <c r="B107" i="3"/>
  <c r="B106" i="3"/>
  <c r="B104" i="3"/>
  <c r="B103" i="3"/>
  <c r="B102" i="3"/>
  <c r="B101" i="3"/>
  <c r="B100" i="3"/>
  <c r="B99" i="3"/>
  <c r="B98" i="3"/>
  <c r="B96" i="3"/>
  <c r="B95" i="3"/>
  <c r="B94" i="3"/>
  <c r="B93" i="3"/>
  <c r="B92" i="3"/>
  <c r="B91" i="3"/>
  <c r="B88" i="3"/>
  <c r="B87" i="3"/>
  <c r="B86" i="3"/>
  <c r="B85" i="3"/>
  <c r="B84" i="3"/>
  <c r="B83" i="3"/>
  <c r="B81" i="3"/>
  <c r="B80" i="3"/>
  <c r="B79" i="3"/>
  <c r="B78" i="3"/>
  <c r="B77" i="3"/>
  <c r="B76" i="3"/>
  <c r="B75" i="3"/>
  <c r="B74" i="3"/>
  <c r="B72" i="3"/>
  <c r="B71" i="3"/>
  <c r="B70" i="3"/>
  <c r="B69" i="3"/>
  <c r="B68" i="3"/>
  <c r="B67" i="3"/>
  <c r="B66" i="3"/>
  <c r="B65" i="3"/>
  <c r="B64" i="3"/>
  <c r="B61" i="3"/>
  <c r="B60" i="3"/>
  <c r="B59" i="3"/>
  <c r="B58" i="3"/>
  <c r="B57" i="3"/>
  <c r="B56" i="3"/>
  <c r="B55" i="3"/>
  <c r="B54" i="3"/>
  <c r="B52" i="3"/>
  <c r="B51" i="3"/>
  <c r="B50" i="3"/>
  <c r="B49" i="3"/>
  <c r="B48" i="3"/>
  <c r="B47" i="3"/>
  <c r="B46" i="3"/>
  <c r="B45" i="3"/>
  <c r="B43" i="3"/>
  <c r="B42" i="3"/>
  <c r="B41" i="3"/>
  <c r="B40" i="3"/>
  <c r="B39" i="3"/>
  <c r="B38" i="3"/>
  <c r="B35" i="3"/>
  <c r="B34" i="3"/>
  <c r="B33" i="3"/>
  <c r="B32" i="3"/>
  <c r="B31" i="3"/>
  <c r="B30" i="3"/>
  <c r="B29" i="3"/>
  <c r="B28" i="3"/>
  <c r="B26" i="3"/>
  <c r="B25" i="3"/>
  <c r="B24" i="3"/>
  <c r="B23" i="3"/>
  <c r="B22" i="3"/>
  <c r="B21" i="3"/>
  <c r="B19" i="3"/>
  <c r="B18" i="3"/>
  <c r="B17" i="3"/>
  <c r="B16" i="3"/>
  <c r="B15" i="3"/>
  <c r="B14" i="3"/>
  <c r="B13" i="3"/>
  <c r="B11" i="3"/>
  <c r="B10" i="3"/>
  <c r="B9" i="3"/>
  <c r="B8" i="3"/>
  <c r="B7" i="3"/>
  <c r="B6" i="3"/>
  <c r="B5" i="3"/>
  <c r="D3" i="4"/>
  <c r="Q3" i="4"/>
  <c r="W3" i="4" s="1"/>
  <c r="D5" i="4"/>
  <c r="H5" i="4"/>
  <c r="I5" i="4"/>
  <c r="V5" i="4"/>
  <c r="D6" i="4"/>
  <c r="H6" i="4"/>
  <c r="O6" i="4" s="1"/>
  <c r="I6" i="4"/>
  <c r="V6" i="4"/>
  <c r="D7" i="4"/>
  <c r="H7" i="4"/>
  <c r="P7" i="4" s="1"/>
  <c r="I7" i="4"/>
  <c r="V7" i="4"/>
  <c r="D8" i="4"/>
  <c r="H8" i="4"/>
  <c r="I8" i="4"/>
  <c r="V8" i="4"/>
  <c r="D9" i="4"/>
  <c r="H9" i="4"/>
  <c r="N9" i="4" s="1"/>
  <c r="I9" i="4"/>
  <c r="V9" i="4"/>
  <c r="D10" i="4"/>
  <c r="H10" i="4"/>
  <c r="O10" i="4" s="1"/>
  <c r="I10" i="4"/>
  <c r="V10" i="4"/>
  <c r="D11" i="4"/>
  <c r="H11" i="4"/>
  <c r="O11" i="4" s="1"/>
  <c r="I11" i="4"/>
  <c r="V11" i="4"/>
  <c r="I12" i="4"/>
  <c r="H12" i="4"/>
  <c r="P12" i="4" s="1"/>
  <c r="S12" i="4"/>
  <c r="T12" i="4"/>
  <c r="U12" i="4"/>
  <c r="D13" i="4"/>
  <c r="H13" i="4"/>
  <c r="O13" i="4" s="1"/>
  <c r="I13" i="4"/>
  <c r="V13" i="4"/>
  <c r="D14" i="4"/>
  <c r="H14" i="4"/>
  <c r="I14" i="4"/>
  <c r="V14" i="4"/>
  <c r="D15" i="4"/>
  <c r="H15" i="4"/>
  <c r="I15" i="4"/>
  <c r="V15" i="4"/>
  <c r="D16" i="4"/>
  <c r="H16" i="4"/>
  <c r="I16" i="4"/>
  <c r="V16" i="4"/>
  <c r="D17" i="4"/>
  <c r="H17" i="4"/>
  <c r="O17" i="4" s="1"/>
  <c r="I17" i="4"/>
  <c r="V17" i="4"/>
  <c r="D18" i="4"/>
  <c r="H18" i="4"/>
  <c r="P18" i="4" s="1"/>
  <c r="I18" i="4"/>
  <c r="V18" i="4"/>
  <c r="D19" i="4"/>
  <c r="H19" i="4"/>
  <c r="N19" i="4" s="1"/>
  <c r="I19" i="4"/>
  <c r="V19" i="4"/>
  <c r="H20" i="4"/>
  <c r="N20" i="4" s="1"/>
  <c r="S20" i="4"/>
  <c r="T20" i="4"/>
  <c r="U20" i="4"/>
  <c r="D21" i="4"/>
  <c r="H21" i="4"/>
  <c r="N21" i="4" s="1"/>
  <c r="I21" i="4"/>
  <c r="V21" i="4"/>
  <c r="D22" i="4"/>
  <c r="H22" i="4"/>
  <c r="O22" i="4" s="1"/>
  <c r="I22" i="4"/>
  <c r="V22" i="4"/>
  <c r="D23" i="4"/>
  <c r="H23" i="4"/>
  <c r="N23" i="4" s="1"/>
  <c r="I23" i="4"/>
  <c r="V23" i="4"/>
  <c r="D24" i="4"/>
  <c r="H24" i="4"/>
  <c r="P24" i="4" s="1"/>
  <c r="I24" i="4"/>
  <c r="V24" i="4"/>
  <c r="D25" i="4"/>
  <c r="H25" i="4"/>
  <c r="N25" i="4" s="1"/>
  <c r="I25" i="4"/>
  <c r="V25" i="4"/>
  <c r="D26" i="4"/>
  <c r="H26" i="4"/>
  <c r="O26" i="4" s="1"/>
  <c r="I26" i="4"/>
  <c r="V26" i="4"/>
  <c r="I27" i="4"/>
  <c r="S27" i="4"/>
  <c r="T27" i="4"/>
  <c r="U27" i="4"/>
  <c r="D28" i="4"/>
  <c r="H28" i="4"/>
  <c r="O28" i="4" s="1"/>
  <c r="I28" i="4"/>
  <c r="V28" i="4"/>
  <c r="D29" i="4"/>
  <c r="H29" i="4"/>
  <c r="O29" i="4" s="1"/>
  <c r="I29" i="4"/>
  <c r="V29" i="4"/>
  <c r="D30" i="4"/>
  <c r="H30" i="4"/>
  <c r="P30" i="4" s="1"/>
  <c r="I30" i="4"/>
  <c r="V30" i="4"/>
  <c r="D31" i="4"/>
  <c r="H31" i="4"/>
  <c r="I31" i="4"/>
  <c r="V31" i="4"/>
  <c r="D32" i="4"/>
  <c r="H32" i="4"/>
  <c r="I32" i="4"/>
  <c r="V32" i="4"/>
  <c r="D33" i="4"/>
  <c r="H33" i="4"/>
  <c r="N33" i="4" s="1"/>
  <c r="I33" i="4"/>
  <c r="V33" i="4"/>
  <c r="D34" i="4"/>
  <c r="H34" i="4"/>
  <c r="P34" i="4" s="1"/>
  <c r="I34" i="4"/>
  <c r="V34" i="4"/>
  <c r="D35" i="4"/>
  <c r="H35" i="4"/>
  <c r="I35" i="4"/>
  <c r="V35" i="4"/>
  <c r="H36" i="4"/>
  <c r="S36" i="4"/>
  <c r="T36" i="4"/>
  <c r="U36" i="4"/>
  <c r="D38" i="4"/>
  <c r="H38" i="4"/>
  <c r="P38" i="4" s="1"/>
  <c r="I38" i="4"/>
  <c r="V38" i="4"/>
  <c r="D39" i="4"/>
  <c r="H39" i="4"/>
  <c r="N39" i="4" s="1"/>
  <c r="I39" i="4"/>
  <c r="V39" i="4"/>
  <c r="D40" i="4"/>
  <c r="H40" i="4"/>
  <c r="O40" i="4" s="1"/>
  <c r="I40" i="4"/>
  <c r="V40" i="4"/>
  <c r="D41" i="4"/>
  <c r="H41" i="4"/>
  <c r="N41" i="4" s="1"/>
  <c r="I41" i="4"/>
  <c r="V41" i="4"/>
  <c r="D42" i="4"/>
  <c r="H42" i="4"/>
  <c r="P42" i="4" s="1"/>
  <c r="I42" i="4"/>
  <c r="V42" i="4"/>
  <c r="D43" i="4"/>
  <c r="H43" i="4"/>
  <c r="N43" i="4" s="1"/>
  <c r="I43" i="4"/>
  <c r="V43" i="4"/>
  <c r="H44" i="4"/>
  <c r="S44" i="4"/>
  <c r="T44" i="4"/>
  <c r="U44" i="4"/>
  <c r="D45" i="4"/>
  <c r="H45" i="4"/>
  <c r="N45" i="4" s="1"/>
  <c r="I45" i="4"/>
  <c r="V45" i="4"/>
  <c r="D46" i="4"/>
  <c r="H46" i="4"/>
  <c r="O46" i="4" s="1"/>
  <c r="I46" i="4"/>
  <c r="V46" i="4"/>
  <c r="D47" i="4"/>
  <c r="H47" i="4"/>
  <c r="O47" i="4" s="1"/>
  <c r="I47" i="4"/>
  <c r="V47" i="4"/>
  <c r="D48" i="4"/>
  <c r="H48" i="4"/>
  <c r="I48" i="4"/>
  <c r="V48" i="4"/>
  <c r="D49" i="4"/>
  <c r="H49" i="4"/>
  <c r="O49" i="4" s="1"/>
  <c r="I49" i="4"/>
  <c r="V49" i="4"/>
  <c r="D50" i="4"/>
  <c r="H50" i="4"/>
  <c r="O50" i="4" s="1"/>
  <c r="I50" i="4"/>
  <c r="V50" i="4"/>
  <c r="D51" i="4"/>
  <c r="H51" i="4"/>
  <c r="O51" i="4" s="1"/>
  <c r="I51" i="4"/>
  <c r="V51" i="4"/>
  <c r="D52" i="4"/>
  <c r="H52" i="4"/>
  <c r="N52" i="4" s="1"/>
  <c r="I52" i="4"/>
  <c r="V52" i="4"/>
  <c r="H53" i="4"/>
  <c r="S53" i="4"/>
  <c r="T53" i="4"/>
  <c r="U53" i="4"/>
  <c r="D54" i="4"/>
  <c r="H54" i="4"/>
  <c r="N54" i="4" s="1"/>
  <c r="I54" i="4"/>
  <c r="V54" i="4"/>
  <c r="D55" i="4"/>
  <c r="H55" i="4"/>
  <c r="P55" i="4" s="1"/>
  <c r="I55" i="4"/>
  <c r="V55" i="4"/>
  <c r="D56" i="4"/>
  <c r="H56" i="4"/>
  <c r="O56" i="4" s="1"/>
  <c r="I56" i="4"/>
  <c r="V56" i="4"/>
  <c r="D57" i="4"/>
  <c r="H57" i="4"/>
  <c r="N57" i="4" s="1"/>
  <c r="I57" i="4"/>
  <c r="V57" i="4"/>
  <c r="D58" i="4"/>
  <c r="H58" i="4"/>
  <c r="N58" i="4" s="1"/>
  <c r="I58" i="4"/>
  <c r="V58" i="4"/>
  <c r="D59" i="4"/>
  <c r="H59" i="4"/>
  <c r="I59" i="4"/>
  <c r="V59" i="4"/>
  <c r="D60" i="4"/>
  <c r="H60" i="4"/>
  <c r="I60" i="4"/>
  <c r="V60" i="4"/>
  <c r="D61" i="4"/>
  <c r="H61" i="4"/>
  <c r="I61" i="4"/>
  <c r="S62" i="4"/>
  <c r="T62" i="4"/>
  <c r="U62" i="4"/>
  <c r="D64" i="4"/>
  <c r="H64" i="4"/>
  <c r="I64" i="4"/>
  <c r="V64" i="4"/>
  <c r="D65" i="4"/>
  <c r="H65" i="4"/>
  <c r="N65" i="4" s="1"/>
  <c r="I65" i="4"/>
  <c r="V65" i="4"/>
  <c r="D66" i="4"/>
  <c r="H66" i="4"/>
  <c r="O66" i="4" s="1"/>
  <c r="I66" i="4"/>
  <c r="V66" i="4"/>
  <c r="D67" i="4"/>
  <c r="H67" i="4"/>
  <c r="P67" i="4" s="1"/>
  <c r="I67" i="4"/>
  <c r="V67" i="4"/>
  <c r="D68" i="4"/>
  <c r="H68" i="4"/>
  <c r="I68" i="4"/>
  <c r="V68" i="4"/>
  <c r="D69" i="4"/>
  <c r="H69" i="4"/>
  <c r="N69" i="4" s="1"/>
  <c r="I69" i="4"/>
  <c r="V69" i="4"/>
  <c r="D70" i="4"/>
  <c r="H70" i="4"/>
  <c r="O70" i="4" s="1"/>
  <c r="I70" i="4"/>
  <c r="V70" i="4"/>
  <c r="D71" i="4"/>
  <c r="H71" i="4"/>
  <c r="I71" i="4"/>
  <c r="D72" i="4"/>
  <c r="H72" i="4"/>
  <c r="N72" i="4" s="1"/>
  <c r="I72" i="4"/>
  <c r="V72" i="4"/>
  <c r="H73" i="4"/>
  <c r="I73" i="4"/>
  <c r="S73" i="4"/>
  <c r="T73" i="4"/>
  <c r="U73" i="4"/>
  <c r="D74" i="4"/>
  <c r="H74" i="4"/>
  <c r="N74" i="4" s="1"/>
  <c r="I74" i="4"/>
  <c r="V74" i="4"/>
  <c r="D75" i="4"/>
  <c r="H75" i="4"/>
  <c r="O75" i="4" s="1"/>
  <c r="I75" i="4"/>
  <c r="V75" i="4"/>
  <c r="D76" i="4"/>
  <c r="H76" i="4"/>
  <c r="N76" i="4" s="1"/>
  <c r="I76" i="4"/>
  <c r="V76" i="4"/>
  <c r="D77" i="4"/>
  <c r="H77" i="4"/>
  <c r="N77" i="4" s="1"/>
  <c r="I77" i="4"/>
  <c r="V77" i="4"/>
  <c r="D78" i="4"/>
  <c r="H78" i="4"/>
  <c r="N78" i="4" s="1"/>
  <c r="I78" i="4"/>
  <c r="V78" i="4"/>
  <c r="D79" i="4"/>
  <c r="H79" i="4"/>
  <c r="O79" i="4" s="1"/>
  <c r="I79" i="4"/>
  <c r="V79" i="4"/>
  <c r="D80" i="4"/>
  <c r="H80" i="4"/>
  <c r="N80" i="4" s="1"/>
  <c r="I80" i="4"/>
  <c r="V80" i="4"/>
  <c r="D81" i="4"/>
  <c r="H81" i="4"/>
  <c r="N81" i="4" s="1"/>
  <c r="I81" i="4"/>
  <c r="V81" i="4"/>
  <c r="I82" i="4"/>
  <c r="H82" i="4"/>
  <c r="S82" i="4"/>
  <c r="T82" i="4"/>
  <c r="U82" i="4"/>
  <c r="D83" i="4"/>
  <c r="H83" i="4"/>
  <c r="I83" i="4"/>
  <c r="V83" i="4"/>
  <c r="D84" i="4"/>
  <c r="H84" i="4"/>
  <c r="N84" i="4" s="1"/>
  <c r="I84" i="4"/>
  <c r="V84" i="4"/>
  <c r="D85" i="4"/>
  <c r="H85" i="4"/>
  <c r="O85" i="4" s="1"/>
  <c r="I85" i="4"/>
  <c r="V85" i="4"/>
  <c r="D86" i="4"/>
  <c r="H86" i="4"/>
  <c r="I86" i="4"/>
  <c r="V86" i="4"/>
  <c r="D87" i="4"/>
  <c r="H87" i="4"/>
  <c r="I87" i="4"/>
  <c r="V87" i="4"/>
  <c r="D88" i="4"/>
  <c r="H88" i="4"/>
  <c r="N88" i="4" s="1"/>
  <c r="I88" i="4"/>
  <c r="V88" i="4"/>
  <c r="S89" i="4"/>
  <c r="T89" i="4"/>
  <c r="U89" i="4"/>
  <c r="D91" i="4"/>
  <c r="H91" i="4"/>
  <c r="N91" i="4" s="1"/>
  <c r="I91" i="4"/>
  <c r="V91" i="4"/>
  <c r="D92" i="4"/>
  <c r="H92" i="4"/>
  <c r="N92" i="4" s="1"/>
  <c r="I92" i="4"/>
  <c r="V92" i="4"/>
  <c r="D93" i="4"/>
  <c r="H93" i="4"/>
  <c r="I93" i="4"/>
  <c r="V93" i="4"/>
  <c r="D94" i="4"/>
  <c r="H94" i="4"/>
  <c r="O94" i="4" s="1"/>
  <c r="I94" i="4"/>
  <c r="V94" i="4"/>
  <c r="D95" i="4"/>
  <c r="H95" i="4"/>
  <c r="O95" i="4" s="1"/>
  <c r="I95" i="4"/>
  <c r="V95" i="4"/>
  <c r="D96" i="4"/>
  <c r="H96" i="4"/>
  <c r="N96" i="4" s="1"/>
  <c r="I96" i="4"/>
  <c r="V96" i="4"/>
  <c r="H97" i="4"/>
  <c r="N97" i="4" s="1"/>
  <c r="S97" i="4"/>
  <c r="T97" i="4"/>
  <c r="U97" i="4"/>
  <c r="D98" i="4"/>
  <c r="H98" i="4"/>
  <c r="P98" i="4" s="1"/>
  <c r="I98" i="4"/>
  <c r="V98" i="4"/>
  <c r="D99" i="4"/>
  <c r="H99" i="4"/>
  <c r="I99" i="4"/>
  <c r="V99" i="4"/>
  <c r="D100" i="4"/>
  <c r="H100" i="4"/>
  <c r="N100" i="4" s="1"/>
  <c r="I100" i="4"/>
  <c r="V100" i="4"/>
  <c r="D101" i="4"/>
  <c r="H101" i="4"/>
  <c r="I101" i="4"/>
  <c r="V101" i="4"/>
  <c r="D102" i="4"/>
  <c r="H102" i="4"/>
  <c r="I102" i="4"/>
  <c r="V102" i="4"/>
  <c r="D103" i="4"/>
  <c r="H103" i="4"/>
  <c r="N103" i="4" s="1"/>
  <c r="I103" i="4"/>
  <c r="V103" i="4"/>
  <c r="D104" i="4"/>
  <c r="H104" i="4"/>
  <c r="O104" i="4" s="1"/>
  <c r="I104" i="4"/>
  <c r="V104" i="4"/>
  <c r="I105" i="4"/>
  <c r="S105" i="4"/>
  <c r="T105" i="4"/>
  <c r="U105" i="4"/>
  <c r="D106" i="4"/>
  <c r="H106" i="4"/>
  <c r="O106" i="4" s="1"/>
  <c r="I106" i="4"/>
  <c r="V106" i="4"/>
  <c r="D107" i="4"/>
  <c r="H107" i="4"/>
  <c r="N107" i="4" s="1"/>
  <c r="I107" i="4"/>
  <c r="V107" i="4"/>
  <c r="D108" i="4"/>
  <c r="H108" i="4"/>
  <c r="I108" i="4"/>
  <c r="V108" i="4"/>
  <c r="D109" i="4"/>
  <c r="H109" i="4"/>
  <c r="N109" i="4" s="1"/>
  <c r="I109" i="4"/>
  <c r="V109" i="4"/>
  <c r="D110" i="4"/>
  <c r="H110" i="4"/>
  <c r="O110" i="4" s="1"/>
  <c r="I110" i="4"/>
  <c r="V110" i="4"/>
  <c r="D111" i="4"/>
  <c r="H111" i="4"/>
  <c r="O111" i="4" s="1"/>
  <c r="I111" i="4"/>
  <c r="V111" i="4"/>
  <c r="S112" i="4"/>
  <c r="T112" i="4"/>
  <c r="U112" i="4"/>
  <c r="D115" i="4"/>
  <c r="H115" i="4"/>
  <c r="O115" i="4" s="1"/>
  <c r="I115" i="4"/>
  <c r="V115" i="4"/>
  <c r="D116" i="4"/>
  <c r="H116" i="4"/>
  <c r="O116" i="4" s="1"/>
  <c r="I116" i="4"/>
  <c r="V116" i="4"/>
  <c r="D117" i="4"/>
  <c r="H117" i="4"/>
  <c r="P117" i="4" s="1"/>
  <c r="I117" i="4"/>
  <c r="V117" i="4"/>
  <c r="D118" i="4"/>
  <c r="H118" i="4"/>
  <c r="I118" i="4"/>
  <c r="M118" i="4"/>
  <c r="V118" i="4"/>
  <c r="D119" i="4"/>
  <c r="H119" i="4"/>
  <c r="I119" i="4"/>
  <c r="D120" i="4"/>
  <c r="H120" i="4"/>
  <c r="O120" i="4" s="1"/>
  <c r="I120" i="4"/>
  <c r="V120" i="4"/>
  <c r="D121" i="4"/>
  <c r="H121" i="4"/>
  <c r="O121" i="4" s="1"/>
  <c r="I121" i="4"/>
  <c r="D122" i="4"/>
  <c r="H122" i="4"/>
  <c r="I122" i="4"/>
  <c r="V122" i="4"/>
  <c r="D123" i="4"/>
  <c r="H123" i="4"/>
  <c r="O123" i="4" s="1"/>
  <c r="I123" i="4"/>
  <c r="V123" i="4"/>
  <c r="D124" i="4"/>
  <c r="H124" i="4"/>
  <c r="N124" i="4" s="1"/>
  <c r="I124" i="4"/>
  <c r="V124" i="4"/>
  <c r="I125" i="4"/>
  <c r="S125" i="4"/>
  <c r="T125" i="4"/>
  <c r="U125" i="4"/>
  <c r="D126" i="4"/>
  <c r="H126" i="4"/>
  <c r="N126" i="4" s="1"/>
  <c r="I126" i="4"/>
  <c r="V126" i="4"/>
  <c r="D127" i="4"/>
  <c r="H127" i="4"/>
  <c r="I127" i="4"/>
  <c r="V127" i="4"/>
  <c r="D128" i="4"/>
  <c r="H128" i="4"/>
  <c r="I128" i="4"/>
  <c r="V128" i="4"/>
  <c r="D129" i="4"/>
  <c r="H129" i="4"/>
  <c r="O129" i="4" s="1"/>
  <c r="I129" i="4"/>
  <c r="V129" i="4"/>
  <c r="D130" i="4"/>
  <c r="H130" i="4"/>
  <c r="O130" i="4" s="1"/>
  <c r="I130" i="4"/>
  <c r="V130" i="4"/>
  <c r="D131" i="4"/>
  <c r="H131" i="4"/>
  <c r="P131" i="4" s="1"/>
  <c r="I131" i="4"/>
  <c r="V131" i="4"/>
  <c r="D132" i="4"/>
  <c r="H132" i="4"/>
  <c r="O132" i="4" s="1"/>
  <c r="I132" i="4"/>
  <c r="V132" i="4"/>
  <c r="D133" i="4"/>
  <c r="H133" i="4"/>
  <c r="O133" i="4" s="1"/>
  <c r="I133" i="4"/>
  <c r="V133" i="4"/>
  <c r="D134" i="4"/>
  <c r="H134" i="4"/>
  <c r="I134" i="4"/>
  <c r="V134" i="4"/>
  <c r="I135" i="4"/>
  <c r="S135" i="4"/>
  <c r="T135" i="4"/>
  <c r="U135" i="4"/>
  <c r="D136" i="4"/>
  <c r="H136" i="4"/>
  <c r="N136" i="4" s="1"/>
  <c r="I136" i="4"/>
  <c r="V136" i="4"/>
  <c r="D137" i="4"/>
  <c r="H137" i="4"/>
  <c r="P137" i="4" s="1"/>
  <c r="I137" i="4"/>
  <c r="D138" i="4"/>
  <c r="H138" i="4"/>
  <c r="I138" i="4"/>
  <c r="V138" i="4"/>
  <c r="D139" i="4"/>
  <c r="H139" i="4"/>
  <c r="N139" i="4" s="1"/>
  <c r="I139" i="4"/>
  <c r="V139" i="4"/>
  <c r="D140" i="4"/>
  <c r="H140" i="4"/>
  <c r="I140" i="4"/>
  <c r="V140" i="4"/>
  <c r="D141" i="4"/>
  <c r="H141" i="4"/>
  <c r="I141" i="4"/>
  <c r="V141" i="4"/>
  <c r="D142" i="4"/>
  <c r="H142" i="4"/>
  <c r="O142" i="4" s="1"/>
  <c r="I142" i="4"/>
  <c r="V142" i="4"/>
  <c r="I143" i="4"/>
  <c r="S143" i="4"/>
  <c r="T143" i="4"/>
  <c r="U143" i="4"/>
  <c r="D145" i="4"/>
  <c r="H145" i="4"/>
  <c r="I145" i="4"/>
  <c r="V145" i="4"/>
  <c r="D146" i="4"/>
  <c r="H146" i="4"/>
  <c r="O146" i="4" s="1"/>
  <c r="I146" i="4"/>
  <c r="D147" i="4"/>
  <c r="H147" i="4"/>
  <c r="N147" i="4" s="1"/>
  <c r="I147" i="4"/>
  <c r="D148" i="4"/>
  <c r="H148" i="4"/>
  <c r="O148" i="4" s="1"/>
  <c r="I148" i="4"/>
  <c r="V148" i="4"/>
  <c r="D149" i="4"/>
  <c r="H149" i="4"/>
  <c r="O149" i="4" s="1"/>
  <c r="I149" i="4"/>
  <c r="D150" i="4"/>
  <c r="H150" i="4"/>
  <c r="I150" i="4"/>
  <c r="V150" i="4"/>
  <c r="D151" i="4"/>
  <c r="H151" i="4"/>
  <c r="N151" i="4" s="1"/>
  <c r="I151" i="4"/>
  <c r="D152" i="4"/>
  <c r="H152" i="4"/>
  <c r="N152" i="4" s="1"/>
  <c r="I152" i="4"/>
  <c r="V152" i="4"/>
  <c r="I153" i="4"/>
  <c r="H153" i="4"/>
  <c r="O153" i="4" s="1"/>
  <c r="S153" i="4"/>
  <c r="T153" i="4"/>
  <c r="U153" i="4"/>
  <c r="D154" i="4"/>
  <c r="H154" i="4"/>
  <c r="N154" i="4" s="1"/>
  <c r="I154" i="4"/>
  <c r="V154" i="4"/>
  <c r="D155" i="4"/>
  <c r="H155" i="4"/>
  <c r="I155" i="4"/>
  <c r="V155" i="4"/>
  <c r="D156" i="4"/>
  <c r="H156" i="4"/>
  <c r="N156" i="4" s="1"/>
  <c r="I156" i="4"/>
  <c r="V156" i="4"/>
  <c r="D157" i="4"/>
  <c r="H157" i="4"/>
  <c r="P157" i="4" s="1"/>
  <c r="I157" i="4"/>
  <c r="V157" i="4"/>
  <c r="D158" i="4"/>
  <c r="H158" i="4"/>
  <c r="N158" i="4" s="1"/>
  <c r="I158" i="4"/>
  <c r="V158" i="4"/>
  <c r="D159" i="4"/>
  <c r="H159" i="4"/>
  <c r="O159" i="4" s="1"/>
  <c r="I159" i="4"/>
  <c r="D160" i="4"/>
  <c r="H160" i="4"/>
  <c r="N160" i="4" s="1"/>
  <c r="I160" i="4"/>
  <c r="V160" i="4"/>
  <c r="D161" i="4"/>
  <c r="H161" i="4"/>
  <c r="I161" i="4"/>
  <c r="V161" i="4"/>
  <c r="D162" i="4"/>
  <c r="H162" i="4"/>
  <c r="O162" i="4" s="1"/>
  <c r="I162" i="4"/>
  <c r="V162" i="4"/>
  <c r="S163" i="4"/>
  <c r="T163" i="4"/>
  <c r="U163" i="4"/>
  <c r="D164" i="4"/>
  <c r="H164" i="4"/>
  <c r="O164" i="4" s="1"/>
  <c r="I164" i="4"/>
  <c r="V164" i="4"/>
  <c r="D165" i="4"/>
  <c r="H165" i="4"/>
  <c r="N165" i="4" s="1"/>
  <c r="I165" i="4"/>
  <c r="D166" i="4"/>
  <c r="H166" i="4"/>
  <c r="I166" i="4"/>
  <c r="V166" i="4"/>
  <c r="D167" i="4"/>
  <c r="H167" i="4"/>
  <c r="O167" i="4" s="1"/>
  <c r="I167" i="4"/>
  <c r="V167" i="4"/>
  <c r="D168" i="4"/>
  <c r="H168" i="4"/>
  <c r="N168" i="4" s="1"/>
  <c r="I168" i="4"/>
  <c r="V168" i="4"/>
  <c r="D169" i="4"/>
  <c r="H169" i="4"/>
  <c r="N169" i="4" s="1"/>
  <c r="I169" i="4"/>
  <c r="V169" i="4"/>
  <c r="D170" i="4"/>
  <c r="H170" i="4"/>
  <c r="N170" i="4" s="1"/>
  <c r="I170" i="4"/>
  <c r="V170" i="4"/>
  <c r="D171" i="4"/>
  <c r="H171" i="4"/>
  <c r="O171" i="4" s="1"/>
  <c r="I171" i="4"/>
  <c r="V171" i="4"/>
  <c r="D172" i="4"/>
  <c r="H172" i="4"/>
  <c r="N172" i="4" s="1"/>
  <c r="I172" i="4"/>
  <c r="V172" i="4"/>
  <c r="D173" i="4"/>
  <c r="H173" i="4"/>
  <c r="N173" i="4" s="1"/>
  <c r="I173" i="4"/>
  <c r="V173" i="4"/>
  <c r="I174" i="4"/>
  <c r="S174" i="4"/>
  <c r="T174" i="4"/>
  <c r="U174" i="4"/>
  <c r="D176" i="4"/>
  <c r="H176" i="4"/>
  <c r="O176" i="4" s="1"/>
  <c r="I176" i="4"/>
  <c r="D177" i="4"/>
  <c r="H177" i="4"/>
  <c r="N177" i="4" s="1"/>
  <c r="I177" i="4"/>
  <c r="D178" i="4"/>
  <c r="H178" i="4"/>
  <c r="P178" i="4" s="1"/>
  <c r="I178" i="4"/>
  <c r="V178" i="4"/>
  <c r="D179" i="4"/>
  <c r="H179" i="4"/>
  <c r="P179" i="4" s="1"/>
  <c r="I179" i="4"/>
  <c r="V179" i="4"/>
  <c r="D180" i="4"/>
  <c r="H180" i="4"/>
  <c r="N180" i="4" s="1"/>
  <c r="I180" i="4"/>
  <c r="V180" i="4"/>
  <c r="D181" i="4"/>
  <c r="H181" i="4"/>
  <c r="O181" i="4" s="1"/>
  <c r="I181" i="4"/>
  <c r="V181" i="4"/>
  <c r="D182" i="4"/>
  <c r="H182" i="4"/>
  <c r="O182" i="4" s="1"/>
  <c r="I182" i="4"/>
  <c r="V182" i="4"/>
  <c r="D183" i="4"/>
  <c r="H183" i="4"/>
  <c r="N183" i="4" s="1"/>
  <c r="I183" i="4"/>
  <c r="V183" i="4"/>
  <c r="I184" i="4"/>
  <c r="S184" i="4"/>
  <c r="T184" i="4"/>
  <c r="U184" i="4"/>
  <c r="D185" i="4"/>
  <c r="H185" i="4"/>
  <c r="N185" i="4" s="1"/>
  <c r="I185" i="4"/>
  <c r="V185" i="4"/>
  <c r="D186" i="4"/>
  <c r="H186" i="4"/>
  <c r="N186" i="4" s="1"/>
  <c r="I186" i="4"/>
  <c r="V186" i="4"/>
  <c r="D187" i="4"/>
  <c r="H187" i="4"/>
  <c r="I187" i="4"/>
  <c r="V187" i="4"/>
  <c r="D188" i="4"/>
  <c r="H188" i="4"/>
  <c r="P188" i="4" s="1"/>
  <c r="I188" i="4"/>
  <c r="V188" i="4"/>
  <c r="D189" i="4"/>
  <c r="H189" i="4"/>
  <c r="I189" i="4"/>
  <c r="V189" i="4"/>
  <c r="D190" i="4"/>
  <c r="H190" i="4"/>
  <c r="N190" i="4" s="1"/>
  <c r="I190" i="4"/>
  <c r="V190" i="4"/>
  <c r="H191" i="4"/>
  <c r="P191" i="4" s="1"/>
  <c r="S191" i="4"/>
  <c r="T191" i="4"/>
  <c r="U191" i="4"/>
  <c r="D192" i="4"/>
  <c r="H192" i="4"/>
  <c r="N192" i="4" s="1"/>
  <c r="I192" i="4"/>
  <c r="V192" i="4"/>
  <c r="D193" i="4"/>
  <c r="H193" i="4"/>
  <c r="O193" i="4" s="1"/>
  <c r="I193" i="4"/>
  <c r="V193" i="4"/>
  <c r="D194" i="4"/>
  <c r="H194" i="4"/>
  <c r="N194" i="4" s="1"/>
  <c r="I194" i="4"/>
  <c r="V194" i="4"/>
  <c r="D195" i="4"/>
  <c r="H195" i="4"/>
  <c r="N195" i="4" s="1"/>
  <c r="I195" i="4"/>
  <c r="V195" i="4"/>
  <c r="D196" i="4"/>
  <c r="H196" i="4"/>
  <c r="P196" i="4" s="1"/>
  <c r="I196" i="4"/>
  <c r="V196" i="4"/>
  <c r="H197" i="4"/>
  <c r="P197" i="4" s="1"/>
  <c r="S197" i="4"/>
  <c r="T197" i="4"/>
  <c r="U197" i="4"/>
  <c r="D198" i="4"/>
  <c r="H198" i="4"/>
  <c r="N198" i="4" s="1"/>
  <c r="I198" i="4"/>
  <c r="V198" i="4"/>
  <c r="D199" i="4"/>
  <c r="H199" i="4"/>
  <c r="N199" i="4" s="1"/>
  <c r="I199" i="4"/>
  <c r="V199" i="4"/>
  <c r="D200" i="4"/>
  <c r="H200" i="4"/>
  <c r="I200" i="4"/>
  <c r="D201" i="4"/>
  <c r="H201" i="4"/>
  <c r="N201" i="4" s="1"/>
  <c r="I201" i="4"/>
  <c r="V201" i="4"/>
  <c r="D202" i="4"/>
  <c r="H202" i="4"/>
  <c r="N202" i="4" s="1"/>
  <c r="I202" i="4"/>
  <c r="V202" i="4"/>
  <c r="D203" i="4"/>
  <c r="H203" i="4"/>
  <c r="P203" i="4" s="1"/>
  <c r="I203" i="4"/>
  <c r="V203" i="4"/>
  <c r="D204" i="4"/>
  <c r="H204" i="4"/>
  <c r="N204" i="4" s="1"/>
  <c r="I204" i="4"/>
  <c r="V204" i="4"/>
  <c r="D205" i="4"/>
  <c r="H205" i="4"/>
  <c r="N205" i="4" s="1"/>
  <c r="I205" i="4"/>
  <c r="V205" i="4"/>
  <c r="I206" i="4"/>
  <c r="S206" i="4"/>
  <c r="T206" i="4"/>
  <c r="U206" i="4"/>
  <c r="D209" i="4"/>
  <c r="H209" i="4"/>
  <c r="I209" i="4"/>
  <c r="V209" i="4"/>
  <c r="D210" i="4"/>
  <c r="H210" i="4"/>
  <c r="N210" i="4" s="1"/>
  <c r="I210" i="4"/>
  <c r="V210" i="4"/>
  <c r="D211" i="4"/>
  <c r="H211" i="4"/>
  <c r="O211" i="4" s="1"/>
  <c r="I211" i="4"/>
  <c r="V211" i="4"/>
  <c r="D212" i="4"/>
  <c r="H212" i="4"/>
  <c r="N212" i="4" s="1"/>
  <c r="I212" i="4"/>
  <c r="V212" i="4"/>
  <c r="D213" i="4"/>
  <c r="H213" i="4"/>
  <c r="I213" i="4"/>
  <c r="V213" i="4"/>
  <c r="D214" i="4"/>
  <c r="H214" i="4"/>
  <c r="N214" i="4" s="1"/>
  <c r="I214" i="4"/>
  <c r="V214" i="4"/>
  <c r="I215" i="4"/>
  <c r="S215" i="4"/>
  <c r="T215" i="4"/>
  <c r="U215" i="4"/>
  <c r="D216" i="4"/>
  <c r="H216" i="4"/>
  <c r="N216" i="4" s="1"/>
  <c r="I216" i="4"/>
  <c r="V216" i="4"/>
  <c r="D217" i="4"/>
  <c r="H217" i="4"/>
  <c r="O217" i="4" s="1"/>
  <c r="I217" i="4"/>
  <c r="V217" i="4"/>
  <c r="D218" i="4"/>
  <c r="H218" i="4"/>
  <c r="N218" i="4" s="1"/>
  <c r="I218" i="4"/>
  <c r="V218" i="4"/>
  <c r="D219" i="4"/>
  <c r="H219" i="4"/>
  <c r="I219" i="4"/>
  <c r="V219" i="4"/>
  <c r="D220" i="4"/>
  <c r="H220" i="4"/>
  <c r="N220" i="4" s="1"/>
  <c r="I220" i="4"/>
  <c r="V220" i="4"/>
  <c r="D221" i="4"/>
  <c r="H221" i="4"/>
  <c r="N221" i="4" s="1"/>
  <c r="I221" i="4"/>
  <c r="V221" i="4"/>
  <c r="D222" i="4"/>
  <c r="H222" i="4"/>
  <c r="P222" i="4" s="1"/>
  <c r="I222" i="4"/>
  <c r="M222" i="4"/>
  <c r="V222" i="4"/>
  <c r="D223" i="4"/>
  <c r="H223" i="4"/>
  <c r="N223" i="4" s="1"/>
  <c r="I223" i="4"/>
  <c r="H224" i="4"/>
  <c r="S224" i="4"/>
  <c r="T224" i="4"/>
  <c r="U224" i="4"/>
  <c r="D225" i="4"/>
  <c r="H225" i="4"/>
  <c r="I225" i="4"/>
  <c r="V225" i="4"/>
  <c r="D226" i="4"/>
  <c r="H226" i="4"/>
  <c r="O226" i="4" s="1"/>
  <c r="I226" i="4"/>
  <c r="V226" i="4"/>
  <c r="D227" i="4"/>
  <c r="H227" i="4"/>
  <c r="O227" i="4" s="1"/>
  <c r="I227" i="4"/>
  <c r="V227" i="4"/>
  <c r="D228" i="4"/>
  <c r="H228" i="4"/>
  <c r="N228" i="4" s="1"/>
  <c r="I228" i="4"/>
  <c r="V228" i="4"/>
  <c r="I229" i="4"/>
  <c r="S229" i="4"/>
  <c r="T229" i="4"/>
  <c r="U229" i="4"/>
  <c r="D231" i="4"/>
  <c r="H231" i="4"/>
  <c r="O231" i="4" s="1"/>
  <c r="I231" i="4"/>
  <c r="V231" i="4"/>
  <c r="D232" i="4"/>
  <c r="H232" i="4"/>
  <c r="I232" i="4"/>
  <c r="V232" i="4"/>
  <c r="D233" i="4"/>
  <c r="H233" i="4"/>
  <c r="I233" i="4"/>
  <c r="V233" i="4"/>
  <c r="D234" i="4"/>
  <c r="H234" i="4"/>
  <c r="O234" i="4" s="1"/>
  <c r="I234" i="4"/>
  <c r="V234" i="4"/>
  <c r="D235" i="4"/>
  <c r="H235" i="4"/>
  <c r="N235" i="4" s="1"/>
  <c r="I235" i="4"/>
  <c r="D236" i="4"/>
  <c r="H236" i="4"/>
  <c r="P236" i="4" s="1"/>
  <c r="I236" i="4"/>
  <c r="V236" i="4"/>
  <c r="D237" i="4"/>
  <c r="H237" i="4"/>
  <c r="N237" i="4" s="1"/>
  <c r="I237" i="4"/>
  <c r="M237" i="4"/>
  <c r="V237" i="4"/>
  <c r="D238" i="4"/>
  <c r="H238" i="4"/>
  <c r="O238" i="4" s="1"/>
  <c r="I238" i="4"/>
  <c r="V238" i="4"/>
  <c r="D239" i="4"/>
  <c r="H239" i="4"/>
  <c r="N239" i="4" s="1"/>
  <c r="I239" i="4"/>
  <c r="V239" i="4"/>
  <c r="I240" i="4"/>
  <c r="S240" i="4"/>
  <c r="T240" i="4"/>
  <c r="U240" i="4"/>
  <c r="D241" i="4"/>
  <c r="H241" i="4"/>
  <c r="N241" i="4" s="1"/>
  <c r="I241" i="4"/>
  <c r="V241" i="4"/>
  <c r="D242" i="4"/>
  <c r="H242" i="4"/>
  <c r="N242" i="4" s="1"/>
  <c r="I242" i="4"/>
  <c r="V242" i="4"/>
  <c r="D243" i="4"/>
  <c r="H243" i="4"/>
  <c r="I243" i="4"/>
  <c r="V243" i="4"/>
  <c r="D244" i="4"/>
  <c r="H244" i="4"/>
  <c r="O244" i="4" s="1"/>
  <c r="I244" i="4"/>
  <c r="V244" i="4"/>
  <c r="D245" i="4"/>
  <c r="H245" i="4"/>
  <c r="O245" i="4" s="1"/>
  <c r="I245" i="4"/>
  <c r="V245" i="4"/>
  <c r="D246" i="4"/>
  <c r="H246" i="4"/>
  <c r="N246" i="4" s="1"/>
  <c r="I246" i="4"/>
  <c r="V246" i="4"/>
  <c r="D247" i="4"/>
  <c r="H247" i="4"/>
  <c r="P247" i="4" s="1"/>
  <c r="I247" i="4"/>
  <c r="D248" i="4"/>
  <c r="H248" i="4"/>
  <c r="N248" i="4" s="1"/>
  <c r="I248" i="4"/>
  <c r="V248" i="4"/>
  <c r="I249" i="4"/>
  <c r="D249" i="4"/>
  <c r="S249" i="4"/>
  <c r="T249" i="4"/>
  <c r="U249" i="4"/>
  <c r="D251" i="4"/>
  <c r="H251" i="4"/>
  <c r="O251" i="4" s="1"/>
  <c r="I251" i="4"/>
  <c r="V251" i="4"/>
  <c r="D252" i="4"/>
  <c r="H252" i="4"/>
  <c r="N252" i="4" s="1"/>
  <c r="I252" i="4"/>
  <c r="D253" i="4"/>
  <c r="H253" i="4"/>
  <c r="I253" i="4"/>
  <c r="V253" i="4"/>
  <c r="D254" i="4"/>
  <c r="H254" i="4"/>
  <c r="O254" i="4" s="1"/>
  <c r="I254" i="4"/>
  <c r="V254" i="4"/>
  <c r="D255" i="4"/>
  <c r="H255" i="4"/>
  <c r="N255" i="4" s="1"/>
  <c r="I255" i="4"/>
  <c r="V255" i="4"/>
  <c r="D256" i="4"/>
  <c r="H256" i="4"/>
  <c r="N256" i="4" s="1"/>
  <c r="I256" i="4"/>
  <c r="V256" i="4"/>
  <c r="H257" i="4"/>
  <c r="P257" i="4" s="1"/>
  <c r="S257" i="4"/>
  <c r="T257" i="4"/>
  <c r="U257" i="4"/>
  <c r="D258" i="4"/>
  <c r="H258" i="4"/>
  <c r="N258" i="4" s="1"/>
  <c r="I258" i="4"/>
  <c r="V258" i="4"/>
  <c r="D259" i="4"/>
  <c r="H259" i="4"/>
  <c r="I259" i="4"/>
  <c r="V259" i="4"/>
  <c r="D260" i="4"/>
  <c r="H260" i="4"/>
  <c r="O260" i="4" s="1"/>
  <c r="I260" i="4"/>
  <c r="V260" i="4"/>
  <c r="D261" i="4"/>
  <c r="H261" i="4"/>
  <c r="N261" i="4" s="1"/>
  <c r="I261" i="4"/>
  <c r="V261" i="4"/>
  <c r="D262" i="4"/>
  <c r="H262" i="4"/>
  <c r="N262" i="4" s="1"/>
  <c r="I262" i="4"/>
  <c r="V262" i="4"/>
  <c r="I263" i="4"/>
  <c r="H263" i="4"/>
  <c r="S263" i="4"/>
  <c r="T263" i="4"/>
  <c r="U263" i="4"/>
  <c r="D264" i="4"/>
  <c r="H264" i="4"/>
  <c r="N264" i="4" s="1"/>
  <c r="I264" i="4"/>
  <c r="V264" i="4"/>
  <c r="D265" i="4"/>
  <c r="H265" i="4"/>
  <c r="N265" i="4" s="1"/>
  <c r="I265" i="4"/>
  <c r="V265" i="4"/>
  <c r="D266" i="4"/>
  <c r="H266" i="4"/>
  <c r="O266" i="4" s="1"/>
  <c r="I266" i="4"/>
  <c r="V266" i="4"/>
  <c r="D267" i="4"/>
  <c r="H267" i="4"/>
  <c r="N267" i="4" s="1"/>
  <c r="I267" i="4"/>
  <c r="D268" i="4"/>
  <c r="H268" i="4"/>
  <c r="N268" i="4" s="1"/>
  <c r="I268" i="4"/>
  <c r="V268" i="4"/>
  <c r="D269" i="4"/>
  <c r="H269" i="4"/>
  <c r="P269" i="4" s="1"/>
  <c r="I269" i="4"/>
  <c r="V269" i="4"/>
  <c r="H270" i="4"/>
  <c r="N270" i="4" s="1"/>
  <c r="S270" i="4"/>
  <c r="T270" i="4"/>
  <c r="U270" i="4"/>
  <c r="D271" i="4"/>
  <c r="H271" i="4"/>
  <c r="P271" i="4" s="1"/>
  <c r="I271" i="4"/>
  <c r="V271" i="4"/>
  <c r="D272" i="4"/>
  <c r="H272" i="4"/>
  <c r="N272" i="4" s="1"/>
  <c r="I272" i="4"/>
  <c r="V272" i="4"/>
  <c r="D273" i="4"/>
  <c r="H273" i="4"/>
  <c r="N273" i="4" s="1"/>
  <c r="I273" i="4"/>
  <c r="V273" i="4"/>
  <c r="D274" i="4"/>
  <c r="H274" i="4"/>
  <c r="N274" i="4" s="1"/>
  <c r="I274" i="4"/>
  <c r="V274" i="4"/>
  <c r="D275" i="4"/>
  <c r="H275" i="4"/>
  <c r="P275" i="4" s="1"/>
  <c r="I275" i="4"/>
  <c r="D276" i="4"/>
  <c r="H276" i="4"/>
  <c r="N276" i="4" s="1"/>
  <c r="I276" i="4"/>
  <c r="V276" i="4"/>
  <c r="I277" i="4"/>
  <c r="S277" i="4"/>
  <c r="T277" i="4"/>
  <c r="U277" i="4"/>
  <c r="D280" i="4"/>
  <c r="H280" i="4"/>
  <c r="P280" i="4" s="1"/>
  <c r="I280" i="4"/>
  <c r="V280" i="4"/>
  <c r="D281" i="4"/>
  <c r="H281" i="4"/>
  <c r="N281" i="4" s="1"/>
  <c r="I281" i="4"/>
  <c r="V281" i="4"/>
  <c r="D282" i="4"/>
  <c r="H282" i="4"/>
  <c r="O282" i="4" s="1"/>
  <c r="I282" i="4"/>
  <c r="V282" i="4"/>
  <c r="D283" i="4"/>
  <c r="H283" i="4"/>
  <c r="N283" i="4" s="1"/>
  <c r="I283" i="4"/>
  <c r="V283" i="4"/>
  <c r="D284" i="4"/>
  <c r="H284" i="4"/>
  <c r="I284" i="4"/>
  <c r="V284" i="4"/>
  <c r="D285" i="4"/>
  <c r="H285" i="4"/>
  <c r="N285" i="4" s="1"/>
  <c r="I285" i="4"/>
  <c r="V285" i="4"/>
  <c r="D286" i="4"/>
  <c r="H286" i="4"/>
  <c r="O286" i="4" s="1"/>
  <c r="I286" i="4"/>
  <c r="V286" i="4"/>
  <c r="D287" i="4"/>
  <c r="H287" i="4"/>
  <c r="N287" i="4" s="1"/>
  <c r="I287" i="4"/>
  <c r="D288" i="4"/>
  <c r="H288" i="4"/>
  <c r="P288" i="4" s="1"/>
  <c r="I288" i="4"/>
  <c r="V288" i="4"/>
  <c r="I289" i="4"/>
  <c r="S289" i="4"/>
  <c r="T289" i="4"/>
  <c r="U289" i="4"/>
  <c r="D290" i="4"/>
  <c r="H290" i="4"/>
  <c r="P290" i="4" s="1"/>
  <c r="I290" i="4"/>
  <c r="V290" i="4"/>
  <c r="D291" i="4"/>
  <c r="H291" i="4"/>
  <c r="N291" i="4" s="1"/>
  <c r="I291" i="4"/>
  <c r="V291" i="4"/>
  <c r="D292" i="4"/>
  <c r="H292" i="4"/>
  <c r="N292" i="4" s="1"/>
  <c r="I292" i="4"/>
  <c r="V292" i="4"/>
  <c r="D293" i="4"/>
  <c r="H293" i="4"/>
  <c r="N293" i="4" s="1"/>
  <c r="I293" i="4"/>
  <c r="V293" i="4"/>
  <c r="D294" i="4"/>
  <c r="H294" i="4"/>
  <c r="P294" i="4" s="1"/>
  <c r="I294" i="4"/>
  <c r="V294" i="4"/>
  <c r="D295" i="4"/>
  <c r="H295" i="4"/>
  <c r="O295" i="4" s="1"/>
  <c r="I295" i="4"/>
  <c r="V295" i="4"/>
  <c r="D296" i="4"/>
  <c r="H296" i="4"/>
  <c r="O296" i="4" s="1"/>
  <c r="I296" i="4"/>
  <c r="V296" i="4"/>
  <c r="I297" i="4"/>
  <c r="S297" i="4"/>
  <c r="T297" i="4"/>
  <c r="U297" i="4"/>
  <c r="D298" i="4"/>
  <c r="H298" i="4"/>
  <c r="O298" i="4" s="1"/>
  <c r="I298" i="4"/>
  <c r="V298" i="4"/>
  <c r="D299" i="4"/>
  <c r="H299" i="4"/>
  <c r="N299" i="4" s="1"/>
  <c r="I299" i="4"/>
  <c r="V299" i="4"/>
  <c r="D300" i="4"/>
  <c r="H300" i="4"/>
  <c r="P300" i="4" s="1"/>
  <c r="I300" i="4"/>
  <c r="V300" i="4"/>
  <c r="D301" i="4"/>
  <c r="H301" i="4"/>
  <c r="N301" i="4" s="1"/>
  <c r="I301" i="4"/>
  <c r="V301" i="4"/>
  <c r="D302" i="4"/>
  <c r="H302" i="4"/>
  <c r="N302" i="4" s="1"/>
  <c r="I302" i="4"/>
  <c r="V302" i="4"/>
  <c r="D303" i="4"/>
  <c r="H303" i="4"/>
  <c r="N303" i="4" s="1"/>
  <c r="I303" i="4"/>
  <c r="V303" i="4"/>
  <c r="D304" i="4"/>
  <c r="H304" i="4"/>
  <c r="P304" i="4" s="1"/>
  <c r="I304" i="4"/>
  <c r="V304" i="4"/>
  <c r="D305" i="4"/>
  <c r="H305" i="4"/>
  <c r="N305" i="4" s="1"/>
  <c r="I305" i="4"/>
  <c r="V305" i="4"/>
  <c r="D306" i="4"/>
  <c r="H306" i="4"/>
  <c r="N306" i="4" s="1"/>
  <c r="I306" i="4"/>
  <c r="V306" i="4"/>
  <c r="D307" i="4"/>
  <c r="H307" i="4"/>
  <c r="N307" i="4" s="1"/>
  <c r="I307" i="4"/>
  <c r="V307" i="4"/>
  <c r="D308" i="4"/>
  <c r="H308" i="4"/>
  <c r="I308" i="4"/>
  <c r="V308" i="4"/>
  <c r="S309" i="4"/>
  <c r="T309" i="4"/>
  <c r="U309" i="4"/>
  <c r="D311" i="4"/>
  <c r="H311" i="4"/>
  <c r="N311" i="4" s="1"/>
  <c r="I311" i="4"/>
  <c r="V311" i="4"/>
  <c r="D312" i="4"/>
  <c r="H312" i="4"/>
  <c r="I312" i="4"/>
  <c r="V312" i="4"/>
  <c r="D313" i="4"/>
  <c r="H313" i="4"/>
  <c r="O313" i="4" s="1"/>
  <c r="I313" i="4"/>
  <c r="V313" i="4"/>
  <c r="D314" i="4"/>
  <c r="H314" i="4"/>
  <c r="O314" i="4" s="1"/>
  <c r="I314" i="4"/>
  <c r="V314" i="4"/>
  <c r="I315" i="4"/>
  <c r="S315" i="4"/>
  <c r="T315" i="4"/>
  <c r="U315" i="4"/>
  <c r="D316" i="4"/>
  <c r="H316" i="4"/>
  <c r="N316" i="4" s="1"/>
  <c r="I316" i="4"/>
  <c r="V316" i="4"/>
  <c r="D317" i="4"/>
  <c r="H317" i="4"/>
  <c r="N317" i="4" s="1"/>
  <c r="I317" i="4"/>
  <c r="V317" i="4"/>
  <c r="D318" i="4"/>
  <c r="H318" i="4"/>
  <c r="O318" i="4" s="1"/>
  <c r="I318" i="4"/>
  <c r="V318" i="4"/>
  <c r="D319" i="4"/>
  <c r="H319" i="4"/>
  <c r="O319" i="4" s="1"/>
  <c r="I319" i="4"/>
  <c r="V319" i="4"/>
  <c r="D320" i="4"/>
  <c r="H320" i="4"/>
  <c r="O320" i="4" s="1"/>
  <c r="I320" i="4"/>
  <c r="D321" i="4"/>
  <c r="H321" i="4"/>
  <c r="O321" i="4" s="1"/>
  <c r="I321" i="4"/>
  <c r="V321" i="4"/>
  <c r="D322" i="4"/>
  <c r="H322" i="4"/>
  <c r="O322" i="4" s="1"/>
  <c r="I322" i="4"/>
  <c r="V322" i="4"/>
  <c r="D323" i="4"/>
  <c r="H323" i="4"/>
  <c r="N323" i="4" s="1"/>
  <c r="I323" i="4"/>
  <c r="V323" i="4"/>
  <c r="D324" i="4"/>
  <c r="H324" i="4"/>
  <c r="N324" i="4" s="1"/>
  <c r="I324" i="4"/>
  <c r="V324" i="4"/>
  <c r="H325" i="4"/>
  <c r="S325" i="4"/>
  <c r="T325" i="4"/>
  <c r="U325" i="4"/>
  <c r="D326" i="4"/>
  <c r="H326" i="4"/>
  <c r="N326" i="4" s="1"/>
  <c r="I326" i="4"/>
  <c r="V326" i="4"/>
  <c r="D327" i="4"/>
  <c r="H327" i="4"/>
  <c r="O327" i="4" s="1"/>
  <c r="I327" i="4"/>
  <c r="V327" i="4"/>
  <c r="D328" i="4"/>
  <c r="H328" i="4"/>
  <c r="N328" i="4" s="1"/>
  <c r="I328" i="4"/>
  <c r="V328" i="4"/>
  <c r="D329" i="4"/>
  <c r="H329" i="4"/>
  <c r="N329" i="4" s="1"/>
  <c r="I329" i="4"/>
  <c r="V329" i="4"/>
  <c r="D330" i="4"/>
  <c r="H330" i="4"/>
  <c r="N330" i="4" s="1"/>
  <c r="I330" i="4"/>
  <c r="V330" i="4"/>
  <c r="D331" i="4"/>
  <c r="H331" i="4"/>
  <c r="O331" i="4" s="1"/>
  <c r="I331" i="4"/>
  <c r="V331" i="4"/>
  <c r="D332" i="4"/>
  <c r="H332" i="4"/>
  <c r="N332" i="4" s="1"/>
  <c r="I332" i="4"/>
  <c r="V332" i="4"/>
  <c r="D333" i="4"/>
  <c r="H333" i="4"/>
  <c r="O333" i="4" s="1"/>
  <c r="I333" i="4"/>
  <c r="V333" i="4"/>
  <c r="D334" i="4"/>
  <c r="H334" i="4"/>
  <c r="N334" i="4" s="1"/>
  <c r="I334" i="4"/>
  <c r="V334" i="4"/>
  <c r="D335" i="4"/>
  <c r="H335" i="4"/>
  <c r="O335" i="4" s="1"/>
  <c r="I335" i="4"/>
  <c r="S336" i="4"/>
  <c r="T336" i="4"/>
  <c r="U336" i="4"/>
  <c r="G3" i="3"/>
  <c r="R3" i="3"/>
  <c r="X3" i="3" s="1"/>
  <c r="K5" i="3"/>
  <c r="L5" i="3"/>
  <c r="M5" i="3"/>
  <c r="T5" i="3"/>
  <c r="U5" i="3"/>
  <c r="V5" i="3"/>
  <c r="G6" i="3"/>
  <c r="H6" i="3"/>
  <c r="Q6" i="3" s="1"/>
  <c r="K6" i="3"/>
  <c r="L6" i="3"/>
  <c r="M6" i="3"/>
  <c r="T6" i="3"/>
  <c r="U6" i="3"/>
  <c r="V6" i="3"/>
  <c r="G7" i="3"/>
  <c r="H7" i="3"/>
  <c r="I7" i="3"/>
  <c r="K7" i="3"/>
  <c r="L7" i="3"/>
  <c r="M7" i="3"/>
  <c r="T7" i="3"/>
  <c r="U7" i="3"/>
  <c r="V7" i="3"/>
  <c r="G8" i="3"/>
  <c r="H8" i="3"/>
  <c r="O8" i="3" s="1"/>
  <c r="I8" i="3"/>
  <c r="K8" i="3"/>
  <c r="L8" i="3"/>
  <c r="M8" i="3"/>
  <c r="T8" i="3"/>
  <c r="U8" i="3"/>
  <c r="V8" i="3"/>
  <c r="K9" i="3"/>
  <c r="L9" i="3"/>
  <c r="M9" i="3"/>
  <c r="T9" i="3"/>
  <c r="U9" i="3"/>
  <c r="V9" i="3"/>
  <c r="G10" i="3"/>
  <c r="H10" i="3"/>
  <c r="O10" i="3" s="1"/>
  <c r="K10" i="3"/>
  <c r="L10" i="3"/>
  <c r="M10" i="3"/>
  <c r="T10" i="3"/>
  <c r="U10" i="3"/>
  <c r="V10" i="3"/>
  <c r="G11" i="3"/>
  <c r="H11" i="3"/>
  <c r="O11" i="3" s="1"/>
  <c r="I11" i="3"/>
  <c r="K11" i="3"/>
  <c r="L11" i="3"/>
  <c r="M11" i="3"/>
  <c r="T11" i="3"/>
  <c r="U11" i="3"/>
  <c r="V11" i="3"/>
  <c r="J12" i="3"/>
  <c r="G13" i="3"/>
  <c r="H13" i="3"/>
  <c r="O13" i="3" s="1"/>
  <c r="I13" i="3"/>
  <c r="K13" i="3"/>
  <c r="L13" i="3"/>
  <c r="M13" i="3"/>
  <c r="T13" i="3"/>
  <c r="U13" i="3"/>
  <c r="V13" i="3"/>
  <c r="I14" i="3"/>
  <c r="K14" i="3"/>
  <c r="L14" i="3"/>
  <c r="M14" i="3"/>
  <c r="T14" i="3"/>
  <c r="U14" i="3"/>
  <c r="V14" i="3"/>
  <c r="G15" i="3"/>
  <c r="H15" i="3"/>
  <c r="O15" i="3" s="1"/>
  <c r="K15" i="3"/>
  <c r="L15" i="3"/>
  <c r="M15" i="3"/>
  <c r="T15" i="3"/>
  <c r="U15" i="3"/>
  <c r="V15" i="3"/>
  <c r="G16" i="3"/>
  <c r="H16" i="3"/>
  <c r="O16" i="3" s="1"/>
  <c r="I16" i="3"/>
  <c r="K16" i="3"/>
  <c r="L16" i="3"/>
  <c r="M16" i="3"/>
  <c r="T16" i="3"/>
  <c r="U16" i="3"/>
  <c r="V16" i="3"/>
  <c r="G17" i="3"/>
  <c r="H17" i="3"/>
  <c r="I17" i="3"/>
  <c r="K17" i="3"/>
  <c r="L17" i="3"/>
  <c r="M17" i="3"/>
  <c r="T17" i="3"/>
  <c r="U17" i="3"/>
  <c r="V17" i="3"/>
  <c r="K18" i="3"/>
  <c r="L18" i="3"/>
  <c r="M18" i="3"/>
  <c r="T18" i="3"/>
  <c r="U18" i="3"/>
  <c r="V18" i="3"/>
  <c r="G19" i="3"/>
  <c r="H19" i="3"/>
  <c r="K19" i="3"/>
  <c r="L19" i="3"/>
  <c r="M19" i="3"/>
  <c r="T19" i="3"/>
  <c r="U19" i="3"/>
  <c r="V19" i="3"/>
  <c r="J20" i="3"/>
  <c r="G21" i="3"/>
  <c r="H21" i="3"/>
  <c r="Q21" i="3" s="1"/>
  <c r="I21" i="3"/>
  <c r="K21" i="3"/>
  <c r="L21" i="3"/>
  <c r="M21" i="3"/>
  <c r="T21" i="3"/>
  <c r="U21" i="3"/>
  <c r="V21" i="3"/>
  <c r="G22" i="3"/>
  <c r="H22" i="3"/>
  <c r="I22" i="3"/>
  <c r="K22" i="3"/>
  <c r="L22" i="3"/>
  <c r="M22" i="3"/>
  <c r="T22" i="3"/>
  <c r="U22" i="3"/>
  <c r="V22" i="3"/>
  <c r="K23" i="3"/>
  <c r="L23" i="3"/>
  <c r="M23" i="3"/>
  <c r="T23" i="3"/>
  <c r="U23" i="3"/>
  <c r="V23" i="3"/>
  <c r="H24" i="3"/>
  <c r="I24" i="3"/>
  <c r="K24" i="3"/>
  <c r="L24" i="3"/>
  <c r="M24" i="3"/>
  <c r="T24" i="3"/>
  <c r="U24" i="3"/>
  <c r="V24" i="3"/>
  <c r="G25" i="3"/>
  <c r="H25" i="3"/>
  <c r="Q25" i="3" s="1"/>
  <c r="I25" i="3"/>
  <c r="K25" i="3"/>
  <c r="L25" i="3"/>
  <c r="M25" i="3"/>
  <c r="T25" i="3"/>
  <c r="U25" i="3"/>
  <c r="V25" i="3"/>
  <c r="G26" i="3"/>
  <c r="H26" i="3"/>
  <c r="I26" i="3"/>
  <c r="K26" i="3"/>
  <c r="L26" i="3"/>
  <c r="M26" i="3"/>
  <c r="T26" i="3"/>
  <c r="U26" i="3"/>
  <c r="V26" i="3"/>
  <c r="J27" i="3"/>
  <c r="K28" i="3"/>
  <c r="L28" i="3"/>
  <c r="M28" i="3"/>
  <c r="T28" i="3"/>
  <c r="U28" i="3"/>
  <c r="V28" i="3"/>
  <c r="H29" i="3"/>
  <c r="Q29" i="3" s="1"/>
  <c r="I29" i="3"/>
  <c r="K29" i="3"/>
  <c r="L29" i="3"/>
  <c r="M29" i="3"/>
  <c r="T29" i="3"/>
  <c r="U29" i="3"/>
  <c r="V29" i="3"/>
  <c r="G30" i="3"/>
  <c r="H30" i="3"/>
  <c r="I30" i="3"/>
  <c r="K30" i="3"/>
  <c r="L30" i="3"/>
  <c r="M30" i="3"/>
  <c r="T30" i="3"/>
  <c r="U30" i="3"/>
  <c r="V30" i="3"/>
  <c r="G31" i="3"/>
  <c r="H31" i="3"/>
  <c r="Q31" i="3" s="1"/>
  <c r="I31" i="3"/>
  <c r="K31" i="3"/>
  <c r="L31" i="3"/>
  <c r="M31" i="3"/>
  <c r="T31" i="3"/>
  <c r="U31" i="3"/>
  <c r="V31" i="3"/>
  <c r="K32" i="3"/>
  <c r="L32" i="3"/>
  <c r="M32" i="3"/>
  <c r="T32" i="3"/>
  <c r="U32" i="3"/>
  <c r="V32" i="3"/>
  <c r="H33" i="3"/>
  <c r="Q33" i="3" s="1"/>
  <c r="I33" i="3"/>
  <c r="K33" i="3"/>
  <c r="L33" i="3"/>
  <c r="M33" i="3"/>
  <c r="T33" i="3"/>
  <c r="U33" i="3"/>
  <c r="V33" i="3"/>
  <c r="G34" i="3"/>
  <c r="H34" i="3"/>
  <c r="I34" i="3"/>
  <c r="K34" i="3"/>
  <c r="L34" i="3"/>
  <c r="M34" i="3"/>
  <c r="T34" i="3"/>
  <c r="U34" i="3"/>
  <c r="V34" i="3"/>
  <c r="G35" i="3"/>
  <c r="H35" i="3"/>
  <c r="I35" i="3"/>
  <c r="K35" i="3"/>
  <c r="L35" i="3"/>
  <c r="M35" i="3"/>
  <c r="T35" i="3"/>
  <c r="U35" i="3"/>
  <c r="V35" i="3"/>
  <c r="J36" i="3"/>
  <c r="K38" i="3"/>
  <c r="L38" i="3"/>
  <c r="M38" i="3"/>
  <c r="T38" i="3"/>
  <c r="U38" i="3"/>
  <c r="V38" i="3"/>
  <c r="G39" i="3"/>
  <c r="H39" i="3"/>
  <c r="K39" i="3"/>
  <c r="L39" i="3"/>
  <c r="M39" i="3"/>
  <c r="T39" i="3"/>
  <c r="U39" i="3"/>
  <c r="V39" i="3"/>
  <c r="G40" i="3"/>
  <c r="H40" i="3"/>
  <c r="I40" i="3"/>
  <c r="K40" i="3"/>
  <c r="L40" i="3"/>
  <c r="M40" i="3"/>
  <c r="T40" i="3"/>
  <c r="U40" i="3"/>
  <c r="V40" i="3"/>
  <c r="G41" i="3"/>
  <c r="H41" i="3"/>
  <c r="I41" i="3"/>
  <c r="K41" i="3"/>
  <c r="L41" i="3"/>
  <c r="M41" i="3"/>
  <c r="T41" i="3"/>
  <c r="U41" i="3"/>
  <c r="V41" i="3"/>
  <c r="K42" i="3"/>
  <c r="L42" i="3"/>
  <c r="M42" i="3"/>
  <c r="T42" i="3"/>
  <c r="U42" i="3"/>
  <c r="V42" i="3"/>
  <c r="G43" i="3"/>
  <c r="H43" i="3"/>
  <c r="K43" i="3"/>
  <c r="L43" i="3"/>
  <c r="M43" i="3"/>
  <c r="T43" i="3"/>
  <c r="U43" i="3"/>
  <c r="V43" i="3"/>
  <c r="J44" i="3"/>
  <c r="G45" i="3"/>
  <c r="H45" i="3"/>
  <c r="I45" i="3"/>
  <c r="K45" i="3"/>
  <c r="L45" i="3"/>
  <c r="M45" i="3"/>
  <c r="T45" i="3"/>
  <c r="U45" i="3"/>
  <c r="V45" i="3"/>
  <c r="G46" i="3"/>
  <c r="H46" i="3"/>
  <c r="I46" i="3"/>
  <c r="K46" i="3"/>
  <c r="L46" i="3"/>
  <c r="M46" i="3"/>
  <c r="T46" i="3"/>
  <c r="U46" i="3"/>
  <c r="V46" i="3"/>
  <c r="K47" i="3"/>
  <c r="L47" i="3"/>
  <c r="M47" i="3"/>
  <c r="T47" i="3"/>
  <c r="U47" i="3"/>
  <c r="V47" i="3"/>
  <c r="G48" i="3"/>
  <c r="H48" i="3"/>
  <c r="P48" i="3" s="1"/>
  <c r="K48" i="3"/>
  <c r="L48" i="3"/>
  <c r="M48" i="3"/>
  <c r="T48" i="3"/>
  <c r="U48" i="3"/>
  <c r="V48" i="3"/>
  <c r="G49" i="3"/>
  <c r="H49" i="3"/>
  <c r="I49" i="3"/>
  <c r="K49" i="3"/>
  <c r="L49" i="3"/>
  <c r="M49" i="3"/>
  <c r="T49" i="3"/>
  <c r="U49" i="3"/>
  <c r="V49" i="3"/>
  <c r="G50" i="3"/>
  <c r="H50" i="3"/>
  <c r="I50" i="3"/>
  <c r="K50" i="3"/>
  <c r="L50" i="3"/>
  <c r="M50" i="3"/>
  <c r="T50" i="3"/>
  <c r="U50" i="3"/>
  <c r="V50" i="3"/>
  <c r="K51" i="3"/>
  <c r="L51" i="3"/>
  <c r="M51" i="3"/>
  <c r="T51" i="3"/>
  <c r="U51" i="3"/>
  <c r="V51" i="3"/>
  <c r="G52" i="3"/>
  <c r="H52" i="3"/>
  <c r="Q52" i="3" s="1"/>
  <c r="K52" i="3"/>
  <c r="L52" i="3"/>
  <c r="M52" i="3"/>
  <c r="T52" i="3"/>
  <c r="U52" i="3"/>
  <c r="V52" i="3"/>
  <c r="J53" i="3"/>
  <c r="G54" i="3"/>
  <c r="H54" i="3"/>
  <c r="Q54" i="3" s="1"/>
  <c r="I54" i="3"/>
  <c r="K54" i="3"/>
  <c r="L54" i="3"/>
  <c r="M54" i="3"/>
  <c r="T54" i="3"/>
  <c r="U54" i="3"/>
  <c r="V54" i="3"/>
  <c r="G55" i="3"/>
  <c r="H55" i="3"/>
  <c r="I55" i="3"/>
  <c r="K55" i="3"/>
  <c r="L55" i="3"/>
  <c r="M55" i="3"/>
  <c r="T55" i="3"/>
  <c r="U55" i="3"/>
  <c r="V55" i="3"/>
  <c r="K56" i="3"/>
  <c r="L56" i="3"/>
  <c r="M56" i="3"/>
  <c r="T56" i="3"/>
  <c r="U56" i="3"/>
  <c r="V56" i="3"/>
  <c r="H57" i="3"/>
  <c r="I57" i="3"/>
  <c r="K57" i="3"/>
  <c r="L57" i="3"/>
  <c r="M57" i="3"/>
  <c r="T57" i="3"/>
  <c r="U57" i="3"/>
  <c r="V57" i="3"/>
  <c r="G58" i="3"/>
  <c r="H58" i="3"/>
  <c r="P58" i="3" s="1"/>
  <c r="I58" i="3"/>
  <c r="K58" i="3"/>
  <c r="L58" i="3"/>
  <c r="M58" i="3"/>
  <c r="T58" i="3"/>
  <c r="U58" i="3"/>
  <c r="V58" i="3"/>
  <c r="G59" i="3"/>
  <c r="H59" i="3"/>
  <c r="P59" i="3" s="1"/>
  <c r="I59" i="3"/>
  <c r="K59" i="3"/>
  <c r="L59" i="3"/>
  <c r="M59" i="3"/>
  <c r="T59" i="3"/>
  <c r="U59" i="3"/>
  <c r="V59" i="3"/>
  <c r="K60" i="3"/>
  <c r="L60" i="3"/>
  <c r="M60" i="3"/>
  <c r="T60" i="3"/>
  <c r="U60" i="3"/>
  <c r="V60" i="3"/>
  <c r="H61" i="3"/>
  <c r="P61" i="3" s="1"/>
  <c r="I61" i="3"/>
  <c r="K61" i="3"/>
  <c r="L61" i="3"/>
  <c r="M61" i="3"/>
  <c r="J62" i="3"/>
  <c r="G64" i="3"/>
  <c r="H64" i="3"/>
  <c r="I64" i="3"/>
  <c r="K64" i="3"/>
  <c r="L64" i="3"/>
  <c r="M64" i="3"/>
  <c r="T64" i="3"/>
  <c r="U64" i="3"/>
  <c r="V64" i="3"/>
  <c r="G65" i="3"/>
  <c r="H65" i="3"/>
  <c r="I65" i="3"/>
  <c r="K65" i="3"/>
  <c r="L65" i="3"/>
  <c r="M65" i="3"/>
  <c r="T65" i="3"/>
  <c r="U65" i="3"/>
  <c r="V65" i="3"/>
  <c r="K66" i="3"/>
  <c r="L66" i="3"/>
  <c r="M66" i="3"/>
  <c r="T66" i="3"/>
  <c r="U66" i="3"/>
  <c r="V66" i="3"/>
  <c r="H67" i="3"/>
  <c r="I67" i="3"/>
  <c r="K67" i="3"/>
  <c r="L67" i="3"/>
  <c r="M67" i="3"/>
  <c r="T67" i="3"/>
  <c r="U67" i="3"/>
  <c r="V67" i="3"/>
  <c r="G68" i="3"/>
  <c r="H68" i="3"/>
  <c r="I68" i="3"/>
  <c r="K68" i="3"/>
  <c r="L68" i="3"/>
  <c r="M68" i="3"/>
  <c r="T68" i="3"/>
  <c r="U68" i="3"/>
  <c r="V68" i="3"/>
  <c r="G69" i="3"/>
  <c r="H69" i="3"/>
  <c r="I69" i="3"/>
  <c r="K69" i="3"/>
  <c r="L69" i="3"/>
  <c r="M69" i="3"/>
  <c r="T69" i="3"/>
  <c r="U69" i="3"/>
  <c r="V69" i="3"/>
  <c r="K70" i="3"/>
  <c r="L70" i="3"/>
  <c r="M70" i="3"/>
  <c r="T70" i="3"/>
  <c r="U70" i="3"/>
  <c r="V70" i="3"/>
  <c r="H71" i="3"/>
  <c r="O71" i="3" s="1"/>
  <c r="I71" i="3"/>
  <c r="K71" i="3"/>
  <c r="L71" i="3"/>
  <c r="M71" i="3"/>
  <c r="G72" i="3"/>
  <c r="H72" i="3"/>
  <c r="O72" i="3" s="1"/>
  <c r="I72" i="3"/>
  <c r="K72" i="3"/>
  <c r="L72" i="3"/>
  <c r="M72" i="3"/>
  <c r="T72" i="3"/>
  <c r="U72" i="3"/>
  <c r="V72" i="3"/>
  <c r="J73" i="3"/>
  <c r="G74" i="3"/>
  <c r="H74" i="3"/>
  <c r="I74" i="3"/>
  <c r="K74" i="3"/>
  <c r="L74" i="3"/>
  <c r="M74" i="3"/>
  <c r="T74" i="3"/>
  <c r="U74" i="3"/>
  <c r="V74" i="3"/>
  <c r="K75" i="3"/>
  <c r="L75" i="3"/>
  <c r="M75" i="3"/>
  <c r="T75" i="3"/>
  <c r="U75" i="3"/>
  <c r="V75" i="3"/>
  <c r="H76" i="3"/>
  <c r="I76" i="3"/>
  <c r="K76" i="3"/>
  <c r="L76" i="3"/>
  <c r="M76" i="3"/>
  <c r="T76" i="3"/>
  <c r="U76" i="3"/>
  <c r="V76" i="3"/>
  <c r="G77" i="3"/>
  <c r="H77" i="3"/>
  <c r="I77" i="3"/>
  <c r="K77" i="3"/>
  <c r="L77" i="3"/>
  <c r="M77" i="3"/>
  <c r="T77" i="3"/>
  <c r="U77" i="3"/>
  <c r="V77" i="3"/>
  <c r="G78" i="3"/>
  <c r="H78" i="3"/>
  <c r="I78" i="3"/>
  <c r="K78" i="3"/>
  <c r="L78" i="3"/>
  <c r="M78" i="3"/>
  <c r="T78" i="3"/>
  <c r="U78" i="3"/>
  <c r="V78" i="3"/>
  <c r="K79" i="3"/>
  <c r="L79" i="3"/>
  <c r="M79" i="3"/>
  <c r="T79" i="3"/>
  <c r="U79" i="3"/>
  <c r="V79" i="3"/>
  <c r="H80" i="3"/>
  <c r="O80" i="3" s="1"/>
  <c r="I80" i="3"/>
  <c r="K80" i="3"/>
  <c r="L80" i="3"/>
  <c r="M80" i="3"/>
  <c r="T80" i="3"/>
  <c r="U80" i="3"/>
  <c r="V80" i="3"/>
  <c r="G81" i="3"/>
  <c r="H81" i="3"/>
  <c r="O81" i="3" s="1"/>
  <c r="I81" i="3"/>
  <c r="K81" i="3"/>
  <c r="L81" i="3"/>
  <c r="M81" i="3"/>
  <c r="T81" i="3"/>
  <c r="U81" i="3"/>
  <c r="V81" i="3"/>
  <c r="J82" i="3"/>
  <c r="G83" i="3"/>
  <c r="H83" i="3"/>
  <c r="I83" i="3"/>
  <c r="K83" i="3"/>
  <c r="L83" i="3"/>
  <c r="M83" i="3"/>
  <c r="T83" i="3"/>
  <c r="U83" i="3"/>
  <c r="V83" i="3"/>
  <c r="K84" i="3"/>
  <c r="L84" i="3"/>
  <c r="M84" i="3"/>
  <c r="T84" i="3"/>
  <c r="U84" i="3"/>
  <c r="V84" i="3"/>
  <c r="G85" i="3"/>
  <c r="H85" i="3"/>
  <c r="P85" i="3" s="1"/>
  <c r="I85" i="3"/>
  <c r="K85" i="3"/>
  <c r="L85" i="3"/>
  <c r="M85" i="3"/>
  <c r="T85" i="3"/>
  <c r="U85" i="3"/>
  <c r="V85" i="3"/>
  <c r="G86" i="3"/>
  <c r="H86" i="3"/>
  <c r="I86" i="3"/>
  <c r="K86" i="3"/>
  <c r="L86" i="3"/>
  <c r="M86" i="3"/>
  <c r="T86" i="3"/>
  <c r="U86" i="3"/>
  <c r="V86" i="3"/>
  <c r="G87" i="3"/>
  <c r="H87" i="3"/>
  <c r="I87" i="3"/>
  <c r="K87" i="3"/>
  <c r="L87" i="3"/>
  <c r="M87" i="3"/>
  <c r="T87" i="3"/>
  <c r="U87" i="3"/>
  <c r="V87" i="3"/>
  <c r="K88" i="3"/>
  <c r="L88" i="3"/>
  <c r="M88" i="3"/>
  <c r="T88" i="3"/>
  <c r="U88" i="3"/>
  <c r="V88" i="3"/>
  <c r="J89" i="3"/>
  <c r="G91" i="3"/>
  <c r="H91" i="3"/>
  <c r="O91" i="3" s="1"/>
  <c r="I91" i="3"/>
  <c r="K91" i="3"/>
  <c r="L91" i="3"/>
  <c r="M91" i="3"/>
  <c r="T91" i="3"/>
  <c r="U91" i="3"/>
  <c r="V91" i="3"/>
  <c r="G92" i="3"/>
  <c r="H92" i="3"/>
  <c r="Q92" i="3" s="1"/>
  <c r="I92" i="3"/>
  <c r="K92" i="3"/>
  <c r="L92" i="3"/>
  <c r="M92" i="3"/>
  <c r="T92" i="3"/>
  <c r="U92" i="3"/>
  <c r="V92" i="3"/>
  <c r="G93" i="3"/>
  <c r="H93" i="3"/>
  <c r="P93" i="3" s="1"/>
  <c r="I93" i="3"/>
  <c r="K93" i="3"/>
  <c r="L93" i="3"/>
  <c r="M93" i="3"/>
  <c r="T93" i="3"/>
  <c r="U93" i="3"/>
  <c r="V93" i="3"/>
  <c r="K94" i="3"/>
  <c r="L94" i="3"/>
  <c r="M94" i="3"/>
  <c r="T94" i="3"/>
  <c r="U94" i="3"/>
  <c r="V94" i="3"/>
  <c r="G95" i="3"/>
  <c r="H95" i="3"/>
  <c r="I95" i="3"/>
  <c r="K95" i="3"/>
  <c r="L95" i="3"/>
  <c r="M95" i="3"/>
  <c r="T95" i="3"/>
  <c r="U95" i="3"/>
  <c r="V95" i="3"/>
  <c r="G96" i="3"/>
  <c r="H96" i="3"/>
  <c r="I96" i="3"/>
  <c r="K96" i="3"/>
  <c r="L96" i="3"/>
  <c r="M96" i="3"/>
  <c r="T96" i="3"/>
  <c r="U96" i="3"/>
  <c r="V96" i="3"/>
  <c r="J97" i="3"/>
  <c r="G98" i="3"/>
  <c r="H98" i="3"/>
  <c r="P98" i="3" s="1"/>
  <c r="I98" i="3"/>
  <c r="K98" i="3"/>
  <c r="L98" i="3"/>
  <c r="M98" i="3"/>
  <c r="T98" i="3"/>
  <c r="U98" i="3"/>
  <c r="V98" i="3"/>
  <c r="K99" i="3"/>
  <c r="L99" i="3"/>
  <c r="M99" i="3"/>
  <c r="T99" i="3"/>
  <c r="U99" i="3"/>
  <c r="V99" i="3"/>
  <c r="G100" i="3"/>
  <c r="H100" i="3"/>
  <c r="O100" i="3" s="1"/>
  <c r="I100" i="3"/>
  <c r="K100" i="3"/>
  <c r="L100" i="3"/>
  <c r="M100" i="3"/>
  <c r="T100" i="3"/>
  <c r="U100" i="3"/>
  <c r="V100" i="3"/>
  <c r="G101" i="3"/>
  <c r="H101" i="3"/>
  <c r="P101" i="3" s="1"/>
  <c r="I101" i="3"/>
  <c r="K101" i="3"/>
  <c r="L101" i="3"/>
  <c r="M101" i="3"/>
  <c r="T101" i="3"/>
  <c r="U101" i="3"/>
  <c r="V101" i="3"/>
  <c r="G102" i="3"/>
  <c r="H102" i="3"/>
  <c r="Q102" i="3" s="1"/>
  <c r="I102" i="3"/>
  <c r="K102" i="3"/>
  <c r="L102" i="3"/>
  <c r="M102" i="3"/>
  <c r="T102" i="3"/>
  <c r="U102" i="3"/>
  <c r="V102" i="3"/>
  <c r="K103" i="3"/>
  <c r="L103" i="3"/>
  <c r="M103" i="3"/>
  <c r="T103" i="3"/>
  <c r="U103" i="3"/>
  <c r="V103" i="3"/>
  <c r="G104" i="3"/>
  <c r="H104" i="3"/>
  <c r="O104" i="3" s="1"/>
  <c r="I104" i="3"/>
  <c r="K104" i="3"/>
  <c r="L104" i="3"/>
  <c r="M104" i="3"/>
  <c r="T104" i="3"/>
  <c r="U104" i="3"/>
  <c r="V104" i="3"/>
  <c r="J105" i="3"/>
  <c r="G106" i="3"/>
  <c r="H106" i="3"/>
  <c r="I106" i="3"/>
  <c r="K106" i="3"/>
  <c r="L106" i="3"/>
  <c r="M106" i="3"/>
  <c r="T106" i="3"/>
  <c r="U106" i="3"/>
  <c r="V106" i="3"/>
  <c r="G107" i="3"/>
  <c r="H107" i="3"/>
  <c r="P107" i="3" s="1"/>
  <c r="I107" i="3"/>
  <c r="K107" i="3"/>
  <c r="L107" i="3"/>
  <c r="M107" i="3"/>
  <c r="T107" i="3"/>
  <c r="U107" i="3"/>
  <c r="V107" i="3"/>
  <c r="K108" i="3"/>
  <c r="L108" i="3"/>
  <c r="M108" i="3"/>
  <c r="T108" i="3"/>
  <c r="U108" i="3"/>
  <c r="V108" i="3"/>
  <c r="G109" i="3"/>
  <c r="H109" i="3"/>
  <c r="I109" i="3"/>
  <c r="K109" i="3"/>
  <c r="L109" i="3"/>
  <c r="M109" i="3"/>
  <c r="T109" i="3"/>
  <c r="U109" i="3"/>
  <c r="V109" i="3"/>
  <c r="G110" i="3"/>
  <c r="H110" i="3"/>
  <c r="I110" i="3"/>
  <c r="K110" i="3"/>
  <c r="L110" i="3"/>
  <c r="M110" i="3"/>
  <c r="T110" i="3"/>
  <c r="U110" i="3"/>
  <c r="V110" i="3"/>
  <c r="G111" i="3"/>
  <c r="H111" i="3"/>
  <c r="O111" i="3" s="1"/>
  <c r="I111" i="3"/>
  <c r="K111" i="3"/>
  <c r="L111" i="3"/>
  <c r="M111" i="3"/>
  <c r="T111" i="3"/>
  <c r="U111" i="3"/>
  <c r="V111" i="3"/>
  <c r="J112" i="3"/>
  <c r="K115" i="3"/>
  <c r="L115" i="3"/>
  <c r="M115" i="3"/>
  <c r="T115" i="3"/>
  <c r="U115" i="3"/>
  <c r="V115" i="3"/>
  <c r="G116" i="3"/>
  <c r="H116" i="3"/>
  <c r="P116" i="3" s="1"/>
  <c r="I116" i="3"/>
  <c r="K116" i="3"/>
  <c r="L116" i="3"/>
  <c r="M116" i="3"/>
  <c r="T116" i="3"/>
  <c r="U116" i="3"/>
  <c r="V116" i="3"/>
  <c r="G117" i="3"/>
  <c r="H117" i="3"/>
  <c r="I117" i="3"/>
  <c r="K117" i="3"/>
  <c r="L117" i="3"/>
  <c r="M117" i="3"/>
  <c r="T117" i="3"/>
  <c r="U117" i="3"/>
  <c r="V117" i="3"/>
  <c r="G118" i="3"/>
  <c r="H118" i="3"/>
  <c r="I118" i="3"/>
  <c r="K118" i="3"/>
  <c r="L118" i="3"/>
  <c r="M118" i="3"/>
  <c r="T118" i="3"/>
  <c r="U118" i="3"/>
  <c r="V118" i="3"/>
  <c r="K119" i="3"/>
  <c r="L119" i="3"/>
  <c r="M119" i="3"/>
  <c r="G120" i="3"/>
  <c r="H120" i="3"/>
  <c r="I120" i="3"/>
  <c r="K120" i="3"/>
  <c r="L120" i="3"/>
  <c r="M120" i="3"/>
  <c r="T120" i="3"/>
  <c r="U120" i="3"/>
  <c r="V120" i="3"/>
  <c r="G121" i="3"/>
  <c r="H121" i="3"/>
  <c r="O121" i="3" s="1"/>
  <c r="I121" i="3"/>
  <c r="K121" i="3"/>
  <c r="L121" i="3"/>
  <c r="M121" i="3"/>
  <c r="G122" i="3"/>
  <c r="H122" i="3"/>
  <c r="Q122" i="3" s="1"/>
  <c r="I122" i="3"/>
  <c r="K122" i="3"/>
  <c r="L122" i="3"/>
  <c r="M122" i="3"/>
  <c r="T122" i="3"/>
  <c r="U122" i="3"/>
  <c r="V122" i="3"/>
  <c r="K123" i="3"/>
  <c r="L123" i="3"/>
  <c r="M123" i="3"/>
  <c r="T123" i="3"/>
  <c r="U123" i="3"/>
  <c r="V123" i="3"/>
  <c r="G124" i="3"/>
  <c r="H124" i="3"/>
  <c r="I124" i="3"/>
  <c r="K124" i="3"/>
  <c r="L124" i="3"/>
  <c r="M124" i="3"/>
  <c r="T124" i="3"/>
  <c r="U124" i="3"/>
  <c r="V124" i="3"/>
  <c r="J125" i="3"/>
  <c r="G126" i="3"/>
  <c r="H126" i="3"/>
  <c r="O126" i="3" s="1"/>
  <c r="I126" i="3"/>
  <c r="K126" i="3"/>
  <c r="L126" i="3"/>
  <c r="M126" i="3"/>
  <c r="T126" i="3"/>
  <c r="U126" i="3"/>
  <c r="V126" i="3"/>
  <c r="G127" i="3"/>
  <c r="H127" i="3"/>
  <c r="O127" i="3" s="1"/>
  <c r="I127" i="3"/>
  <c r="K127" i="3"/>
  <c r="L127" i="3"/>
  <c r="M127" i="3"/>
  <c r="T127" i="3"/>
  <c r="U127" i="3"/>
  <c r="V127" i="3"/>
  <c r="K128" i="3"/>
  <c r="L128" i="3"/>
  <c r="M128" i="3"/>
  <c r="T128" i="3"/>
  <c r="U128" i="3"/>
  <c r="V128" i="3"/>
  <c r="G129" i="3"/>
  <c r="H129" i="3"/>
  <c r="Q129" i="3" s="1"/>
  <c r="I129" i="3"/>
  <c r="K129" i="3"/>
  <c r="L129" i="3"/>
  <c r="M129" i="3"/>
  <c r="T129" i="3"/>
  <c r="U129" i="3"/>
  <c r="V129" i="3"/>
  <c r="G130" i="3"/>
  <c r="H130" i="3"/>
  <c r="O130" i="3" s="1"/>
  <c r="I130" i="3"/>
  <c r="K130" i="3"/>
  <c r="L130" i="3"/>
  <c r="M130" i="3"/>
  <c r="T130" i="3"/>
  <c r="U130" i="3"/>
  <c r="V130" i="3"/>
  <c r="G131" i="3"/>
  <c r="H131" i="3"/>
  <c r="I131" i="3"/>
  <c r="K131" i="3"/>
  <c r="L131" i="3"/>
  <c r="M131" i="3"/>
  <c r="T131" i="3"/>
  <c r="U131" i="3"/>
  <c r="V131" i="3"/>
  <c r="K132" i="3"/>
  <c r="L132" i="3"/>
  <c r="M132" i="3"/>
  <c r="T132" i="3"/>
  <c r="U132" i="3"/>
  <c r="V132" i="3"/>
  <c r="G133" i="3"/>
  <c r="H133" i="3"/>
  <c r="P133" i="3" s="1"/>
  <c r="I133" i="3"/>
  <c r="K133" i="3"/>
  <c r="L133" i="3"/>
  <c r="M133" i="3"/>
  <c r="T133" i="3"/>
  <c r="U133" i="3"/>
  <c r="V133" i="3"/>
  <c r="G134" i="3"/>
  <c r="H134" i="3"/>
  <c r="I134" i="3"/>
  <c r="K134" i="3"/>
  <c r="L134" i="3"/>
  <c r="M134" i="3"/>
  <c r="T134" i="3"/>
  <c r="U134" i="3"/>
  <c r="V134" i="3"/>
  <c r="J135" i="3"/>
  <c r="G136" i="3"/>
  <c r="H136" i="3"/>
  <c r="I136" i="3"/>
  <c r="K136" i="3"/>
  <c r="L136" i="3"/>
  <c r="M136" i="3"/>
  <c r="T136" i="3"/>
  <c r="U136" i="3"/>
  <c r="V136" i="3"/>
  <c r="K137" i="3"/>
  <c r="L137" i="3"/>
  <c r="M137" i="3"/>
  <c r="G138" i="3"/>
  <c r="H138" i="3"/>
  <c r="Q138" i="3" s="1"/>
  <c r="I138" i="3"/>
  <c r="K138" i="3"/>
  <c r="L138" i="3"/>
  <c r="M138" i="3"/>
  <c r="T138" i="3"/>
  <c r="U138" i="3"/>
  <c r="V138" i="3"/>
  <c r="G139" i="3"/>
  <c r="H139" i="3"/>
  <c r="P139" i="3" s="1"/>
  <c r="I139" i="3"/>
  <c r="K139" i="3"/>
  <c r="L139" i="3"/>
  <c r="M139" i="3"/>
  <c r="T139" i="3"/>
  <c r="U139" i="3"/>
  <c r="V139" i="3"/>
  <c r="G140" i="3"/>
  <c r="H140" i="3"/>
  <c r="O140" i="3" s="1"/>
  <c r="I140" i="3"/>
  <c r="K140" i="3"/>
  <c r="L140" i="3"/>
  <c r="M140" i="3"/>
  <c r="T140" i="3"/>
  <c r="U140" i="3"/>
  <c r="V140" i="3"/>
  <c r="K141" i="3"/>
  <c r="L141" i="3"/>
  <c r="M141" i="3"/>
  <c r="T141" i="3"/>
  <c r="U141" i="3"/>
  <c r="V141" i="3"/>
  <c r="G142" i="3"/>
  <c r="H142" i="3"/>
  <c r="O142" i="3" s="1"/>
  <c r="I142" i="3"/>
  <c r="K142" i="3"/>
  <c r="L142" i="3"/>
  <c r="M142" i="3"/>
  <c r="T142" i="3"/>
  <c r="U142" i="3"/>
  <c r="V142" i="3"/>
  <c r="J143" i="3"/>
  <c r="G145" i="3"/>
  <c r="H145" i="3"/>
  <c r="I145" i="3"/>
  <c r="K145" i="3"/>
  <c r="L145" i="3"/>
  <c r="M145" i="3"/>
  <c r="T145" i="3"/>
  <c r="U145" i="3"/>
  <c r="V145" i="3"/>
  <c r="G146" i="3"/>
  <c r="H146" i="3"/>
  <c r="O146" i="3" s="1"/>
  <c r="I146" i="3"/>
  <c r="K146" i="3"/>
  <c r="L146" i="3"/>
  <c r="M146" i="3"/>
  <c r="K147" i="3"/>
  <c r="L147" i="3"/>
  <c r="M147" i="3"/>
  <c r="G148" i="3"/>
  <c r="H148" i="3"/>
  <c r="O148" i="3" s="1"/>
  <c r="I148" i="3"/>
  <c r="K148" i="3"/>
  <c r="L148" i="3"/>
  <c r="M148" i="3"/>
  <c r="W148" i="3"/>
  <c r="G149" i="3"/>
  <c r="H149" i="3"/>
  <c r="P149" i="3" s="1"/>
  <c r="I149" i="3"/>
  <c r="K149" i="3"/>
  <c r="L149" i="3"/>
  <c r="M149" i="3"/>
  <c r="G150" i="3"/>
  <c r="H150" i="3"/>
  <c r="P150" i="3" s="1"/>
  <c r="I150" i="3"/>
  <c r="K150" i="3"/>
  <c r="L150" i="3"/>
  <c r="M150" i="3"/>
  <c r="T150" i="3"/>
  <c r="U150" i="3"/>
  <c r="V150" i="3"/>
  <c r="K151" i="3"/>
  <c r="L151" i="3"/>
  <c r="M151" i="3"/>
  <c r="G152" i="3"/>
  <c r="H152" i="3"/>
  <c r="P152" i="3" s="1"/>
  <c r="I152" i="3"/>
  <c r="K152" i="3"/>
  <c r="L152" i="3"/>
  <c r="M152" i="3"/>
  <c r="T152" i="3"/>
  <c r="U152" i="3"/>
  <c r="V152" i="3"/>
  <c r="J153" i="3"/>
  <c r="G154" i="3"/>
  <c r="H154" i="3"/>
  <c r="P154" i="3" s="1"/>
  <c r="I154" i="3"/>
  <c r="K154" i="3"/>
  <c r="L154" i="3"/>
  <c r="M154" i="3"/>
  <c r="T154" i="3"/>
  <c r="U154" i="3"/>
  <c r="V154" i="3"/>
  <c r="G155" i="3"/>
  <c r="H155" i="3"/>
  <c r="I155" i="3"/>
  <c r="K155" i="3"/>
  <c r="L155" i="3"/>
  <c r="M155" i="3"/>
  <c r="T155" i="3"/>
  <c r="U155" i="3"/>
  <c r="V155" i="3"/>
  <c r="K156" i="3"/>
  <c r="L156" i="3"/>
  <c r="M156" i="3"/>
  <c r="T156" i="3"/>
  <c r="U156" i="3"/>
  <c r="V156" i="3"/>
  <c r="G157" i="3"/>
  <c r="H157" i="3"/>
  <c r="I157" i="3"/>
  <c r="K157" i="3"/>
  <c r="L157" i="3"/>
  <c r="M157" i="3"/>
  <c r="T157" i="3"/>
  <c r="U157" i="3"/>
  <c r="V157" i="3"/>
  <c r="G158" i="3"/>
  <c r="H158" i="3"/>
  <c r="O158" i="3" s="1"/>
  <c r="I158" i="3"/>
  <c r="K158" i="3"/>
  <c r="L158" i="3"/>
  <c r="M158" i="3"/>
  <c r="T158" i="3"/>
  <c r="U158" i="3"/>
  <c r="V158" i="3"/>
  <c r="G159" i="3"/>
  <c r="H159" i="3"/>
  <c r="O159" i="3" s="1"/>
  <c r="I159" i="3"/>
  <c r="K159" i="3"/>
  <c r="L159" i="3"/>
  <c r="M159" i="3"/>
  <c r="K160" i="3"/>
  <c r="L160" i="3"/>
  <c r="M160" i="3"/>
  <c r="T160" i="3"/>
  <c r="U160" i="3"/>
  <c r="V160" i="3"/>
  <c r="G161" i="3"/>
  <c r="H161" i="3"/>
  <c r="O161" i="3" s="1"/>
  <c r="I161" i="3"/>
  <c r="K161" i="3"/>
  <c r="L161" i="3"/>
  <c r="M161" i="3"/>
  <c r="T161" i="3"/>
  <c r="U161" i="3"/>
  <c r="V161" i="3"/>
  <c r="G162" i="3"/>
  <c r="H162" i="3"/>
  <c r="P162" i="3" s="1"/>
  <c r="I162" i="3"/>
  <c r="K162" i="3"/>
  <c r="L162" i="3"/>
  <c r="M162" i="3"/>
  <c r="T162" i="3"/>
  <c r="U162" i="3"/>
  <c r="V162" i="3"/>
  <c r="J163" i="3"/>
  <c r="G164" i="3"/>
  <c r="H164" i="3"/>
  <c r="Q164" i="3" s="1"/>
  <c r="I164" i="3"/>
  <c r="K164" i="3"/>
  <c r="L164" i="3"/>
  <c r="M164" i="3"/>
  <c r="T164" i="3"/>
  <c r="U164" i="3"/>
  <c r="V164" i="3"/>
  <c r="K165" i="3"/>
  <c r="L165" i="3"/>
  <c r="M165" i="3"/>
  <c r="G166" i="3"/>
  <c r="H166" i="3"/>
  <c r="Q166" i="3" s="1"/>
  <c r="I166" i="3"/>
  <c r="K166" i="3"/>
  <c r="L166" i="3"/>
  <c r="M166" i="3"/>
  <c r="T166" i="3"/>
  <c r="U166" i="3"/>
  <c r="V166" i="3"/>
  <c r="G167" i="3"/>
  <c r="H167" i="3"/>
  <c r="O167" i="3" s="1"/>
  <c r="I167" i="3"/>
  <c r="K167" i="3"/>
  <c r="L167" i="3"/>
  <c r="M167" i="3"/>
  <c r="T167" i="3"/>
  <c r="U167" i="3"/>
  <c r="V167" i="3"/>
  <c r="G168" i="3"/>
  <c r="H168" i="3"/>
  <c r="I168" i="3"/>
  <c r="K168" i="3"/>
  <c r="L168" i="3"/>
  <c r="M168" i="3"/>
  <c r="T168" i="3"/>
  <c r="U168" i="3"/>
  <c r="V168" i="3"/>
  <c r="K169" i="3"/>
  <c r="L169" i="3"/>
  <c r="M169" i="3"/>
  <c r="T169" i="3"/>
  <c r="U169" i="3"/>
  <c r="V169" i="3"/>
  <c r="G170" i="3"/>
  <c r="H170" i="3"/>
  <c r="I170" i="3"/>
  <c r="K170" i="3"/>
  <c r="L170" i="3"/>
  <c r="M170" i="3"/>
  <c r="T170" i="3"/>
  <c r="U170" i="3"/>
  <c r="V170" i="3"/>
  <c r="G171" i="3"/>
  <c r="H171" i="3"/>
  <c r="O171" i="3" s="1"/>
  <c r="I171" i="3"/>
  <c r="K171" i="3"/>
  <c r="L171" i="3"/>
  <c r="M171" i="3"/>
  <c r="T171" i="3"/>
  <c r="U171" i="3"/>
  <c r="V171" i="3"/>
  <c r="G172" i="3"/>
  <c r="H172" i="3"/>
  <c r="I172" i="3"/>
  <c r="K172" i="3"/>
  <c r="L172" i="3"/>
  <c r="M172" i="3"/>
  <c r="T172" i="3"/>
  <c r="U172" i="3"/>
  <c r="V172" i="3"/>
  <c r="K173" i="3"/>
  <c r="L173" i="3"/>
  <c r="M173" i="3"/>
  <c r="T173" i="3"/>
  <c r="U173" i="3"/>
  <c r="V173" i="3"/>
  <c r="J174" i="3"/>
  <c r="G176" i="3"/>
  <c r="H176" i="3"/>
  <c r="P176" i="3" s="1"/>
  <c r="I176" i="3"/>
  <c r="K176" i="3"/>
  <c r="L176" i="3"/>
  <c r="M176" i="3"/>
  <c r="G177" i="3"/>
  <c r="H177" i="3"/>
  <c r="Q177" i="3" s="1"/>
  <c r="I177" i="3"/>
  <c r="K177" i="3"/>
  <c r="L177" i="3"/>
  <c r="M177" i="3"/>
  <c r="G178" i="3"/>
  <c r="H178" i="3"/>
  <c r="I178" i="3"/>
  <c r="K178" i="3"/>
  <c r="L178" i="3"/>
  <c r="M178" i="3"/>
  <c r="T178" i="3"/>
  <c r="W178" i="3" s="1"/>
  <c r="K179" i="3"/>
  <c r="L179" i="3"/>
  <c r="M179" i="3"/>
  <c r="T179" i="3"/>
  <c r="U179" i="3"/>
  <c r="V179" i="3"/>
  <c r="G180" i="3"/>
  <c r="H180" i="3"/>
  <c r="O180" i="3" s="1"/>
  <c r="I180" i="3"/>
  <c r="K180" i="3"/>
  <c r="L180" i="3"/>
  <c r="M180" i="3"/>
  <c r="T180" i="3"/>
  <c r="U180" i="3"/>
  <c r="V180" i="3"/>
  <c r="G181" i="3"/>
  <c r="H181" i="3"/>
  <c r="O181" i="3" s="1"/>
  <c r="I181" i="3"/>
  <c r="K181" i="3"/>
  <c r="L181" i="3"/>
  <c r="M181" i="3"/>
  <c r="T181" i="3"/>
  <c r="U181" i="3"/>
  <c r="V181" i="3"/>
  <c r="G182" i="3"/>
  <c r="H182" i="3"/>
  <c r="O182" i="3" s="1"/>
  <c r="I182" i="3"/>
  <c r="K182" i="3"/>
  <c r="L182" i="3"/>
  <c r="M182" i="3"/>
  <c r="T182" i="3"/>
  <c r="U182" i="3"/>
  <c r="V182" i="3"/>
  <c r="K183" i="3"/>
  <c r="L183" i="3"/>
  <c r="M183" i="3"/>
  <c r="T183" i="3"/>
  <c r="U183" i="3"/>
  <c r="V183" i="3"/>
  <c r="J184" i="3"/>
  <c r="G185" i="3"/>
  <c r="H185" i="3"/>
  <c r="I185" i="3"/>
  <c r="K185" i="3"/>
  <c r="L185" i="3"/>
  <c r="M185" i="3"/>
  <c r="T185" i="3"/>
  <c r="U185" i="3"/>
  <c r="V185" i="3"/>
  <c r="G186" i="3"/>
  <c r="H186" i="3"/>
  <c r="I186" i="3"/>
  <c r="K186" i="3"/>
  <c r="L186" i="3"/>
  <c r="M186" i="3"/>
  <c r="T186" i="3"/>
  <c r="U186" i="3"/>
  <c r="V186" i="3"/>
  <c r="G187" i="3"/>
  <c r="H187" i="3"/>
  <c r="I187" i="3"/>
  <c r="K187" i="3"/>
  <c r="L187" i="3"/>
  <c r="M187" i="3"/>
  <c r="T187" i="3"/>
  <c r="U187" i="3"/>
  <c r="V187" i="3"/>
  <c r="K188" i="3"/>
  <c r="L188" i="3"/>
  <c r="M188" i="3"/>
  <c r="T188" i="3"/>
  <c r="U188" i="3"/>
  <c r="V188" i="3"/>
  <c r="G189" i="3"/>
  <c r="H189" i="3"/>
  <c r="O189" i="3" s="1"/>
  <c r="I189" i="3"/>
  <c r="K189" i="3"/>
  <c r="L189" i="3"/>
  <c r="M189" i="3"/>
  <c r="T189" i="3"/>
  <c r="U189" i="3"/>
  <c r="V189" i="3"/>
  <c r="G190" i="3"/>
  <c r="H190" i="3"/>
  <c r="I190" i="3"/>
  <c r="K190" i="3"/>
  <c r="L190" i="3"/>
  <c r="M190" i="3"/>
  <c r="T190" i="3"/>
  <c r="U190" i="3"/>
  <c r="V190" i="3"/>
  <c r="J191" i="3"/>
  <c r="G192" i="3"/>
  <c r="H192" i="3"/>
  <c r="I192" i="3"/>
  <c r="K192" i="3"/>
  <c r="L192" i="3"/>
  <c r="M192" i="3"/>
  <c r="T192" i="3"/>
  <c r="U192" i="3"/>
  <c r="V192" i="3"/>
  <c r="K193" i="3"/>
  <c r="L193" i="3"/>
  <c r="M193" i="3"/>
  <c r="T193" i="3"/>
  <c r="U193" i="3"/>
  <c r="V193" i="3"/>
  <c r="G194" i="3"/>
  <c r="H194" i="3"/>
  <c r="O194" i="3" s="1"/>
  <c r="I194" i="3"/>
  <c r="K194" i="3"/>
  <c r="L194" i="3"/>
  <c r="M194" i="3"/>
  <c r="T194" i="3"/>
  <c r="U194" i="3"/>
  <c r="V194" i="3"/>
  <c r="G195" i="3"/>
  <c r="H195" i="3"/>
  <c r="I195" i="3"/>
  <c r="K195" i="3"/>
  <c r="L195" i="3"/>
  <c r="M195" i="3"/>
  <c r="T195" i="3"/>
  <c r="U195" i="3"/>
  <c r="V195" i="3"/>
  <c r="G196" i="3"/>
  <c r="H196" i="3"/>
  <c r="O196" i="3" s="1"/>
  <c r="I196" i="3"/>
  <c r="K196" i="3"/>
  <c r="L196" i="3"/>
  <c r="M196" i="3"/>
  <c r="T196" i="3"/>
  <c r="U196" i="3"/>
  <c r="V196" i="3"/>
  <c r="J197" i="3"/>
  <c r="K198" i="3"/>
  <c r="L198" i="3"/>
  <c r="M198" i="3"/>
  <c r="T198" i="3"/>
  <c r="U198" i="3"/>
  <c r="V198" i="3"/>
  <c r="G199" i="3"/>
  <c r="H199" i="3"/>
  <c r="O199" i="3" s="1"/>
  <c r="I199" i="3"/>
  <c r="K199" i="3"/>
  <c r="L199" i="3"/>
  <c r="M199" i="3"/>
  <c r="T199" i="3"/>
  <c r="U199" i="3"/>
  <c r="V199" i="3"/>
  <c r="G200" i="3"/>
  <c r="H200" i="3"/>
  <c r="I200" i="3"/>
  <c r="K200" i="3"/>
  <c r="L200" i="3"/>
  <c r="M200" i="3"/>
  <c r="G201" i="3"/>
  <c r="H201" i="3"/>
  <c r="I201" i="3"/>
  <c r="K201" i="3"/>
  <c r="L201" i="3"/>
  <c r="M201" i="3"/>
  <c r="T201" i="3"/>
  <c r="U201" i="3"/>
  <c r="V201" i="3"/>
  <c r="K202" i="3"/>
  <c r="L202" i="3"/>
  <c r="M202" i="3"/>
  <c r="T202" i="3"/>
  <c r="U202" i="3"/>
  <c r="V202" i="3"/>
  <c r="G203" i="3"/>
  <c r="H203" i="3"/>
  <c r="I203" i="3"/>
  <c r="K203" i="3"/>
  <c r="L203" i="3"/>
  <c r="M203" i="3"/>
  <c r="T203" i="3"/>
  <c r="U203" i="3"/>
  <c r="V203" i="3"/>
  <c r="G204" i="3"/>
  <c r="H204" i="3"/>
  <c r="I204" i="3"/>
  <c r="K204" i="3"/>
  <c r="L204" i="3"/>
  <c r="M204" i="3"/>
  <c r="T204" i="3"/>
  <c r="U204" i="3"/>
  <c r="V204" i="3"/>
  <c r="G205" i="3"/>
  <c r="H205" i="3"/>
  <c r="O205" i="3" s="1"/>
  <c r="I205" i="3"/>
  <c r="K205" i="3"/>
  <c r="L205" i="3"/>
  <c r="M205" i="3"/>
  <c r="Q205" i="3"/>
  <c r="T205" i="3"/>
  <c r="U205" i="3"/>
  <c r="V205" i="3"/>
  <c r="J206" i="3"/>
  <c r="K209" i="3"/>
  <c r="L209" i="3"/>
  <c r="M209" i="3"/>
  <c r="T209" i="3"/>
  <c r="U209" i="3"/>
  <c r="V209" i="3"/>
  <c r="G210" i="3"/>
  <c r="H210" i="3"/>
  <c r="O210" i="3" s="1"/>
  <c r="I210" i="3"/>
  <c r="K210" i="3"/>
  <c r="L210" i="3"/>
  <c r="M210" i="3"/>
  <c r="T210" i="3"/>
  <c r="U210" i="3"/>
  <c r="V210" i="3"/>
  <c r="G211" i="3"/>
  <c r="H211" i="3"/>
  <c r="O211" i="3" s="1"/>
  <c r="I211" i="3"/>
  <c r="K211" i="3"/>
  <c r="L211" i="3"/>
  <c r="M211" i="3"/>
  <c r="T211" i="3"/>
  <c r="U211" i="3"/>
  <c r="V211" i="3"/>
  <c r="G212" i="3"/>
  <c r="H212" i="3"/>
  <c r="O212" i="3" s="1"/>
  <c r="I212" i="3"/>
  <c r="K212" i="3"/>
  <c r="L212" i="3"/>
  <c r="M212" i="3"/>
  <c r="T212" i="3"/>
  <c r="U212" i="3"/>
  <c r="V212" i="3"/>
  <c r="I213" i="3"/>
  <c r="K213" i="3"/>
  <c r="L213" i="3"/>
  <c r="M213" i="3"/>
  <c r="T213" i="3"/>
  <c r="U213" i="3"/>
  <c r="V213" i="3"/>
  <c r="G214" i="3"/>
  <c r="H214" i="3"/>
  <c r="Q214" i="3" s="1"/>
  <c r="I214" i="3"/>
  <c r="K214" i="3"/>
  <c r="L214" i="3"/>
  <c r="M214" i="3"/>
  <c r="T214" i="3"/>
  <c r="U214" i="3"/>
  <c r="V214" i="3"/>
  <c r="E215" i="3"/>
  <c r="I215" i="3" s="1"/>
  <c r="J215" i="3"/>
  <c r="G216" i="3"/>
  <c r="H216" i="3"/>
  <c r="Q216" i="3" s="1"/>
  <c r="I216" i="3"/>
  <c r="K216" i="3"/>
  <c r="L216" i="3"/>
  <c r="M216" i="3"/>
  <c r="O216" i="3"/>
  <c r="T216" i="3"/>
  <c r="U216" i="3"/>
  <c r="V216" i="3"/>
  <c r="G217" i="3"/>
  <c r="H217" i="3"/>
  <c r="Q217" i="3" s="1"/>
  <c r="I217" i="3"/>
  <c r="K217" i="3"/>
  <c r="L217" i="3"/>
  <c r="M217" i="3"/>
  <c r="T217" i="3"/>
  <c r="U217" i="3"/>
  <c r="V217" i="3"/>
  <c r="K218" i="3"/>
  <c r="L218" i="3"/>
  <c r="M218" i="3"/>
  <c r="T218" i="3"/>
  <c r="U218" i="3"/>
  <c r="V218" i="3"/>
  <c r="G219" i="3"/>
  <c r="H219" i="3"/>
  <c r="P219" i="3" s="1"/>
  <c r="I219" i="3"/>
  <c r="K219" i="3"/>
  <c r="L219" i="3"/>
  <c r="M219" i="3"/>
  <c r="T219" i="3"/>
  <c r="U219" i="3"/>
  <c r="V219" i="3"/>
  <c r="G220" i="3"/>
  <c r="H220" i="3"/>
  <c r="O220" i="3" s="1"/>
  <c r="I220" i="3"/>
  <c r="K220" i="3"/>
  <c r="L220" i="3"/>
  <c r="M220" i="3"/>
  <c r="T220" i="3"/>
  <c r="U220" i="3"/>
  <c r="V220" i="3"/>
  <c r="G221" i="3"/>
  <c r="H221" i="3"/>
  <c r="I221" i="3"/>
  <c r="K221" i="3"/>
  <c r="L221" i="3"/>
  <c r="M221" i="3"/>
  <c r="T221" i="3"/>
  <c r="U221" i="3"/>
  <c r="V221" i="3"/>
  <c r="K222" i="3"/>
  <c r="L222" i="3"/>
  <c r="M222" i="3"/>
  <c r="T222" i="3"/>
  <c r="U222" i="3"/>
  <c r="V222" i="3"/>
  <c r="G223" i="3"/>
  <c r="H223" i="3"/>
  <c r="I223" i="3"/>
  <c r="K223" i="3"/>
  <c r="L223" i="3"/>
  <c r="M223" i="3"/>
  <c r="F224" i="3"/>
  <c r="J224" i="3"/>
  <c r="G225" i="3"/>
  <c r="H225" i="3"/>
  <c r="I225" i="3"/>
  <c r="K225" i="3"/>
  <c r="L225" i="3"/>
  <c r="M225" i="3"/>
  <c r="T225" i="3"/>
  <c r="U225" i="3"/>
  <c r="V225" i="3"/>
  <c r="G226" i="3"/>
  <c r="H226" i="3"/>
  <c r="I226" i="3"/>
  <c r="K226" i="3"/>
  <c r="L226" i="3"/>
  <c r="M226" i="3"/>
  <c r="T226" i="3"/>
  <c r="U226" i="3"/>
  <c r="V226" i="3"/>
  <c r="H227" i="3"/>
  <c r="K227" i="3"/>
  <c r="L227" i="3"/>
  <c r="M227" i="3"/>
  <c r="T227" i="3"/>
  <c r="U227" i="3"/>
  <c r="V227" i="3"/>
  <c r="G228" i="3"/>
  <c r="H228" i="3"/>
  <c r="O228" i="3" s="1"/>
  <c r="I228" i="3"/>
  <c r="K228" i="3"/>
  <c r="L228" i="3"/>
  <c r="M228" i="3"/>
  <c r="T228" i="3"/>
  <c r="U228" i="3"/>
  <c r="V228" i="3"/>
  <c r="J229" i="3"/>
  <c r="G231" i="3"/>
  <c r="H231" i="3"/>
  <c r="I231" i="3"/>
  <c r="K231" i="3"/>
  <c r="L231" i="3"/>
  <c r="M231" i="3"/>
  <c r="T231" i="3"/>
  <c r="U231" i="3"/>
  <c r="V231" i="3"/>
  <c r="G232" i="3"/>
  <c r="H232" i="3"/>
  <c r="Q232" i="3" s="1"/>
  <c r="I232" i="3"/>
  <c r="K232" i="3"/>
  <c r="L232" i="3"/>
  <c r="M232" i="3"/>
  <c r="T232" i="3"/>
  <c r="U232" i="3"/>
  <c r="V232" i="3"/>
  <c r="K233" i="3"/>
  <c r="L233" i="3"/>
  <c r="M233" i="3"/>
  <c r="T233" i="3"/>
  <c r="U233" i="3"/>
  <c r="V233" i="3"/>
  <c r="G234" i="3"/>
  <c r="H234" i="3"/>
  <c r="P234" i="3" s="1"/>
  <c r="I234" i="3"/>
  <c r="K234" i="3"/>
  <c r="L234" i="3"/>
  <c r="M234" i="3"/>
  <c r="T234" i="3"/>
  <c r="U234" i="3"/>
  <c r="V234" i="3"/>
  <c r="G235" i="3"/>
  <c r="H235" i="3"/>
  <c r="I235" i="3"/>
  <c r="K235" i="3"/>
  <c r="L235" i="3"/>
  <c r="M235" i="3"/>
  <c r="G236" i="3"/>
  <c r="H236" i="3"/>
  <c r="I236" i="3"/>
  <c r="K236" i="3"/>
  <c r="L236" i="3"/>
  <c r="M236" i="3"/>
  <c r="T236" i="3"/>
  <c r="U236" i="3"/>
  <c r="V236" i="3"/>
  <c r="K237" i="3"/>
  <c r="L237" i="3"/>
  <c r="M237" i="3"/>
  <c r="T237" i="3"/>
  <c r="U237" i="3"/>
  <c r="V237" i="3"/>
  <c r="G238" i="3"/>
  <c r="H238" i="3"/>
  <c r="Q238" i="3" s="1"/>
  <c r="I238" i="3"/>
  <c r="K238" i="3"/>
  <c r="L238" i="3"/>
  <c r="M238" i="3"/>
  <c r="T238" i="3"/>
  <c r="U238" i="3"/>
  <c r="V238" i="3"/>
  <c r="G239" i="3"/>
  <c r="H239" i="3"/>
  <c r="O239" i="3" s="1"/>
  <c r="I239" i="3"/>
  <c r="K239" i="3"/>
  <c r="L239" i="3"/>
  <c r="M239" i="3"/>
  <c r="T239" i="3"/>
  <c r="U239" i="3"/>
  <c r="V239" i="3"/>
  <c r="J240" i="3"/>
  <c r="G241" i="3"/>
  <c r="H241" i="3"/>
  <c r="O241" i="3" s="1"/>
  <c r="I241" i="3"/>
  <c r="K241" i="3"/>
  <c r="L241" i="3"/>
  <c r="M241" i="3"/>
  <c r="T241" i="3"/>
  <c r="U241" i="3"/>
  <c r="V241" i="3"/>
  <c r="K242" i="3"/>
  <c r="L242" i="3"/>
  <c r="M242" i="3"/>
  <c r="T242" i="3"/>
  <c r="U242" i="3"/>
  <c r="V242" i="3"/>
  <c r="G243" i="3"/>
  <c r="H243" i="3"/>
  <c r="O243" i="3" s="1"/>
  <c r="I243" i="3"/>
  <c r="K243" i="3"/>
  <c r="L243" i="3"/>
  <c r="M243" i="3"/>
  <c r="T243" i="3"/>
  <c r="U243" i="3"/>
  <c r="V243" i="3"/>
  <c r="G244" i="3"/>
  <c r="H244" i="3"/>
  <c r="P244" i="3" s="1"/>
  <c r="I244" i="3"/>
  <c r="K244" i="3"/>
  <c r="L244" i="3"/>
  <c r="M244" i="3"/>
  <c r="T244" i="3"/>
  <c r="U244" i="3"/>
  <c r="V244" i="3"/>
  <c r="G245" i="3"/>
  <c r="H245" i="3"/>
  <c r="O245" i="3" s="1"/>
  <c r="I245" i="3"/>
  <c r="K245" i="3"/>
  <c r="L245" i="3"/>
  <c r="M245" i="3"/>
  <c r="T245" i="3"/>
  <c r="U245" i="3"/>
  <c r="V245" i="3"/>
  <c r="I246" i="3"/>
  <c r="K246" i="3"/>
  <c r="L246" i="3"/>
  <c r="M246" i="3"/>
  <c r="T246" i="3"/>
  <c r="U246" i="3"/>
  <c r="V246" i="3"/>
  <c r="G247" i="3"/>
  <c r="H247" i="3"/>
  <c r="O247" i="3" s="1"/>
  <c r="I247" i="3"/>
  <c r="K247" i="3"/>
  <c r="L247" i="3"/>
  <c r="M247" i="3"/>
  <c r="G248" i="3"/>
  <c r="H248" i="3"/>
  <c r="P248" i="3" s="1"/>
  <c r="I248" i="3"/>
  <c r="K248" i="3"/>
  <c r="L248" i="3"/>
  <c r="M248" i="3"/>
  <c r="T248" i="3"/>
  <c r="U248" i="3"/>
  <c r="V248" i="3"/>
  <c r="J249" i="3"/>
  <c r="G251" i="3"/>
  <c r="H251" i="3"/>
  <c r="I251" i="3"/>
  <c r="K251" i="3"/>
  <c r="L251" i="3"/>
  <c r="M251" i="3"/>
  <c r="T251" i="3"/>
  <c r="U251" i="3"/>
  <c r="V251" i="3"/>
  <c r="K252" i="3"/>
  <c r="L252" i="3"/>
  <c r="M252" i="3"/>
  <c r="G253" i="3"/>
  <c r="H253" i="3"/>
  <c r="O253" i="3" s="1"/>
  <c r="I253" i="3"/>
  <c r="K253" i="3"/>
  <c r="L253" i="3"/>
  <c r="M253" i="3"/>
  <c r="T253" i="3"/>
  <c r="U253" i="3"/>
  <c r="V253" i="3"/>
  <c r="G254" i="3"/>
  <c r="H254" i="3"/>
  <c r="P254" i="3" s="1"/>
  <c r="I254" i="3"/>
  <c r="K254" i="3"/>
  <c r="L254" i="3"/>
  <c r="M254" i="3"/>
  <c r="T254" i="3"/>
  <c r="U254" i="3"/>
  <c r="V254" i="3"/>
  <c r="G255" i="3"/>
  <c r="H255" i="3"/>
  <c r="O255" i="3" s="1"/>
  <c r="I255" i="3"/>
  <c r="K255" i="3"/>
  <c r="L255" i="3"/>
  <c r="M255" i="3"/>
  <c r="T255" i="3"/>
  <c r="U255" i="3"/>
  <c r="V255" i="3"/>
  <c r="K256" i="3"/>
  <c r="L256" i="3"/>
  <c r="M256" i="3"/>
  <c r="T256" i="3"/>
  <c r="U256" i="3"/>
  <c r="V256" i="3"/>
  <c r="J257" i="3"/>
  <c r="G258" i="3"/>
  <c r="H258" i="3"/>
  <c r="I258" i="3"/>
  <c r="K258" i="3"/>
  <c r="L258" i="3"/>
  <c r="M258" i="3"/>
  <c r="T258" i="3"/>
  <c r="U258" i="3"/>
  <c r="V258" i="3"/>
  <c r="G259" i="3"/>
  <c r="H259" i="3"/>
  <c r="I259" i="3"/>
  <c r="K259" i="3"/>
  <c r="L259" i="3"/>
  <c r="M259" i="3"/>
  <c r="T259" i="3"/>
  <c r="U259" i="3"/>
  <c r="V259" i="3"/>
  <c r="G260" i="3"/>
  <c r="H260" i="3"/>
  <c r="I260" i="3"/>
  <c r="K260" i="3"/>
  <c r="L260" i="3"/>
  <c r="M260" i="3"/>
  <c r="T260" i="3"/>
  <c r="U260" i="3"/>
  <c r="V260" i="3"/>
  <c r="I261" i="3"/>
  <c r="K261" i="3"/>
  <c r="L261" i="3"/>
  <c r="M261" i="3"/>
  <c r="T261" i="3"/>
  <c r="U261" i="3"/>
  <c r="V261" i="3"/>
  <c r="G262" i="3"/>
  <c r="H262" i="3"/>
  <c r="P262" i="3" s="1"/>
  <c r="I262" i="3"/>
  <c r="K262" i="3"/>
  <c r="L262" i="3"/>
  <c r="M262" i="3"/>
  <c r="T262" i="3"/>
  <c r="U262" i="3"/>
  <c r="V262" i="3"/>
  <c r="E263" i="3"/>
  <c r="I263" i="3" s="1"/>
  <c r="J263" i="3"/>
  <c r="G264" i="3"/>
  <c r="H264" i="3"/>
  <c r="I264" i="3"/>
  <c r="K264" i="3"/>
  <c r="L264" i="3"/>
  <c r="M264" i="3"/>
  <c r="T264" i="3"/>
  <c r="U264" i="3"/>
  <c r="V264" i="3"/>
  <c r="G265" i="3"/>
  <c r="H265" i="3"/>
  <c r="P265" i="3" s="1"/>
  <c r="I265" i="3"/>
  <c r="K265" i="3"/>
  <c r="L265" i="3"/>
  <c r="M265" i="3"/>
  <c r="T265" i="3"/>
  <c r="U265" i="3"/>
  <c r="V265" i="3"/>
  <c r="K266" i="3"/>
  <c r="L266" i="3"/>
  <c r="M266" i="3"/>
  <c r="T266" i="3"/>
  <c r="U266" i="3"/>
  <c r="V266" i="3"/>
  <c r="G267" i="3"/>
  <c r="H267" i="3"/>
  <c r="Q267" i="3" s="1"/>
  <c r="I267" i="3"/>
  <c r="K267" i="3"/>
  <c r="L267" i="3"/>
  <c r="M267" i="3"/>
  <c r="G268" i="3"/>
  <c r="H268" i="3"/>
  <c r="I268" i="3"/>
  <c r="K268" i="3"/>
  <c r="L268" i="3"/>
  <c r="M268" i="3"/>
  <c r="T268" i="3"/>
  <c r="U268" i="3"/>
  <c r="V268" i="3"/>
  <c r="G269" i="3"/>
  <c r="H269" i="3"/>
  <c r="I269" i="3"/>
  <c r="K269" i="3"/>
  <c r="L269" i="3"/>
  <c r="M269" i="3"/>
  <c r="T269" i="3"/>
  <c r="U269" i="3"/>
  <c r="V269" i="3"/>
  <c r="J270" i="3"/>
  <c r="K271" i="3"/>
  <c r="L271" i="3"/>
  <c r="M271" i="3"/>
  <c r="T271" i="3"/>
  <c r="U271" i="3"/>
  <c r="V271" i="3"/>
  <c r="G272" i="3"/>
  <c r="H272" i="3"/>
  <c r="P272" i="3" s="1"/>
  <c r="I272" i="3"/>
  <c r="K272" i="3"/>
  <c r="L272" i="3"/>
  <c r="M272" i="3"/>
  <c r="T272" i="3"/>
  <c r="U272" i="3"/>
  <c r="V272" i="3"/>
  <c r="G273" i="3"/>
  <c r="H273" i="3"/>
  <c r="Q273" i="3" s="1"/>
  <c r="I273" i="3"/>
  <c r="K273" i="3"/>
  <c r="L273" i="3"/>
  <c r="M273" i="3"/>
  <c r="T273" i="3"/>
  <c r="U273" i="3"/>
  <c r="V273" i="3"/>
  <c r="G274" i="3"/>
  <c r="H274" i="3"/>
  <c r="P274" i="3" s="1"/>
  <c r="I274" i="3"/>
  <c r="K274" i="3"/>
  <c r="L274" i="3"/>
  <c r="M274" i="3"/>
  <c r="T274" i="3"/>
  <c r="U274" i="3"/>
  <c r="V274" i="3"/>
  <c r="K275" i="3"/>
  <c r="L275" i="3"/>
  <c r="M275" i="3"/>
  <c r="G276" i="3"/>
  <c r="H276" i="3"/>
  <c r="I276" i="3"/>
  <c r="K276" i="3"/>
  <c r="L276" i="3"/>
  <c r="M276" i="3"/>
  <c r="T276" i="3"/>
  <c r="U276" i="3"/>
  <c r="V276" i="3"/>
  <c r="E277" i="3"/>
  <c r="J277" i="3"/>
  <c r="G280" i="3"/>
  <c r="H280" i="3"/>
  <c r="O280" i="3" s="1"/>
  <c r="I280" i="3"/>
  <c r="K280" i="3"/>
  <c r="L280" i="3"/>
  <c r="M280" i="3"/>
  <c r="T280" i="3"/>
  <c r="U280" i="3"/>
  <c r="V280" i="3"/>
  <c r="G281" i="3"/>
  <c r="H281" i="3"/>
  <c r="I281" i="3"/>
  <c r="K281" i="3"/>
  <c r="L281" i="3"/>
  <c r="M281" i="3"/>
  <c r="T281" i="3"/>
  <c r="U281" i="3"/>
  <c r="V281" i="3"/>
  <c r="K282" i="3"/>
  <c r="L282" i="3"/>
  <c r="M282" i="3"/>
  <c r="T282" i="3"/>
  <c r="U282" i="3"/>
  <c r="V282" i="3"/>
  <c r="G283" i="3"/>
  <c r="H283" i="3"/>
  <c r="P283" i="3" s="1"/>
  <c r="I283" i="3"/>
  <c r="K283" i="3"/>
  <c r="L283" i="3"/>
  <c r="M283" i="3"/>
  <c r="T283" i="3"/>
  <c r="U283" i="3"/>
  <c r="V283" i="3"/>
  <c r="G284" i="3"/>
  <c r="H284" i="3"/>
  <c r="I284" i="3"/>
  <c r="K284" i="3"/>
  <c r="L284" i="3"/>
  <c r="M284" i="3"/>
  <c r="T284" i="3"/>
  <c r="U284" i="3"/>
  <c r="V284" i="3"/>
  <c r="G285" i="3"/>
  <c r="H285" i="3"/>
  <c r="Q285" i="3" s="1"/>
  <c r="I285" i="3"/>
  <c r="K285" i="3"/>
  <c r="L285" i="3"/>
  <c r="M285" i="3"/>
  <c r="T285" i="3"/>
  <c r="U285" i="3"/>
  <c r="V285" i="3"/>
  <c r="K286" i="3"/>
  <c r="L286" i="3"/>
  <c r="M286" i="3"/>
  <c r="T286" i="3"/>
  <c r="U286" i="3"/>
  <c r="V286" i="3"/>
  <c r="G287" i="3"/>
  <c r="H287" i="3"/>
  <c r="O287" i="3" s="1"/>
  <c r="I287" i="3"/>
  <c r="K287" i="3"/>
  <c r="L287" i="3"/>
  <c r="M287" i="3"/>
  <c r="G288" i="3"/>
  <c r="H288" i="3"/>
  <c r="O288" i="3" s="1"/>
  <c r="I288" i="3"/>
  <c r="K288" i="3"/>
  <c r="L288" i="3"/>
  <c r="M288" i="3"/>
  <c r="T288" i="3"/>
  <c r="U288" i="3"/>
  <c r="V288" i="3"/>
  <c r="J289" i="3"/>
  <c r="G290" i="3"/>
  <c r="H290" i="3"/>
  <c r="I290" i="3"/>
  <c r="K290" i="3"/>
  <c r="L290" i="3"/>
  <c r="M290" i="3"/>
  <c r="T290" i="3"/>
  <c r="U290" i="3"/>
  <c r="V290" i="3"/>
  <c r="K291" i="3"/>
  <c r="L291" i="3"/>
  <c r="M291" i="3"/>
  <c r="T291" i="3"/>
  <c r="U291" i="3"/>
  <c r="V291" i="3"/>
  <c r="G292" i="3"/>
  <c r="H292" i="3"/>
  <c r="O292" i="3" s="1"/>
  <c r="I292" i="3"/>
  <c r="K292" i="3"/>
  <c r="L292" i="3"/>
  <c r="M292" i="3"/>
  <c r="T292" i="3"/>
  <c r="U292" i="3"/>
  <c r="V292" i="3"/>
  <c r="G293" i="3"/>
  <c r="H293" i="3"/>
  <c r="O293" i="3" s="1"/>
  <c r="I293" i="3"/>
  <c r="K293" i="3"/>
  <c r="L293" i="3"/>
  <c r="M293" i="3"/>
  <c r="T293" i="3"/>
  <c r="U293" i="3"/>
  <c r="V293" i="3"/>
  <c r="G294" i="3"/>
  <c r="H294" i="3"/>
  <c r="O294" i="3" s="1"/>
  <c r="I294" i="3"/>
  <c r="K294" i="3"/>
  <c r="L294" i="3"/>
  <c r="M294" i="3"/>
  <c r="T294" i="3"/>
  <c r="U294" i="3"/>
  <c r="V294" i="3"/>
  <c r="K295" i="3"/>
  <c r="L295" i="3"/>
  <c r="M295" i="3"/>
  <c r="T295" i="3"/>
  <c r="U295" i="3"/>
  <c r="V295" i="3"/>
  <c r="G296" i="3"/>
  <c r="H296" i="3"/>
  <c r="O296" i="3" s="1"/>
  <c r="I296" i="3"/>
  <c r="K296" i="3"/>
  <c r="L296" i="3"/>
  <c r="M296" i="3"/>
  <c r="T296" i="3"/>
  <c r="U296" i="3"/>
  <c r="V296" i="3"/>
  <c r="J297" i="3"/>
  <c r="G298" i="3"/>
  <c r="H298" i="3"/>
  <c r="I298" i="3"/>
  <c r="K298" i="3"/>
  <c r="L298" i="3"/>
  <c r="M298" i="3"/>
  <c r="T298" i="3"/>
  <c r="U298" i="3"/>
  <c r="V298" i="3"/>
  <c r="G299" i="3"/>
  <c r="H299" i="3"/>
  <c r="P299" i="3" s="1"/>
  <c r="I299" i="3"/>
  <c r="K299" i="3"/>
  <c r="L299" i="3"/>
  <c r="M299" i="3"/>
  <c r="T299" i="3"/>
  <c r="U299" i="3"/>
  <c r="V299" i="3"/>
  <c r="K300" i="3"/>
  <c r="L300" i="3"/>
  <c r="M300" i="3"/>
  <c r="T300" i="3"/>
  <c r="U300" i="3"/>
  <c r="V300" i="3"/>
  <c r="G301" i="3"/>
  <c r="H301" i="3"/>
  <c r="Q301" i="3" s="1"/>
  <c r="I301" i="3"/>
  <c r="K301" i="3"/>
  <c r="L301" i="3"/>
  <c r="M301" i="3"/>
  <c r="T301" i="3"/>
  <c r="U301" i="3"/>
  <c r="V301" i="3"/>
  <c r="G302" i="3"/>
  <c r="H302" i="3"/>
  <c r="Q302" i="3" s="1"/>
  <c r="I302" i="3"/>
  <c r="K302" i="3"/>
  <c r="L302" i="3"/>
  <c r="M302" i="3"/>
  <c r="T302" i="3"/>
  <c r="U302" i="3"/>
  <c r="V302" i="3"/>
  <c r="G303" i="3"/>
  <c r="H303" i="3"/>
  <c r="Q303" i="3" s="1"/>
  <c r="I303" i="3"/>
  <c r="K303" i="3"/>
  <c r="L303" i="3"/>
  <c r="M303" i="3"/>
  <c r="T303" i="3"/>
  <c r="U303" i="3"/>
  <c r="V303" i="3"/>
  <c r="K304" i="3"/>
  <c r="L304" i="3"/>
  <c r="M304" i="3"/>
  <c r="T304" i="3"/>
  <c r="U304" i="3"/>
  <c r="V304" i="3"/>
  <c r="G305" i="3"/>
  <c r="H305" i="3"/>
  <c r="I305" i="3"/>
  <c r="K305" i="3"/>
  <c r="L305" i="3"/>
  <c r="M305" i="3"/>
  <c r="T305" i="3"/>
  <c r="U305" i="3"/>
  <c r="V305" i="3"/>
  <c r="G306" i="3"/>
  <c r="H306" i="3"/>
  <c r="O306" i="3" s="1"/>
  <c r="I306" i="3"/>
  <c r="K306" i="3"/>
  <c r="L306" i="3"/>
  <c r="M306" i="3"/>
  <c r="T306" i="3"/>
  <c r="U306" i="3"/>
  <c r="V306" i="3"/>
  <c r="G307" i="3"/>
  <c r="H307" i="3"/>
  <c r="Q307" i="3" s="1"/>
  <c r="I307" i="3"/>
  <c r="K307" i="3"/>
  <c r="L307" i="3"/>
  <c r="M307" i="3"/>
  <c r="T307" i="3"/>
  <c r="U307" i="3"/>
  <c r="V307" i="3"/>
  <c r="K308" i="3"/>
  <c r="L308" i="3"/>
  <c r="M308" i="3"/>
  <c r="T308" i="3"/>
  <c r="U308" i="3"/>
  <c r="V308" i="3"/>
  <c r="J309" i="3"/>
  <c r="G311" i="3"/>
  <c r="H311" i="3"/>
  <c r="I311" i="3"/>
  <c r="K311" i="3"/>
  <c r="L311" i="3"/>
  <c r="M311" i="3"/>
  <c r="T311" i="3"/>
  <c r="U311" i="3"/>
  <c r="V311" i="3"/>
  <c r="G312" i="3"/>
  <c r="H312" i="3"/>
  <c r="O312" i="3" s="1"/>
  <c r="I312" i="3"/>
  <c r="K312" i="3"/>
  <c r="L312" i="3"/>
  <c r="M312" i="3"/>
  <c r="T312" i="3"/>
  <c r="U312" i="3"/>
  <c r="V312" i="3"/>
  <c r="G313" i="3"/>
  <c r="H313" i="3"/>
  <c r="P313" i="3" s="1"/>
  <c r="I313" i="3"/>
  <c r="K313" i="3"/>
  <c r="L313" i="3"/>
  <c r="M313" i="3"/>
  <c r="T313" i="3"/>
  <c r="U313" i="3"/>
  <c r="V313" i="3"/>
  <c r="K314" i="3"/>
  <c r="L314" i="3"/>
  <c r="M314" i="3"/>
  <c r="T314" i="3"/>
  <c r="U314" i="3"/>
  <c r="V314" i="3"/>
  <c r="J315" i="3"/>
  <c r="G316" i="3"/>
  <c r="H316" i="3"/>
  <c r="O316" i="3" s="1"/>
  <c r="I316" i="3"/>
  <c r="K316" i="3"/>
  <c r="L316" i="3"/>
  <c r="M316" i="3"/>
  <c r="T316" i="3"/>
  <c r="U316" i="3"/>
  <c r="V316" i="3"/>
  <c r="G317" i="3"/>
  <c r="H317" i="3"/>
  <c r="P317" i="3" s="1"/>
  <c r="I317" i="3"/>
  <c r="K317" i="3"/>
  <c r="L317" i="3"/>
  <c r="M317" i="3"/>
  <c r="T317" i="3"/>
  <c r="U317" i="3"/>
  <c r="V317" i="3"/>
  <c r="G318" i="3"/>
  <c r="H318" i="3"/>
  <c r="I318" i="3"/>
  <c r="K318" i="3"/>
  <c r="L318" i="3"/>
  <c r="M318" i="3"/>
  <c r="T318" i="3"/>
  <c r="U318" i="3"/>
  <c r="V318" i="3"/>
  <c r="K319" i="3"/>
  <c r="L319" i="3"/>
  <c r="M319" i="3"/>
  <c r="T319" i="3"/>
  <c r="U319" i="3"/>
  <c r="V319" i="3"/>
  <c r="G320" i="3"/>
  <c r="H320" i="3"/>
  <c r="P320" i="3" s="1"/>
  <c r="I320" i="3"/>
  <c r="K320" i="3"/>
  <c r="L320" i="3"/>
  <c r="M320" i="3"/>
  <c r="G321" i="3"/>
  <c r="H321" i="3"/>
  <c r="P321" i="3" s="1"/>
  <c r="I321" i="3"/>
  <c r="K321" i="3"/>
  <c r="L321" i="3"/>
  <c r="M321" i="3"/>
  <c r="T321" i="3"/>
  <c r="U321" i="3"/>
  <c r="V321" i="3"/>
  <c r="G322" i="3"/>
  <c r="H322" i="3"/>
  <c r="P322" i="3" s="1"/>
  <c r="I322" i="3"/>
  <c r="K322" i="3"/>
  <c r="L322" i="3"/>
  <c r="M322" i="3"/>
  <c r="T322" i="3"/>
  <c r="U322" i="3"/>
  <c r="V322" i="3"/>
  <c r="G323" i="3"/>
  <c r="K323" i="3"/>
  <c r="L323" i="3"/>
  <c r="M323" i="3"/>
  <c r="T323" i="3"/>
  <c r="U323" i="3"/>
  <c r="V323" i="3"/>
  <c r="G324" i="3"/>
  <c r="H324" i="3"/>
  <c r="P324" i="3" s="1"/>
  <c r="I324" i="3"/>
  <c r="K324" i="3"/>
  <c r="L324" i="3"/>
  <c r="M324" i="3"/>
  <c r="T324" i="3"/>
  <c r="U324" i="3"/>
  <c r="V324" i="3"/>
  <c r="J325" i="3"/>
  <c r="G326" i="3"/>
  <c r="H326" i="3"/>
  <c r="I326" i="3"/>
  <c r="K326" i="3"/>
  <c r="L326" i="3"/>
  <c r="M326" i="3"/>
  <c r="T326" i="3"/>
  <c r="U326" i="3"/>
  <c r="V326" i="3"/>
  <c r="G327" i="3"/>
  <c r="H327" i="3"/>
  <c r="O327" i="3" s="1"/>
  <c r="I327" i="3"/>
  <c r="K327" i="3"/>
  <c r="L327" i="3"/>
  <c r="M327" i="3"/>
  <c r="T327" i="3"/>
  <c r="U327" i="3"/>
  <c r="V327" i="3"/>
  <c r="K328" i="3"/>
  <c r="L328" i="3"/>
  <c r="M328" i="3"/>
  <c r="T328" i="3"/>
  <c r="U328" i="3"/>
  <c r="V328" i="3"/>
  <c r="G329" i="3"/>
  <c r="H329" i="3"/>
  <c r="P329" i="3" s="1"/>
  <c r="I329" i="3"/>
  <c r="K329" i="3"/>
  <c r="L329" i="3"/>
  <c r="M329" i="3"/>
  <c r="T329" i="3"/>
  <c r="U329" i="3"/>
  <c r="V329" i="3"/>
  <c r="G330" i="3"/>
  <c r="H330" i="3"/>
  <c r="I330" i="3"/>
  <c r="K330" i="3"/>
  <c r="L330" i="3"/>
  <c r="M330" i="3"/>
  <c r="T330" i="3"/>
  <c r="U330" i="3"/>
  <c r="V330" i="3"/>
  <c r="G331" i="3"/>
  <c r="H331" i="3"/>
  <c r="Q331" i="3" s="1"/>
  <c r="I331" i="3"/>
  <c r="K331" i="3"/>
  <c r="L331" i="3"/>
  <c r="M331" i="3"/>
  <c r="T331" i="3"/>
  <c r="U331" i="3"/>
  <c r="V331" i="3"/>
  <c r="K332" i="3"/>
  <c r="L332" i="3"/>
  <c r="M332" i="3"/>
  <c r="T332" i="3"/>
  <c r="U332" i="3"/>
  <c r="V332" i="3"/>
  <c r="G333" i="3"/>
  <c r="H333" i="3"/>
  <c r="Q333" i="3" s="1"/>
  <c r="I333" i="3"/>
  <c r="K333" i="3"/>
  <c r="L333" i="3"/>
  <c r="M333" i="3"/>
  <c r="T333" i="3"/>
  <c r="U333" i="3"/>
  <c r="V333" i="3"/>
  <c r="G334" i="3"/>
  <c r="H334" i="3"/>
  <c r="I334" i="3"/>
  <c r="K334" i="3"/>
  <c r="L334" i="3"/>
  <c r="M334" i="3"/>
  <c r="T334" i="3"/>
  <c r="U334" i="3"/>
  <c r="V334" i="3"/>
  <c r="G335" i="3"/>
  <c r="H335" i="3"/>
  <c r="P335" i="3" s="1"/>
  <c r="I335" i="3"/>
  <c r="K335" i="3"/>
  <c r="L335" i="3"/>
  <c r="M335" i="3"/>
  <c r="F336" i="3"/>
  <c r="J336" i="3"/>
  <c r="D3" i="2"/>
  <c r="G3" i="2"/>
  <c r="M3" i="2"/>
  <c r="D5" i="2"/>
  <c r="C5" i="3" s="1"/>
  <c r="D5" i="3" s="1"/>
  <c r="G5" i="2"/>
  <c r="H5" i="2"/>
  <c r="I5" i="2"/>
  <c r="D6" i="2"/>
  <c r="C6" i="3" s="1"/>
  <c r="G6" i="2"/>
  <c r="H6" i="2"/>
  <c r="I6" i="2"/>
  <c r="J6" i="2"/>
  <c r="K6" i="2"/>
  <c r="L6" i="2"/>
  <c r="D7" i="2"/>
  <c r="C7" i="3" s="1"/>
  <c r="G7" i="2"/>
  <c r="H7" i="2"/>
  <c r="K7" i="2" s="1"/>
  <c r="I7" i="2"/>
  <c r="J7" i="2"/>
  <c r="L7" i="2"/>
  <c r="D8" i="2"/>
  <c r="C8" i="3" s="1"/>
  <c r="G8" i="2"/>
  <c r="H8" i="2"/>
  <c r="J8" i="2" s="1"/>
  <c r="M8" i="2" s="1"/>
  <c r="I8" i="2"/>
  <c r="K8" i="2"/>
  <c r="L8" i="2"/>
  <c r="D9" i="2"/>
  <c r="C9" i="3" s="1"/>
  <c r="G9" i="2"/>
  <c r="H9" i="2"/>
  <c r="K9" i="2" s="1"/>
  <c r="I9" i="2"/>
  <c r="J9" i="2"/>
  <c r="L9" i="2"/>
  <c r="D10" i="2"/>
  <c r="C10" i="3" s="1"/>
  <c r="G10" i="2"/>
  <c r="H10" i="2"/>
  <c r="I10" i="2"/>
  <c r="J10" i="2"/>
  <c r="K10" i="2"/>
  <c r="L10" i="2"/>
  <c r="D11" i="2"/>
  <c r="C11" i="3" s="1"/>
  <c r="D11" i="3" s="1"/>
  <c r="G11" i="2"/>
  <c r="H11" i="2"/>
  <c r="K11" i="2" s="1"/>
  <c r="I11" i="2"/>
  <c r="J11" i="2"/>
  <c r="M11" i="2" s="1"/>
  <c r="L11" i="2"/>
  <c r="D12" i="2"/>
  <c r="G12" i="2"/>
  <c r="H12" i="2"/>
  <c r="J12" i="2" s="1"/>
  <c r="M12" i="2" s="1"/>
  <c r="I12" i="2"/>
  <c r="K12" i="2"/>
  <c r="L12" i="2"/>
  <c r="D13" i="2"/>
  <c r="C13" i="3" s="1"/>
  <c r="G13" i="2"/>
  <c r="H13" i="2"/>
  <c r="K13" i="2" s="1"/>
  <c r="I13" i="2"/>
  <c r="J13" i="2"/>
  <c r="M13" i="2" s="1"/>
  <c r="L13" i="2"/>
  <c r="D14" i="2"/>
  <c r="G14" i="2"/>
  <c r="H14" i="2"/>
  <c r="I14" i="2"/>
  <c r="J14" i="2"/>
  <c r="K14" i="2"/>
  <c r="L14" i="2"/>
  <c r="D15" i="2"/>
  <c r="C15" i="3" s="1"/>
  <c r="G15" i="2"/>
  <c r="H15" i="2"/>
  <c r="I15" i="2"/>
  <c r="D16" i="2"/>
  <c r="C16" i="3" s="1"/>
  <c r="D16" i="3" s="1"/>
  <c r="G16" i="2"/>
  <c r="H16" i="2"/>
  <c r="J16" i="2" s="1"/>
  <c r="I16" i="2"/>
  <c r="K16" i="2"/>
  <c r="L16" i="2"/>
  <c r="D17" i="2"/>
  <c r="C17" i="3" s="1"/>
  <c r="G17" i="2"/>
  <c r="H17" i="2"/>
  <c r="I17" i="2"/>
  <c r="D18" i="2"/>
  <c r="C18" i="3" s="1"/>
  <c r="G18" i="2"/>
  <c r="H18" i="2"/>
  <c r="I18" i="2"/>
  <c r="J18" i="2"/>
  <c r="K18" i="2"/>
  <c r="L18" i="2"/>
  <c r="D19" i="2"/>
  <c r="C19" i="3" s="1"/>
  <c r="G19" i="2"/>
  <c r="H19" i="2"/>
  <c r="I19" i="2"/>
  <c r="D20" i="2"/>
  <c r="G20" i="2"/>
  <c r="H20" i="2"/>
  <c r="J20" i="2" s="1"/>
  <c r="I20" i="2"/>
  <c r="K20" i="2"/>
  <c r="L20" i="2"/>
  <c r="D21" i="2"/>
  <c r="C21" i="3" s="1"/>
  <c r="G21" i="2"/>
  <c r="H21" i="2"/>
  <c r="I21" i="2"/>
  <c r="L21" i="2"/>
  <c r="D22" i="2"/>
  <c r="C22" i="3" s="1"/>
  <c r="G22" i="2"/>
  <c r="H22" i="2"/>
  <c r="I22" i="2"/>
  <c r="J22" i="2"/>
  <c r="K22" i="2"/>
  <c r="L22" i="2"/>
  <c r="D23" i="2"/>
  <c r="C23" i="3" s="1"/>
  <c r="G23" i="2"/>
  <c r="H23" i="2"/>
  <c r="K23" i="2" s="1"/>
  <c r="I23" i="2"/>
  <c r="J23" i="2"/>
  <c r="M23" i="2" s="1"/>
  <c r="L23" i="2"/>
  <c r="D24" i="2"/>
  <c r="C24" i="3" s="1"/>
  <c r="G24" i="2"/>
  <c r="H24" i="2"/>
  <c r="J24" i="2" s="1"/>
  <c r="M24" i="2" s="1"/>
  <c r="I24" i="2"/>
  <c r="K24" i="2"/>
  <c r="L24" i="2"/>
  <c r="D25" i="2"/>
  <c r="C25" i="3" s="1"/>
  <c r="G25" i="2"/>
  <c r="H25" i="2"/>
  <c r="K25" i="2" s="1"/>
  <c r="I25" i="2"/>
  <c r="J25" i="2"/>
  <c r="M25" i="2" s="1"/>
  <c r="L25" i="2"/>
  <c r="D26" i="2"/>
  <c r="C26" i="3" s="1"/>
  <c r="D26" i="3" s="1"/>
  <c r="G26" i="2"/>
  <c r="H26" i="2"/>
  <c r="I26" i="2"/>
  <c r="J26" i="2"/>
  <c r="K26" i="2"/>
  <c r="L26" i="2"/>
  <c r="D27" i="2"/>
  <c r="G27" i="2"/>
  <c r="H27" i="2"/>
  <c r="K27" i="2" s="1"/>
  <c r="I27" i="2"/>
  <c r="J27" i="2"/>
  <c r="M27" i="2" s="1"/>
  <c r="L27" i="2"/>
  <c r="D28" i="2"/>
  <c r="C28" i="3" s="1"/>
  <c r="G28" i="2"/>
  <c r="H28" i="2"/>
  <c r="J28" i="2" s="1"/>
  <c r="M28" i="2" s="1"/>
  <c r="I28" i="2"/>
  <c r="K28" i="2"/>
  <c r="L28" i="2"/>
  <c r="D29" i="2"/>
  <c r="C29" i="3" s="1"/>
  <c r="G29" i="2"/>
  <c r="H29" i="2"/>
  <c r="K29" i="2" s="1"/>
  <c r="I29" i="2"/>
  <c r="J29" i="2"/>
  <c r="M29" i="2" s="1"/>
  <c r="L29" i="2"/>
  <c r="D30" i="2"/>
  <c r="C30" i="3" s="1"/>
  <c r="G30" i="2"/>
  <c r="H30" i="2"/>
  <c r="I30" i="2"/>
  <c r="J30" i="2"/>
  <c r="K30" i="2"/>
  <c r="L30" i="2"/>
  <c r="D31" i="2"/>
  <c r="C31" i="3" s="1"/>
  <c r="G31" i="2"/>
  <c r="H31" i="2"/>
  <c r="I31" i="2"/>
  <c r="D32" i="2"/>
  <c r="G32" i="2"/>
  <c r="H32" i="2"/>
  <c r="J32" i="2" s="1"/>
  <c r="I32" i="2"/>
  <c r="K32" i="2"/>
  <c r="L32" i="2"/>
  <c r="D33" i="2"/>
  <c r="C33" i="3" s="1"/>
  <c r="G33" i="2"/>
  <c r="H33" i="2"/>
  <c r="I33" i="2"/>
  <c r="D34" i="2"/>
  <c r="C34" i="3" s="1"/>
  <c r="G34" i="2"/>
  <c r="H34" i="2"/>
  <c r="I34" i="2"/>
  <c r="J34" i="2"/>
  <c r="K34" i="2"/>
  <c r="L34" i="2"/>
  <c r="D35" i="2"/>
  <c r="C35" i="3" s="1"/>
  <c r="D35" i="3" s="1"/>
  <c r="G35" i="2"/>
  <c r="H35" i="2"/>
  <c r="I35" i="2"/>
  <c r="L35" i="2"/>
  <c r="D36" i="2"/>
  <c r="G36" i="2"/>
  <c r="H36" i="2"/>
  <c r="J36" i="2" s="1"/>
  <c r="I36" i="2"/>
  <c r="K36" i="2"/>
  <c r="L36" i="2"/>
  <c r="D37" i="2"/>
  <c r="G37" i="2"/>
  <c r="H37" i="2"/>
  <c r="I37" i="2"/>
  <c r="D38" i="2"/>
  <c r="C38" i="3" s="1"/>
  <c r="G38" i="2"/>
  <c r="H38" i="2"/>
  <c r="I38" i="2"/>
  <c r="J38" i="2"/>
  <c r="K38" i="2"/>
  <c r="L38" i="2"/>
  <c r="D39" i="2"/>
  <c r="C39" i="3" s="1"/>
  <c r="G39" i="2"/>
  <c r="H39" i="2"/>
  <c r="K39" i="2" s="1"/>
  <c r="I39" i="2"/>
  <c r="J39" i="2"/>
  <c r="L39" i="2"/>
  <c r="D40" i="2"/>
  <c r="C40" i="3" s="1"/>
  <c r="G40" i="2"/>
  <c r="H40" i="2"/>
  <c r="J40" i="2" s="1"/>
  <c r="M40" i="2" s="1"/>
  <c r="I40" i="2"/>
  <c r="K40" i="2"/>
  <c r="L40" i="2"/>
  <c r="D41" i="2"/>
  <c r="C41" i="3" s="1"/>
  <c r="G41" i="2"/>
  <c r="H41" i="2"/>
  <c r="K41" i="2" s="1"/>
  <c r="I41" i="2"/>
  <c r="J41" i="2"/>
  <c r="L41" i="2"/>
  <c r="D42" i="2"/>
  <c r="C42" i="3" s="1"/>
  <c r="G42" i="2"/>
  <c r="H42" i="2"/>
  <c r="I42" i="2"/>
  <c r="J42" i="2"/>
  <c r="K42" i="2"/>
  <c r="L42" i="2"/>
  <c r="D43" i="2"/>
  <c r="C43" i="3" s="1"/>
  <c r="G43" i="2"/>
  <c r="H43" i="2"/>
  <c r="K43" i="2" s="1"/>
  <c r="I43" i="2"/>
  <c r="J43" i="2"/>
  <c r="M43" i="2" s="1"/>
  <c r="L43" i="2"/>
  <c r="D44" i="2"/>
  <c r="G44" i="2"/>
  <c r="H44" i="2"/>
  <c r="J44" i="2" s="1"/>
  <c r="M44" i="2" s="1"/>
  <c r="I44" i="2"/>
  <c r="K44" i="2"/>
  <c r="L44" i="2"/>
  <c r="D45" i="2"/>
  <c r="C45" i="3" s="1"/>
  <c r="D45" i="3" s="1"/>
  <c r="G45" i="2"/>
  <c r="H45" i="2"/>
  <c r="K45" i="2" s="1"/>
  <c r="I45" i="2"/>
  <c r="J45" i="2"/>
  <c r="M45" i="2" s="1"/>
  <c r="L45" i="2"/>
  <c r="D46" i="2"/>
  <c r="C46" i="3" s="1"/>
  <c r="D46" i="3" s="1"/>
  <c r="G46" i="2"/>
  <c r="H46" i="2"/>
  <c r="I46" i="2"/>
  <c r="J46" i="2"/>
  <c r="K46" i="2"/>
  <c r="L46" i="2"/>
  <c r="D47" i="2"/>
  <c r="C47" i="3" s="1"/>
  <c r="G47" i="2"/>
  <c r="H47" i="2"/>
  <c r="I47" i="2"/>
  <c r="D48" i="2"/>
  <c r="C48" i="3" s="1"/>
  <c r="G48" i="2"/>
  <c r="H48" i="2"/>
  <c r="J48" i="2" s="1"/>
  <c r="I48" i="2"/>
  <c r="K48" i="2"/>
  <c r="L48" i="2"/>
  <c r="D49" i="2"/>
  <c r="C49" i="3" s="1"/>
  <c r="G49" i="2"/>
  <c r="H49" i="2"/>
  <c r="I49" i="2"/>
  <c r="D50" i="2"/>
  <c r="C50" i="3" s="1"/>
  <c r="G50" i="2"/>
  <c r="H50" i="2"/>
  <c r="I50" i="2"/>
  <c r="J50" i="2"/>
  <c r="K50" i="2"/>
  <c r="L50" i="2"/>
  <c r="D51" i="2"/>
  <c r="G51" i="2"/>
  <c r="H51" i="2"/>
  <c r="I51" i="2"/>
  <c r="D52" i="2"/>
  <c r="C52" i="3" s="1"/>
  <c r="G52" i="2"/>
  <c r="H52" i="2"/>
  <c r="J52" i="2" s="1"/>
  <c r="I52" i="2"/>
  <c r="K52" i="2"/>
  <c r="L52" i="2"/>
  <c r="D53" i="2"/>
  <c r="G53" i="2"/>
  <c r="H53" i="2"/>
  <c r="I53" i="2"/>
  <c r="L53" i="2"/>
  <c r="D54" i="2"/>
  <c r="C54" i="3" s="1"/>
  <c r="G54" i="2"/>
  <c r="H54" i="2"/>
  <c r="I54" i="2"/>
  <c r="J54" i="2"/>
  <c r="K54" i="2"/>
  <c r="L54" i="2"/>
  <c r="D55" i="2"/>
  <c r="C55" i="3" s="1"/>
  <c r="G55" i="2"/>
  <c r="H55" i="2"/>
  <c r="K55" i="2" s="1"/>
  <c r="I55" i="2"/>
  <c r="J55" i="2"/>
  <c r="M55" i="2" s="1"/>
  <c r="L55" i="2"/>
  <c r="D56" i="2"/>
  <c r="C56" i="3" s="1"/>
  <c r="G56" i="2"/>
  <c r="H56" i="2"/>
  <c r="J56" i="2" s="1"/>
  <c r="M56" i="2" s="1"/>
  <c r="I56" i="2"/>
  <c r="K56" i="2"/>
  <c r="L56" i="2"/>
  <c r="D57" i="2"/>
  <c r="C57" i="3" s="1"/>
  <c r="G57" i="2"/>
  <c r="H57" i="2"/>
  <c r="K57" i="2" s="1"/>
  <c r="I57" i="2"/>
  <c r="J57" i="2"/>
  <c r="M57" i="2" s="1"/>
  <c r="L57" i="2"/>
  <c r="D58" i="2"/>
  <c r="C58" i="3" s="1"/>
  <c r="G58" i="2"/>
  <c r="H58" i="2"/>
  <c r="I58" i="2"/>
  <c r="J58" i="2"/>
  <c r="K58" i="2"/>
  <c r="L58" i="2"/>
  <c r="D59" i="2"/>
  <c r="C59" i="3" s="1"/>
  <c r="D59" i="3" s="1"/>
  <c r="G59" i="2"/>
  <c r="H59" i="2"/>
  <c r="K59" i="2" s="1"/>
  <c r="I59" i="2"/>
  <c r="J59" i="2"/>
  <c r="M59" i="2" s="1"/>
  <c r="L59" i="2"/>
  <c r="D60" i="2"/>
  <c r="C60" i="3" s="1"/>
  <c r="G60" i="2"/>
  <c r="H60" i="2"/>
  <c r="J60" i="2" s="1"/>
  <c r="M60" i="2" s="1"/>
  <c r="I60" i="2"/>
  <c r="K60" i="2"/>
  <c r="L60" i="2"/>
  <c r="D61" i="2"/>
  <c r="C61" i="3" s="1"/>
  <c r="G61" i="2"/>
  <c r="H61" i="2"/>
  <c r="K61" i="2" s="1"/>
  <c r="I61" i="2"/>
  <c r="J61" i="2"/>
  <c r="M61" i="2" s="1"/>
  <c r="L61" i="2"/>
  <c r="D62" i="2"/>
  <c r="G62" i="2"/>
  <c r="H62" i="2"/>
  <c r="I62" i="2"/>
  <c r="J62" i="2"/>
  <c r="K62" i="2"/>
  <c r="L62" i="2"/>
  <c r="D63" i="2"/>
  <c r="G63" i="2"/>
  <c r="H63" i="2"/>
  <c r="I63" i="2"/>
  <c r="D64" i="2"/>
  <c r="C64" i="3" s="1"/>
  <c r="D64" i="3" s="1"/>
  <c r="G64" i="2"/>
  <c r="H64" i="2"/>
  <c r="J64" i="2" s="1"/>
  <c r="I64" i="2"/>
  <c r="K64" i="2"/>
  <c r="L64" i="2"/>
  <c r="D65" i="2"/>
  <c r="C65" i="3" s="1"/>
  <c r="G65" i="2"/>
  <c r="H65" i="2"/>
  <c r="I65" i="2"/>
  <c r="D66" i="2"/>
  <c r="C66" i="3" s="1"/>
  <c r="G66" i="2"/>
  <c r="H66" i="2"/>
  <c r="I66" i="2"/>
  <c r="J66" i="2"/>
  <c r="K66" i="2"/>
  <c r="L66" i="2"/>
  <c r="D67" i="2"/>
  <c r="C67" i="3" s="1"/>
  <c r="G67" i="2"/>
  <c r="H67" i="2"/>
  <c r="I67" i="2"/>
  <c r="L67" i="2"/>
  <c r="D68" i="2"/>
  <c r="C68" i="3" s="1"/>
  <c r="D68" i="3" s="1"/>
  <c r="G68" i="2"/>
  <c r="H68" i="2"/>
  <c r="J68" i="2" s="1"/>
  <c r="I68" i="2"/>
  <c r="K68" i="2"/>
  <c r="L68" i="2"/>
  <c r="D69" i="2"/>
  <c r="C69" i="3" s="1"/>
  <c r="G69" i="2"/>
  <c r="H69" i="2"/>
  <c r="L69" i="2" s="1"/>
  <c r="I69" i="2"/>
  <c r="D70" i="2"/>
  <c r="G70" i="2"/>
  <c r="H70" i="2"/>
  <c r="I70" i="2"/>
  <c r="J70" i="2"/>
  <c r="K70" i="2"/>
  <c r="L70" i="2"/>
  <c r="D71" i="2"/>
  <c r="C71" i="3" s="1"/>
  <c r="G71" i="2"/>
  <c r="H71" i="2"/>
  <c r="K71" i="2" s="1"/>
  <c r="I71" i="2"/>
  <c r="J71" i="2"/>
  <c r="L71" i="2"/>
  <c r="D72" i="2"/>
  <c r="C72" i="3" s="1"/>
  <c r="D72" i="3" s="1"/>
  <c r="G72" i="2"/>
  <c r="H72" i="2"/>
  <c r="I72" i="2"/>
  <c r="J72" i="2"/>
  <c r="K72" i="2"/>
  <c r="L72" i="2"/>
  <c r="D73" i="2"/>
  <c r="G73" i="2"/>
  <c r="H73" i="2"/>
  <c r="K73" i="2" s="1"/>
  <c r="I73" i="2"/>
  <c r="J73" i="2"/>
  <c r="M73" i="2" s="1"/>
  <c r="L73" i="2"/>
  <c r="D74" i="2"/>
  <c r="C74" i="3" s="1"/>
  <c r="D74" i="3" s="1"/>
  <c r="G74" i="2"/>
  <c r="H74" i="2"/>
  <c r="J74" i="2" s="1"/>
  <c r="M74" i="2" s="1"/>
  <c r="I74" i="2"/>
  <c r="K74" i="2"/>
  <c r="L74" i="2"/>
  <c r="D75" i="2"/>
  <c r="C75" i="3" s="1"/>
  <c r="G75" i="2"/>
  <c r="H75" i="2"/>
  <c r="K75" i="2" s="1"/>
  <c r="I75" i="2"/>
  <c r="J75" i="2"/>
  <c r="M75" i="2" s="1"/>
  <c r="L75" i="2"/>
  <c r="D76" i="2"/>
  <c r="C76" i="3" s="1"/>
  <c r="G76" i="2"/>
  <c r="H76" i="2"/>
  <c r="I76" i="2"/>
  <c r="J76" i="2"/>
  <c r="K76" i="2"/>
  <c r="L76" i="2"/>
  <c r="D77" i="2"/>
  <c r="C77" i="3" s="1"/>
  <c r="G77" i="2"/>
  <c r="H77" i="2"/>
  <c r="I77" i="2"/>
  <c r="D78" i="2"/>
  <c r="C78" i="3" s="1"/>
  <c r="G78" i="2"/>
  <c r="H78" i="2"/>
  <c r="J78" i="2" s="1"/>
  <c r="I78" i="2"/>
  <c r="K78" i="2"/>
  <c r="L78" i="2"/>
  <c r="D79" i="2"/>
  <c r="C79" i="3" s="1"/>
  <c r="G79" i="2"/>
  <c r="H79" i="2"/>
  <c r="I79" i="2"/>
  <c r="D80" i="2"/>
  <c r="C80" i="3" s="1"/>
  <c r="G80" i="2"/>
  <c r="H80" i="2"/>
  <c r="I80" i="2"/>
  <c r="J80" i="2"/>
  <c r="K80" i="2"/>
  <c r="L80" i="2"/>
  <c r="D81" i="2"/>
  <c r="C81" i="3" s="1"/>
  <c r="G81" i="2"/>
  <c r="H81" i="2"/>
  <c r="I81" i="2"/>
  <c r="D82" i="2"/>
  <c r="G82" i="2"/>
  <c r="H82" i="2"/>
  <c r="J82" i="2" s="1"/>
  <c r="I82" i="2"/>
  <c r="K82" i="2"/>
  <c r="L82" i="2"/>
  <c r="D83" i="2"/>
  <c r="C83" i="3" s="1"/>
  <c r="D83" i="3" s="1"/>
  <c r="G83" i="2"/>
  <c r="H83" i="2"/>
  <c r="I83" i="2"/>
  <c r="L83" i="2"/>
  <c r="D84" i="2"/>
  <c r="C84" i="3" s="1"/>
  <c r="G84" i="2"/>
  <c r="H84" i="2"/>
  <c r="I84" i="2"/>
  <c r="J84" i="2"/>
  <c r="K84" i="2"/>
  <c r="L84" i="2"/>
  <c r="D85" i="2"/>
  <c r="C85" i="3" s="1"/>
  <c r="G85" i="2"/>
  <c r="H85" i="2"/>
  <c r="K85" i="2" s="1"/>
  <c r="I85" i="2"/>
  <c r="J85" i="2"/>
  <c r="M85" i="2" s="1"/>
  <c r="L85" i="2"/>
  <c r="D86" i="2"/>
  <c r="C86" i="3" s="1"/>
  <c r="G86" i="2"/>
  <c r="H86" i="2"/>
  <c r="J86" i="2" s="1"/>
  <c r="M86" i="2" s="1"/>
  <c r="I86" i="2"/>
  <c r="K86" i="2"/>
  <c r="L86" i="2"/>
  <c r="D87" i="2"/>
  <c r="C87" i="3" s="1"/>
  <c r="D87" i="3" s="1"/>
  <c r="G87" i="2"/>
  <c r="H87" i="2"/>
  <c r="K87" i="2" s="1"/>
  <c r="I87" i="2"/>
  <c r="J87" i="2"/>
  <c r="M87" i="2" s="1"/>
  <c r="L87" i="2"/>
  <c r="D88" i="2"/>
  <c r="G88" i="2"/>
  <c r="H88" i="2"/>
  <c r="I88" i="2"/>
  <c r="J88" i="2"/>
  <c r="K88" i="2"/>
  <c r="L88" i="2"/>
  <c r="D89" i="2"/>
  <c r="G89" i="2"/>
  <c r="H89" i="2"/>
  <c r="K89" i="2" s="1"/>
  <c r="I89" i="2"/>
  <c r="J89" i="2"/>
  <c r="M89" i="2" s="1"/>
  <c r="L89" i="2"/>
  <c r="D90" i="2"/>
  <c r="G90" i="2"/>
  <c r="H90" i="2"/>
  <c r="J90" i="2" s="1"/>
  <c r="M90" i="2" s="1"/>
  <c r="I90" i="2"/>
  <c r="K90" i="2"/>
  <c r="L90" i="2"/>
  <c r="D91" i="2"/>
  <c r="C91" i="3" s="1"/>
  <c r="G91" i="2"/>
  <c r="H91" i="2"/>
  <c r="K91" i="2" s="1"/>
  <c r="I91" i="2"/>
  <c r="J91" i="2"/>
  <c r="M91" i="2" s="1"/>
  <c r="L91" i="2"/>
  <c r="D92" i="2"/>
  <c r="C92" i="3" s="1"/>
  <c r="G92" i="2"/>
  <c r="H92" i="2"/>
  <c r="I92" i="2"/>
  <c r="J92" i="2"/>
  <c r="K92" i="2"/>
  <c r="L92" i="2"/>
  <c r="D93" i="2"/>
  <c r="C93" i="3" s="1"/>
  <c r="G93" i="2"/>
  <c r="H93" i="2"/>
  <c r="L93" i="2" s="1"/>
  <c r="I93" i="2"/>
  <c r="D94" i="2"/>
  <c r="C94" i="3" s="1"/>
  <c r="G94" i="2"/>
  <c r="H94" i="2"/>
  <c r="J94" i="2" s="1"/>
  <c r="I94" i="2"/>
  <c r="K94" i="2"/>
  <c r="L94" i="2"/>
  <c r="D95" i="2"/>
  <c r="C95" i="3" s="1"/>
  <c r="G95" i="2"/>
  <c r="H95" i="2"/>
  <c r="I95" i="2"/>
  <c r="D96" i="2"/>
  <c r="C96" i="3" s="1"/>
  <c r="G96" i="2"/>
  <c r="H96" i="2"/>
  <c r="I96" i="2"/>
  <c r="J96" i="2"/>
  <c r="M96" i="2" s="1"/>
  <c r="K96" i="2"/>
  <c r="L96" i="2"/>
  <c r="D97" i="2"/>
  <c r="G97" i="2"/>
  <c r="H97" i="2"/>
  <c r="I97" i="2"/>
  <c r="J97" i="2"/>
  <c r="K97" i="2"/>
  <c r="L97" i="2"/>
  <c r="D98" i="2"/>
  <c r="C98" i="3" s="1"/>
  <c r="G98" i="2"/>
  <c r="H98" i="2"/>
  <c r="J98" i="2" s="1"/>
  <c r="I98" i="2"/>
  <c r="K98" i="2"/>
  <c r="D99" i="2"/>
  <c r="C99" i="3" s="1"/>
  <c r="G99" i="2"/>
  <c r="H99" i="2"/>
  <c r="L99" i="2" s="1"/>
  <c r="I99" i="2"/>
  <c r="D100" i="2"/>
  <c r="C100" i="3" s="1"/>
  <c r="G100" i="2"/>
  <c r="H100" i="2"/>
  <c r="I100" i="2"/>
  <c r="J100" i="2"/>
  <c r="M100" i="2" s="1"/>
  <c r="K100" i="2"/>
  <c r="L100" i="2"/>
  <c r="D101" i="2"/>
  <c r="C101" i="3" s="1"/>
  <c r="D101" i="3" s="1"/>
  <c r="G101" i="2"/>
  <c r="H101" i="2"/>
  <c r="I101" i="2"/>
  <c r="J101" i="2"/>
  <c r="K101" i="2"/>
  <c r="L101" i="2"/>
  <c r="D102" i="2"/>
  <c r="C102" i="3" s="1"/>
  <c r="D102" i="3" s="1"/>
  <c r="G102" i="2"/>
  <c r="H102" i="2"/>
  <c r="J102" i="2" s="1"/>
  <c r="I102" i="2"/>
  <c r="D103" i="2"/>
  <c r="C103" i="3" s="1"/>
  <c r="G103" i="2"/>
  <c r="H103" i="2"/>
  <c r="I103" i="2"/>
  <c r="L103" i="2"/>
  <c r="D104" i="2"/>
  <c r="C104" i="3" s="1"/>
  <c r="G104" i="2"/>
  <c r="H104" i="2"/>
  <c r="I104" i="2"/>
  <c r="J104" i="2"/>
  <c r="M104" i="2" s="1"/>
  <c r="K104" i="2"/>
  <c r="L104" i="2"/>
  <c r="D105" i="2"/>
  <c r="G105" i="2"/>
  <c r="H105" i="2"/>
  <c r="I105" i="2"/>
  <c r="J105" i="2"/>
  <c r="K105" i="2"/>
  <c r="L105" i="2"/>
  <c r="D106" i="2"/>
  <c r="C106" i="3" s="1"/>
  <c r="D106" i="3" s="1"/>
  <c r="G106" i="2"/>
  <c r="H106" i="2"/>
  <c r="J106" i="2" s="1"/>
  <c r="I106" i="2"/>
  <c r="D107" i="2"/>
  <c r="C107" i="3" s="1"/>
  <c r="D107" i="3" s="1"/>
  <c r="G107" i="2"/>
  <c r="H107" i="2"/>
  <c r="I107" i="2"/>
  <c r="L107" i="2"/>
  <c r="D108" i="2"/>
  <c r="C108" i="3" s="1"/>
  <c r="G108" i="2"/>
  <c r="H108" i="2"/>
  <c r="I108" i="2"/>
  <c r="J108" i="2"/>
  <c r="M108" i="2" s="1"/>
  <c r="K108" i="2"/>
  <c r="L108" i="2"/>
  <c r="D109" i="2"/>
  <c r="C109" i="3" s="1"/>
  <c r="G109" i="2"/>
  <c r="H109" i="2"/>
  <c r="I109" i="2"/>
  <c r="J109" i="2"/>
  <c r="M109" i="2" s="1"/>
  <c r="K109" i="2"/>
  <c r="L109" i="2"/>
  <c r="D110" i="2"/>
  <c r="C110" i="3" s="1"/>
  <c r="D110" i="3" s="1"/>
  <c r="G110" i="2"/>
  <c r="H110" i="2"/>
  <c r="J110" i="2" s="1"/>
  <c r="I110" i="2"/>
  <c r="K110" i="2"/>
  <c r="L110" i="2"/>
  <c r="D111" i="2"/>
  <c r="C111" i="3" s="1"/>
  <c r="D111" i="3" s="1"/>
  <c r="G111" i="2"/>
  <c r="H111" i="2"/>
  <c r="I111" i="2"/>
  <c r="D112" i="2"/>
  <c r="G112" i="2"/>
  <c r="H112" i="2"/>
  <c r="I112" i="2"/>
  <c r="J112" i="2"/>
  <c r="M112" i="2" s="1"/>
  <c r="K112" i="2"/>
  <c r="L112" i="2"/>
  <c r="D113" i="2"/>
  <c r="G113" i="2"/>
  <c r="H113" i="2"/>
  <c r="I113" i="2"/>
  <c r="J113" i="2"/>
  <c r="K113" i="2"/>
  <c r="L113" i="2"/>
  <c r="D114" i="2"/>
  <c r="G114" i="2"/>
  <c r="H114" i="2"/>
  <c r="J114" i="2" s="1"/>
  <c r="I114" i="2"/>
  <c r="K114" i="2"/>
  <c r="D115" i="2"/>
  <c r="C115" i="3" s="1"/>
  <c r="G115" i="2"/>
  <c r="H115" i="2"/>
  <c r="I115" i="2"/>
  <c r="D116" i="2"/>
  <c r="C116" i="3" s="1"/>
  <c r="G116" i="2"/>
  <c r="H116" i="2"/>
  <c r="I116" i="2"/>
  <c r="J116" i="2"/>
  <c r="M116" i="2" s="1"/>
  <c r="K116" i="2"/>
  <c r="L116" i="2"/>
  <c r="D117" i="2"/>
  <c r="C117" i="3" s="1"/>
  <c r="G117" i="2"/>
  <c r="H117" i="2"/>
  <c r="I117" i="2"/>
  <c r="J117" i="2"/>
  <c r="K117" i="2"/>
  <c r="L117" i="2"/>
  <c r="D118" i="2"/>
  <c r="C118" i="3" s="1"/>
  <c r="D118" i="3" s="1"/>
  <c r="G118" i="2"/>
  <c r="H118" i="2"/>
  <c r="J118" i="2" s="1"/>
  <c r="I118" i="2"/>
  <c r="D119" i="2"/>
  <c r="C119" i="3" s="1"/>
  <c r="G119" i="2"/>
  <c r="H119" i="2"/>
  <c r="I119" i="2"/>
  <c r="L119" i="2"/>
  <c r="D120" i="2"/>
  <c r="C120" i="3" s="1"/>
  <c r="G120" i="2"/>
  <c r="H120" i="2"/>
  <c r="I120" i="2"/>
  <c r="J120" i="2"/>
  <c r="M120" i="2" s="1"/>
  <c r="K120" i="2"/>
  <c r="L120" i="2"/>
  <c r="D121" i="2"/>
  <c r="C121" i="3" s="1"/>
  <c r="G121" i="2"/>
  <c r="H121" i="2"/>
  <c r="I121" i="2"/>
  <c r="J121" i="2"/>
  <c r="K121" i="2"/>
  <c r="L121" i="2"/>
  <c r="D122" i="2"/>
  <c r="C122" i="3" s="1"/>
  <c r="G122" i="2"/>
  <c r="H122" i="2"/>
  <c r="J122" i="2" s="1"/>
  <c r="I122" i="2"/>
  <c r="D123" i="2"/>
  <c r="C123" i="3" s="1"/>
  <c r="G123" i="2"/>
  <c r="H123" i="2"/>
  <c r="I123" i="2"/>
  <c r="L123" i="2"/>
  <c r="D124" i="2"/>
  <c r="C124" i="3" s="1"/>
  <c r="G124" i="2"/>
  <c r="H124" i="2"/>
  <c r="I124" i="2"/>
  <c r="J124" i="2"/>
  <c r="M124" i="2" s="1"/>
  <c r="K124" i="2"/>
  <c r="L124" i="2"/>
  <c r="D125" i="2"/>
  <c r="G125" i="2"/>
  <c r="H125" i="2"/>
  <c r="I125" i="2"/>
  <c r="J125" i="2"/>
  <c r="M125" i="2" s="1"/>
  <c r="K125" i="2"/>
  <c r="L125" i="2"/>
  <c r="D126" i="2"/>
  <c r="C126" i="3" s="1"/>
  <c r="D126" i="3" s="1"/>
  <c r="G126" i="2"/>
  <c r="H126" i="2"/>
  <c r="J126" i="2" s="1"/>
  <c r="I126" i="2"/>
  <c r="K126" i="2"/>
  <c r="L126" i="2"/>
  <c r="D127" i="2"/>
  <c r="C127" i="3" s="1"/>
  <c r="D127" i="3" s="1"/>
  <c r="G127" i="2"/>
  <c r="H127" i="2"/>
  <c r="I127" i="2"/>
  <c r="D128" i="2"/>
  <c r="C128" i="3" s="1"/>
  <c r="G128" i="2"/>
  <c r="H128" i="2"/>
  <c r="I128" i="2"/>
  <c r="J128" i="2"/>
  <c r="M128" i="2" s="1"/>
  <c r="K128" i="2"/>
  <c r="L128" i="2"/>
  <c r="D129" i="2"/>
  <c r="C129" i="3" s="1"/>
  <c r="G129" i="2"/>
  <c r="H129" i="2"/>
  <c r="I129" i="2"/>
  <c r="J129" i="2"/>
  <c r="K129" i="2"/>
  <c r="L129" i="2"/>
  <c r="D130" i="2"/>
  <c r="C130" i="3" s="1"/>
  <c r="D130" i="3" s="1"/>
  <c r="G130" i="2"/>
  <c r="H130" i="2"/>
  <c r="J130" i="2" s="1"/>
  <c r="I130" i="2"/>
  <c r="K130" i="2"/>
  <c r="D131" i="2"/>
  <c r="C131" i="3" s="1"/>
  <c r="D131" i="3" s="1"/>
  <c r="G131" i="2"/>
  <c r="H131" i="2"/>
  <c r="I131" i="2"/>
  <c r="D132" i="2"/>
  <c r="C132" i="3" s="1"/>
  <c r="G132" i="2"/>
  <c r="H132" i="2"/>
  <c r="I132" i="2"/>
  <c r="J132" i="2"/>
  <c r="M132" i="2" s="1"/>
  <c r="K132" i="2"/>
  <c r="L132" i="2"/>
  <c r="D133" i="2"/>
  <c r="C133" i="3" s="1"/>
  <c r="G133" i="2"/>
  <c r="H133" i="2"/>
  <c r="I133" i="2"/>
  <c r="J133" i="2"/>
  <c r="K133" i="2"/>
  <c r="L133" i="2"/>
  <c r="D134" i="2"/>
  <c r="C134" i="3" s="1"/>
  <c r="D134" i="3" s="1"/>
  <c r="G134" i="2"/>
  <c r="H134" i="2"/>
  <c r="J134" i="2" s="1"/>
  <c r="I134" i="2"/>
  <c r="D135" i="2"/>
  <c r="G135" i="2"/>
  <c r="H135" i="2"/>
  <c r="I135" i="2"/>
  <c r="L135" i="2"/>
  <c r="D136" i="2"/>
  <c r="C136" i="3" s="1"/>
  <c r="G136" i="2"/>
  <c r="H136" i="2"/>
  <c r="I136" i="2"/>
  <c r="J136" i="2"/>
  <c r="M136" i="2" s="1"/>
  <c r="K136" i="2"/>
  <c r="L136" i="2"/>
  <c r="D137" i="2"/>
  <c r="C137" i="3" s="1"/>
  <c r="G137" i="2"/>
  <c r="H137" i="2"/>
  <c r="I137" i="2"/>
  <c r="J137" i="2"/>
  <c r="K137" i="2"/>
  <c r="L137" i="2"/>
  <c r="D138" i="2"/>
  <c r="C138" i="3" s="1"/>
  <c r="G138" i="2"/>
  <c r="H138" i="2"/>
  <c r="J138" i="2" s="1"/>
  <c r="I138" i="2"/>
  <c r="D139" i="2"/>
  <c r="C139" i="3" s="1"/>
  <c r="D139" i="3" s="1"/>
  <c r="G139" i="2"/>
  <c r="H139" i="2"/>
  <c r="I139" i="2"/>
  <c r="L139" i="2"/>
  <c r="D140" i="2"/>
  <c r="C140" i="3" s="1"/>
  <c r="D140" i="3" s="1"/>
  <c r="G140" i="2"/>
  <c r="H140" i="2"/>
  <c r="I140" i="2"/>
  <c r="J140" i="2"/>
  <c r="M140" i="2" s="1"/>
  <c r="K140" i="2"/>
  <c r="L140" i="2"/>
  <c r="D141" i="2"/>
  <c r="C141" i="3" s="1"/>
  <c r="G141" i="2"/>
  <c r="H141" i="2"/>
  <c r="I141" i="2"/>
  <c r="J141" i="2"/>
  <c r="M141" i="2" s="1"/>
  <c r="K141" i="2"/>
  <c r="L141" i="2"/>
  <c r="D142" i="2"/>
  <c r="C142" i="3" s="1"/>
  <c r="G142" i="2"/>
  <c r="H142" i="2"/>
  <c r="J142" i="2" s="1"/>
  <c r="I142" i="2"/>
  <c r="K142" i="2"/>
  <c r="L142" i="2"/>
  <c r="D143" i="2"/>
  <c r="G143" i="2"/>
  <c r="H143" i="2"/>
  <c r="I143" i="2"/>
  <c r="D144" i="2"/>
  <c r="G144" i="2"/>
  <c r="H144" i="2"/>
  <c r="I144" i="2"/>
  <c r="J144" i="2"/>
  <c r="M144" i="2" s="1"/>
  <c r="K144" i="2"/>
  <c r="L144" i="2"/>
  <c r="D145" i="2"/>
  <c r="C145" i="3" s="1"/>
  <c r="G145" i="2"/>
  <c r="H145" i="2"/>
  <c r="I145" i="2"/>
  <c r="J145" i="2"/>
  <c r="K145" i="2"/>
  <c r="L145" i="2"/>
  <c r="D146" i="2"/>
  <c r="C146" i="3" s="1"/>
  <c r="G146" i="2"/>
  <c r="H146" i="2"/>
  <c r="J146" i="2" s="1"/>
  <c r="I146" i="2"/>
  <c r="K146" i="2"/>
  <c r="D147" i="2"/>
  <c r="C147" i="3" s="1"/>
  <c r="G147" i="2"/>
  <c r="H147" i="2"/>
  <c r="L147" i="2" s="1"/>
  <c r="I147" i="2"/>
  <c r="D148" i="2"/>
  <c r="C148" i="3" s="1"/>
  <c r="G148" i="2"/>
  <c r="H148" i="2"/>
  <c r="I148" i="2"/>
  <c r="J148" i="2"/>
  <c r="M148" i="2" s="1"/>
  <c r="K148" i="2"/>
  <c r="L148" i="2"/>
  <c r="D149" i="2"/>
  <c r="C149" i="3" s="1"/>
  <c r="G149" i="2"/>
  <c r="H149" i="2"/>
  <c r="I149" i="2"/>
  <c r="J149" i="2"/>
  <c r="K149" i="2"/>
  <c r="L149" i="2"/>
  <c r="D150" i="2"/>
  <c r="C150" i="3" s="1"/>
  <c r="D150" i="3" s="1"/>
  <c r="G150" i="2"/>
  <c r="H150" i="2"/>
  <c r="J150" i="2" s="1"/>
  <c r="I150" i="2"/>
  <c r="D151" i="2"/>
  <c r="C151" i="3" s="1"/>
  <c r="G151" i="2"/>
  <c r="H151" i="2"/>
  <c r="I151" i="2"/>
  <c r="L151" i="2"/>
  <c r="D152" i="2"/>
  <c r="C152" i="3" s="1"/>
  <c r="G152" i="2"/>
  <c r="H152" i="2"/>
  <c r="I152" i="2"/>
  <c r="J152" i="2"/>
  <c r="M152" i="2" s="1"/>
  <c r="K152" i="2"/>
  <c r="L152" i="2"/>
  <c r="D153" i="2"/>
  <c r="G153" i="2"/>
  <c r="H153" i="2"/>
  <c r="I153" i="2"/>
  <c r="J153" i="2"/>
  <c r="K153" i="2"/>
  <c r="L153" i="2"/>
  <c r="D154" i="2"/>
  <c r="C154" i="3" s="1"/>
  <c r="D154" i="3" s="1"/>
  <c r="G154" i="2"/>
  <c r="H154" i="2"/>
  <c r="J154" i="2" s="1"/>
  <c r="I154" i="2"/>
  <c r="D155" i="2"/>
  <c r="C155" i="3" s="1"/>
  <c r="D155" i="3" s="1"/>
  <c r="G155" i="2"/>
  <c r="H155" i="2"/>
  <c r="I155" i="2"/>
  <c r="L155" i="2"/>
  <c r="D156" i="2"/>
  <c r="C156" i="3" s="1"/>
  <c r="G156" i="2"/>
  <c r="H156" i="2"/>
  <c r="I156" i="2"/>
  <c r="J156" i="2"/>
  <c r="M156" i="2" s="1"/>
  <c r="K156" i="2"/>
  <c r="L156" i="2"/>
  <c r="D157" i="2"/>
  <c r="C157" i="3" s="1"/>
  <c r="G157" i="2"/>
  <c r="H157" i="2"/>
  <c r="I157" i="2"/>
  <c r="J157" i="2"/>
  <c r="M157" i="2" s="1"/>
  <c r="K157" i="2"/>
  <c r="L157" i="2"/>
  <c r="D158" i="2"/>
  <c r="C158" i="3" s="1"/>
  <c r="D158" i="3" s="1"/>
  <c r="G158" i="2"/>
  <c r="H158" i="2"/>
  <c r="J158" i="2" s="1"/>
  <c r="I158" i="2"/>
  <c r="K158" i="2"/>
  <c r="L158" i="2"/>
  <c r="D159" i="2"/>
  <c r="C159" i="3" s="1"/>
  <c r="G159" i="2"/>
  <c r="H159" i="2"/>
  <c r="I159" i="2"/>
  <c r="D160" i="2"/>
  <c r="C160" i="3" s="1"/>
  <c r="G160" i="2"/>
  <c r="H160" i="2"/>
  <c r="I160" i="2"/>
  <c r="J160" i="2"/>
  <c r="M160" i="2" s="1"/>
  <c r="K160" i="2"/>
  <c r="L160" i="2"/>
  <c r="D161" i="2"/>
  <c r="C161" i="3" s="1"/>
  <c r="G161" i="2"/>
  <c r="H161" i="2"/>
  <c r="I161" i="2"/>
  <c r="J161" i="2"/>
  <c r="K161" i="2"/>
  <c r="L161" i="2"/>
  <c r="D162" i="2"/>
  <c r="C162" i="3" s="1"/>
  <c r="D162" i="3" s="1"/>
  <c r="G162" i="2"/>
  <c r="H162" i="2"/>
  <c r="J162" i="2" s="1"/>
  <c r="I162" i="2"/>
  <c r="K162" i="2"/>
  <c r="D163" i="2"/>
  <c r="G163" i="2"/>
  <c r="H163" i="2"/>
  <c r="L163" i="2" s="1"/>
  <c r="I163" i="2"/>
  <c r="D164" i="2"/>
  <c r="C164" i="3" s="1"/>
  <c r="D164" i="3" s="1"/>
  <c r="G164" i="2"/>
  <c r="H164" i="2"/>
  <c r="I164" i="2"/>
  <c r="J164" i="2"/>
  <c r="M164" i="2" s="1"/>
  <c r="K164" i="2"/>
  <c r="L164" i="2"/>
  <c r="D165" i="2"/>
  <c r="C165" i="3" s="1"/>
  <c r="G165" i="2"/>
  <c r="H165" i="2"/>
  <c r="I165" i="2"/>
  <c r="J165" i="2"/>
  <c r="K165" i="2"/>
  <c r="L165" i="2"/>
  <c r="D166" i="2"/>
  <c r="C166" i="3" s="1"/>
  <c r="G166" i="2"/>
  <c r="H166" i="2"/>
  <c r="J166" i="2" s="1"/>
  <c r="I166" i="2"/>
  <c r="D167" i="2"/>
  <c r="C167" i="3" s="1"/>
  <c r="D167" i="3" s="1"/>
  <c r="G167" i="2"/>
  <c r="H167" i="2"/>
  <c r="I167" i="2"/>
  <c r="L167" i="2"/>
  <c r="D168" i="2"/>
  <c r="C168" i="3" s="1"/>
  <c r="G168" i="2"/>
  <c r="H168" i="2"/>
  <c r="I168" i="2"/>
  <c r="J168" i="2"/>
  <c r="M168" i="2" s="1"/>
  <c r="K168" i="2"/>
  <c r="L168" i="2"/>
  <c r="D169" i="2"/>
  <c r="C169" i="3" s="1"/>
  <c r="G169" i="2"/>
  <c r="H169" i="2"/>
  <c r="I169" i="2"/>
  <c r="J169" i="2"/>
  <c r="K169" i="2"/>
  <c r="L169" i="2"/>
  <c r="D170" i="2"/>
  <c r="C170" i="3" s="1"/>
  <c r="G170" i="2"/>
  <c r="H170" i="2"/>
  <c r="J170" i="2" s="1"/>
  <c r="I170" i="2"/>
  <c r="D171" i="2"/>
  <c r="C171" i="3" s="1"/>
  <c r="G171" i="2"/>
  <c r="H171" i="2"/>
  <c r="I171" i="2"/>
  <c r="L171" i="2"/>
  <c r="D172" i="2"/>
  <c r="C172" i="3" s="1"/>
  <c r="D172" i="3" s="1"/>
  <c r="G172" i="2"/>
  <c r="H172" i="2"/>
  <c r="I172" i="2"/>
  <c r="J172" i="2"/>
  <c r="M172" i="2" s="1"/>
  <c r="K172" i="2"/>
  <c r="L172" i="2"/>
  <c r="D173" i="2"/>
  <c r="C173" i="3" s="1"/>
  <c r="G173" i="2"/>
  <c r="H173" i="2"/>
  <c r="I173" i="2"/>
  <c r="J173" i="2"/>
  <c r="M173" i="2" s="1"/>
  <c r="K173" i="2"/>
  <c r="L173" i="2"/>
  <c r="D174" i="2"/>
  <c r="G174" i="2"/>
  <c r="H174" i="2"/>
  <c r="J174" i="2" s="1"/>
  <c r="I174" i="2"/>
  <c r="K174" i="2"/>
  <c r="L174" i="2"/>
  <c r="D175" i="2"/>
  <c r="G175" i="2"/>
  <c r="H175" i="2"/>
  <c r="I175" i="2"/>
  <c r="D176" i="2"/>
  <c r="C176" i="3" s="1"/>
  <c r="G176" i="2"/>
  <c r="H176" i="2"/>
  <c r="I176" i="2"/>
  <c r="J176" i="2"/>
  <c r="M176" i="2" s="1"/>
  <c r="K176" i="2"/>
  <c r="L176" i="2"/>
  <c r="D177" i="2"/>
  <c r="C177" i="3" s="1"/>
  <c r="G177" i="2"/>
  <c r="H177" i="2"/>
  <c r="I177" i="2"/>
  <c r="J177" i="2"/>
  <c r="K177" i="2"/>
  <c r="L177" i="2"/>
  <c r="D178" i="2"/>
  <c r="C178" i="3" s="1"/>
  <c r="G178" i="2"/>
  <c r="H178" i="2"/>
  <c r="J178" i="2" s="1"/>
  <c r="I178" i="2"/>
  <c r="K178" i="2"/>
  <c r="D179" i="2"/>
  <c r="C179" i="3" s="1"/>
  <c r="G179" i="2"/>
  <c r="H179" i="2"/>
  <c r="I179" i="2"/>
  <c r="D180" i="2"/>
  <c r="C180" i="3" s="1"/>
  <c r="G180" i="2"/>
  <c r="H180" i="2"/>
  <c r="I180" i="2"/>
  <c r="J180" i="2"/>
  <c r="M180" i="2" s="1"/>
  <c r="K180" i="2"/>
  <c r="L180" i="2"/>
  <c r="D181" i="2"/>
  <c r="C181" i="3" s="1"/>
  <c r="G181" i="2"/>
  <c r="H181" i="2"/>
  <c r="I181" i="2"/>
  <c r="J181" i="2"/>
  <c r="K181" i="2"/>
  <c r="L181" i="2"/>
  <c r="D182" i="2"/>
  <c r="C182" i="3" s="1"/>
  <c r="G182" i="2"/>
  <c r="H182" i="2"/>
  <c r="J182" i="2" s="1"/>
  <c r="I182" i="2"/>
  <c r="D183" i="2"/>
  <c r="G183" i="2"/>
  <c r="H183" i="2"/>
  <c r="I183" i="2"/>
  <c r="L183" i="2"/>
  <c r="D184" i="2"/>
  <c r="G184" i="2"/>
  <c r="H184" i="2"/>
  <c r="I184" i="2"/>
  <c r="J184" i="2"/>
  <c r="M184" i="2" s="1"/>
  <c r="K184" i="2"/>
  <c r="L184" i="2"/>
  <c r="D185" i="2"/>
  <c r="C185" i="3" s="1"/>
  <c r="G185" i="2"/>
  <c r="H185" i="2"/>
  <c r="I185" i="2"/>
  <c r="J185" i="2"/>
  <c r="K185" i="2"/>
  <c r="L185" i="2"/>
  <c r="D186" i="2"/>
  <c r="C186" i="3" s="1"/>
  <c r="G186" i="2"/>
  <c r="H186" i="2"/>
  <c r="J186" i="2" s="1"/>
  <c r="I186" i="2"/>
  <c r="D187" i="2"/>
  <c r="C187" i="3" s="1"/>
  <c r="D187" i="3" s="1"/>
  <c r="G187" i="2"/>
  <c r="H187" i="2"/>
  <c r="I187" i="2"/>
  <c r="L187" i="2"/>
  <c r="D188" i="2"/>
  <c r="C188" i="3" s="1"/>
  <c r="G188" i="2"/>
  <c r="H188" i="2"/>
  <c r="I188" i="2"/>
  <c r="J188" i="2"/>
  <c r="M188" i="2" s="1"/>
  <c r="K188" i="2"/>
  <c r="L188" i="2"/>
  <c r="D189" i="2"/>
  <c r="C189" i="3" s="1"/>
  <c r="G189" i="2"/>
  <c r="H189" i="2"/>
  <c r="I189" i="2"/>
  <c r="J189" i="2"/>
  <c r="M189" i="2" s="1"/>
  <c r="K189" i="2"/>
  <c r="L189" i="2"/>
  <c r="D190" i="2"/>
  <c r="C190" i="3" s="1"/>
  <c r="G190" i="2"/>
  <c r="H190" i="2"/>
  <c r="J190" i="2" s="1"/>
  <c r="I190" i="2"/>
  <c r="K190" i="2"/>
  <c r="L190" i="2"/>
  <c r="D191" i="2"/>
  <c r="G191" i="2"/>
  <c r="H191" i="2"/>
  <c r="I191" i="2"/>
  <c r="D192" i="2"/>
  <c r="C192" i="3" s="1"/>
  <c r="D192" i="3" s="1"/>
  <c r="G192" i="2"/>
  <c r="H192" i="2"/>
  <c r="I192" i="2"/>
  <c r="J192" i="2"/>
  <c r="M192" i="2" s="1"/>
  <c r="K192" i="2"/>
  <c r="L192" i="2"/>
  <c r="D193" i="2"/>
  <c r="C193" i="3" s="1"/>
  <c r="G193" i="2"/>
  <c r="H193" i="2"/>
  <c r="I193" i="2"/>
  <c r="J193" i="2"/>
  <c r="K193" i="2"/>
  <c r="L193" i="2"/>
  <c r="D194" i="2"/>
  <c r="C194" i="3" s="1"/>
  <c r="G194" i="2"/>
  <c r="H194" i="2"/>
  <c r="J194" i="2" s="1"/>
  <c r="I194" i="2"/>
  <c r="K194" i="2"/>
  <c r="D195" i="2"/>
  <c r="C195" i="3" s="1"/>
  <c r="G195" i="2"/>
  <c r="H195" i="2"/>
  <c r="L195" i="2" s="1"/>
  <c r="I195" i="2"/>
  <c r="D196" i="2"/>
  <c r="C196" i="3" s="1"/>
  <c r="D196" i="3" s="1"/>
  <c r="G196" i="2"/>
  <c r="H196" i="2"/>
  <c r="I196" i="2"/>
  <c r="J196" i="2"/>
  <c r="M196" i="2" s="1"/>
  <c r="K196" i="2"/>
  <c r="L196" i="2"/>
  <c r="D197" i="2"/>
  <c r="G197" i="2"/>
  <c r="H197" i="2"/>
  <c r="I197" i="2"/>
  <c r="J197" i="2"/>
  <c r="K197" i="2"/>
  <c r="L197" i="2"/>
  <c r="D198" i="2"/>
  <c r="C198" i="3" s="1"/>
  <c r="G198" i="2"/>
  <c r="H198" i="2"/>
  <c r="J198" i="2" s="1"/>
  <c r="I198" i="2"/>
  <c r="D199" i="2"/>
  <c r="C199" i="3" s="1"/>
  <c r="G199" i="2"/>
  <c r="H199" i="2"/>
  <c r="I199" i="2"/>
  <c r="L199" i="2"/>
  <c r="D200" i="2"/>
  <c r="C200" i="3" s="1"/>
  <c r="D200" i="3" s="1"/>
  <c r="G200" i="2"/>
  <c r="H200" i="2"/>
  <c r="I200" i="2"/>
  <c r="J200" i="2"/>
  <c r="M200" i="2" s="1"/>
  <c r="K200" i="2"/>
  <c r="L200" i="2"/>
  <c r="D201" i="2"/>
  <c r="C201" i="3" s="1"/>
  <c r="D201" i="3" s="1"/>
  <c r="G201" i="2"/>
  <c r="H201" i="2"/>
  <c r="I201" i="2"/>
  <c r="J201" i="2"/>
  <c r="K201" i="2"/>
  <c r="L201" i="2"/>
  <c r="D202" i="2"/>
  <c r="G202" i="2"/>
  <c r="H202" i="2"/>
  <c r="J202" i="2" s="1"/>
  <c r="I202" i="2"/>
  <c r="D203" i="2"/>
  <c r="C203" i="3" s="1"/>
  <c r="G203" i="2"/>
  <c r="H203" i="2"/>
  <c r="I203" i="2"/>
  <c r="L203" i="2"/>
  <c r="D204" i="2"/>
  <c r="C204" i="3" s="1"/>
  <c r="G204" i="2"/>
  <c r="H204" i="2"/>
  <c r="I204" i="2"/>
  <c r="J204" i="2"/>
  <c r="M204" i="2" s="1"/>
  <c r="K204" i="2"/>
  <c r="L204" i="2"/>
  <c r="D205" i="2"/>
  <c r="C205" i="3" s="1"/>
  <c r="D205" i="3" s="1"/>
  <c r="G205" i="2"/>
  <c r="H205" i="2"/>
  <c r="I205" i="2"/>
  <c r="J205" i="2"/>
  <c r="M205" i="2" s="1"/>
  <c r="K205" i="2"/>
  <c r="L205" i="2"/>
  <c r="D206" i="2"/>
  <c r="G206" i="2"/>
  <c r="H206" i="2"/>
  <c r="J206" i="2" s="1"/>
  <c r="I206" i="2"/>
  <c r="K206" i="2"/>
  <c r="L206" i="2"/>
  <c r="D207" i="2"/>
  <c r="G207" i="2"/>
  <c r="H207" i="2"/>
  <c r="I207" i="2"/>
  <c r="D208" i="2"/>
  <c r="G208" i="2"/>
  <c r="H208" i="2"/>
  <c r="I208" i="2"/>
  <c r="J208" i="2"/>
  <c r="M208" i="2" s="1"/>
  <c r="K208" i="2"/>
  <c r="L208" i="2"/>
  <c r="D209" i="2"/>
  <c r="C209" i="3" s="1"/>
  <c r="G209" i="2"/>
  <c r="H209" i="2"/>
  <c r="I209" i="2"/>
  <c r="J209" i="2"/>
  <c r="K209" i="2"/>
  <c r="L209" i="2"/>
  <c r="D210" i="2"/>
  <c r="C210" i="3" s="1"/>
  <c r="G210" i="2"/>
  <c r="H210" i="2"/>
  <c r="J210" i="2" s="1"/>
  <c r="I210" i="2"/>
  <c r="K210" i="2"/>
  <c r="D211" i="2"/>
  <c r="C211" i="3" s="1"/>
  <c r="D211" i="3" s="1"/>
  <c r="G211" i="2"/>
  <c r="H211" i="2"/>
  <c r="L211" i="2" s="1"/>
  <c r="I211" i="2"/>
  <c r="D212" i="2"/>
  <c r="C212" i="3" s="1"/>
  <c r="D212" i="3" s="1"/>
  <c r="G212" i="2"/>
  <c r="H212" i="2"/>
  <c r="I212" i="2"/>
  <c r="J212" i="2"/>
  <c r="M212" i="2" s="1"/>
  <c r="K212" i="2"/>
  <c r="L212" i="2"/>
  <c r="D213" i="2"/>
  <c r="C213" i="3" s="1"/>
  <c r="G213" i="2"/>
  <c r="H213" i="2"/>
  <c r="I213" i="2"/>
  <c r="J213" i="2"/>
  <c r="K213" i="2"/>
  <c r="L213" i="2"/>
  <c r="D214" i="2"/>
  <c r="C214" i="3" s="1"/>
  <c r="G214" i="2"/>
  <c r="H214" i="2"/>
  <c r="J214" i="2" s="1"/>
  <c r="I214" i="2"/>
  <c r="D215" i="2"/>
  <c r="G215" i="2"/>
  <c r="H215" i="2"/>
  <c r="I215" i="2"/>
  <c r="L215" i="2"/>
  <c r="D216" i="2"/>
  <c r="C216" i="3" s="1"/>
  <c r="D216" i="3" s="1"/>
  <c r="G216" i="2"/>
  <c r="H216" i="2"/>
  <c r="I216" i="2"/>
  <c r="J216" i="2"/>
  <c r="M216" i="2" s="1"/>
  <c r="K216" i="2"/>
  <c r="L216" i="2"/>
  <c r="D217" i="2"/>
  <c r="C217" i="3" s="1"/>
  <c r="D217" i="3" s="1"/>
  <c r="G217" i="2"/>
  <c r="H217" i="2"/>
  <c r="I217" i="2"/>
  <c r="J217" i="2"/>
  <c r="K217" i="2"/>
  <c r="L217" i="2"/>
  <c r="D218" i="2"/>
  <c r="C218" i="3" s="1"/>
  <c r="G218" i="2"/>
  <c r="H218" i="2"/>
  <c r="J218" i="2" s="1"/>
  <c r="I218" i="2"/>
  <c r="D219" i="2"/>
  <c r="C219" i="3" s="1"/>
  <c r="G219" i="2"/>
  <c r="H219" i="2"/>
  <c r="I219" i="2"/>
  <c r="L219" i="2"/>
  <c r="D220" i="2"/>
  <c r="C220" i="3" s="1"/>
  <c r="D220" i="3" s="1"/>
  <c r="G220" i="2"/>
  <c r="H220" i="2"/>
  <c r="I220" i="2"/>
  <c r="J220" i="2"/>
  <c r="M220" i="2" s="1"/>
  <c r="K220" i="2"/>
  <c r="L220" i="2"/>
  <c r="D221" i="2"/>
  <c r="C221" i="3" s="1"/>
  <c r="D221" i="3" s="1"/>
  <c r="G221" i="2"/>
  <c r="H221" i="2"/>
  <c r="I221" i="2"/>
  <c r="J221" i="2"/>
  <c r="M221" i="2" s="1"/>
  <c r="K221" i="2"/>
  <c r="L221" i="2"/>
  <c r="D222" i="2"/>
  <c r="C222" i="3" s="1"/>
  <c r="G222" i="2"/>
  <c r="H222" i="2"/>
  <c r="J222" i="2" s="1"/>
  <c r="I222" i="2"/>
  <c r="K222" i="2"/>
  <c r="L222" i="2"/>
  <c r="D223" i="2"/>
  <c r="C223" i="3" s="1"/>
  <c r="G223" i="2"/>
  <c r="H223" i="2"/>
  <c r="I223" i="2"/>
  <c r="D224" i="2"/>
  <c r="G224" i="2"/>
  <c r="H224" i="2"/>
  <c r="I224" i="2"/>
  <c r="J224" i="2"/>
  <c r="M224" i="2" s="1"/>
  <c r="K224" i="2"/>
  <c r="L224" i="2"/>
  <c r="D225" i="2"/>
  <c r="C225" i="3" s="1"/>
  <c r="G225" i="2"/>
  <c r="H225" i="2"/>
  <c r="I225" i="2"/>
  <c r="J225" i="2"/>
  <c r="K225" i="2"/>
  <c r="L225" i="2"/>
  <c r="D226" i="2"/>
  <c r="C226" i="3" s="1"/>
  <c r="D226" i="3" s="1"/>
  <c r="G226" i="2"/>
  <c r="H226" i="2"/>
  <c r="J226" i="2" s="1"/>
  <c r="I226" i="2"/>
  <c r="K226" i="2"/>
  <c r="D227" i="2"/>
  <c r="C227" i="3" s="1"/>
  <c r="G227" i="2"/>
  <c r="H227" i="2"/>
  <c r="L227" i="2" s="1"/>
  <c r="I227" i="2"/>
  <c r="D228" i="2"/>
  <c r="C228" i="3" s="1"/>
  <c r="G228" i="2"/>
  <c r="H228" i="2"/>
  <c r="I228" i="2"/>
  <c r="J228" i="2"/>
  <c r="M228" i="2" s="1"/>
  <c r="K228" i="2"/>
  <c r="L228" i="2"/>
  <c r="D229" i="2"/>
  <c r="G229" i="2"/>
  <c r="H229" i="2"/>
  <c r="I229" i="2"/>
  <c r="J229" i="2"/>
  <c r="K229" i="2"/>
  <c r="L229" i="2"/>
  <c r="D230" i="2"/>
  <c r="G230" i="2"/>
  <c r="H230" i="2"/>
  <c r="J230" i="2" s="1"/>
  <c r="I230" i="2"/>
  <c r="D231" i="2"/>
  <c r="C231" i="3" s="1"/>
  <c r="D231" i="3" s="1"/>
  <c r="G231" i="2"/>
  <c r="H231" i="2"/>
  <c r="I231" i="2"/>
  <c r="L231" i="2"/>
  <c r="D232" i="2"/>
  <c r="C232" i="3" s="1"/>
  <c r="D232" i="3" s="1"/>
  <c r="G232" i="2"/>
  <c r="H232" i="2"/>
  <c r="I232" i="2"/>
  <c r="J232" i="2"/>
  <c r="M232" i="2" s="1"/>
  <c r="K232" i="2"/>
  <c r="L232" i="2"/>
  <c r="D233" i="2"/>
  <c r="C233" i="3" s="1"/>
  <c r="G233" i="2"/>
  <c r="H233" i="2"/>
  <c r="I233" i="2"/>
  <c r="J233" i="2"/>
  <c r="K233" i="2"/>
  <c r="L233" i="2"/>
  <c r="D234" i="2"/>
  <c r="C234" i="3" s="1"/>
  <c r="G234" i="2"/>
  <c r="H234" i="2"/>
  <c r="J234" i="2" s="1"/>
  <c r="I234" i="2"/>
  <c r="D235" i="2"/>
  <c r="C235" i="3" s="1"/>
  <c r="D235" i="3" s="1"/>
  <c r="G235" i="2"/>
  <c r="H235" i="2"/>
  <c r="I235" i="2"/>
  <c r="L235" i="2"/>
  <c r="D236" i="2"/>
  <c r="C236" i="3" s="1"/>
  <c r="D236" i="3" s="1"/>
  <c r="G236" i="2"/>
  <c r="H236" i="2"/>
  <c r="I236" i="2"/>
  <c r="J236" i="2"/>
  <c r="M236" i="2" s="1"/>
  <c r="K236" i="2"/>
  <c r="L236" i="2"/>
  <c r="D237" i="2"/>
  <c r="C237" i="3" s="1"/>
  <c r="G237" i="2"/>
  <c r="H237" i="2"/>
  <c r="I237" i="2"/>
  <c r="J237" i="2"/>
  <c r="M237" i="2" s="1"/>
  <c r="K237" i="2"/>
  <c r="L237" i="2"/>
  <c r="D238" i="2"/>
  <c r="C238" i="3" s="1"/>
  <c r="G238" i="2"/>
  <c r="H238" i="2"/>
  <c r="J238" i="2" s="1"/>
  <c r="I238" i="2"/>
  <c r="K238" i="2"/>
  <c r="L238" i="2"/>
  <c r="D239" i="2"/>
  <c r="C239" i="3" s="1"/>
  <c r="D239" i="3" s="1"/>
  <c r="G239" i="2"/>
  <c r="H239" i="2"/>
  <c r="I239" i="2"/>
  <c r="D240" i="2"/>
  <c r="G240" i="2"/>
  <c r="H240" i="2"/>
  <c r="I240" i="2"/>
  <c r="J240" i="2"/>
  <c r="M240" i="2" s="1"/>
  <c r="K240" i="2"/>
  <c r="L240" i="2"/>
  <c r="D241" i="2"/>
  <c r="C241" i="3" s="1"/>
  <c r="D241" i="3" s="1"/>
  <c r="G241" i="2"/>
  <c r="H241" i="2"/>
  <c r="I241" i="2"/>
  <c r="J241" i="2"/>
  <c r="M241" i="2" s="1"/>
  <c r="K241" i="2"/>
  <c r="L241" i="2"/>
  <c r="D242" i="2"/>
  <c r="C242" i="3" s="1"/>
  <c r="G242" i="2"/>
  <c r="H242" i="2"/>
  <c r="J242" i="2" s="1"/>
  <c r="I242" i="2"/>
  <c r="K242" i="2"/>
  <c r="L242" i="2"/>
  <c r="D243" i="2"/>
  <c r="C243" i="3" s="1"/>
  <c r="G243" i="2"/>
  <c r="H243" i="2"/>
  <c r="L243" i="2" s="1"/>
  <c r="I243" i="2"/>
  <c r="D244" i="2"/>
  <c r="C244" i="3" s="1"/>
  <c r="D244" i="3" s="1"/>
  <c r="G244" i="2"/>
  <c r="H244" i="2"/>
  <c r="I244" i="2"/>
  <c r="J244" i="2"/>
  <c r="M244" i="2" s="1"/>
  <c r="K244" i="2"/>
  <c r="L244" i="2"/>
  <c r="D245" i="2"/>
  <c r="C245" i="3" s="1"/>
  <c r="D245" i="3" s="1"/>
  <c r="G245" i="2"/>
  <c r="H245" i="2"/>
  <c r="I245" i="2"/>
  <c r="J245" i="2"/>
  <c r="K245" i="2"/>
  <c r="L245" i="2"/>
  <c r="D246" i="2"/>
  <c r="C246" i="3" s="1"/>
  <c r="G246" i="2"/>
  <c r="H246" i="2"/>
  <c r="J246" i="2" s="1"/>
  <c r="I246" i="2"/>
  <c r="D247" i="2"/>
  <c r="C247" i="3" s="1"/>
  <c r="G247" i="2"/>
  <c r="H247" i="2"/>
  <c r="I247" i="2"/>
  <c r="L247" i="2"/>
  <c r="D248" i="2"/>
  <c r="C248" i="3" s="1"/>
  <c r="D248" i="3" s="1"/>
  <c r="G248" i="2"/>
  <c r="H248" i="2"/>
  <c r="I248" i="2"/>
  <c r="J248" i="2"/>
  <c r="M248" i="2" s="1"/>
  <c r="K248" i="2"/>
  <c r="L248" i="2"/>
  <c r="D249" i="2"/>
  <c r="G249" i="2"/>
  <c r="H249" i="2"/>
  <c r="I249" i="2"/>
  <c r="J249" i="2"/>
  <c r="K249" i="2"/>
  <c r="L249" i="2"/>
  <c r="D250" i="2"/>
  <c r="G250" i="2"/>
  <c r="H250" i="2"/>
  <c r="J250" i="2" s="1"/>
  <c r="I250" i="2"/>
  <c r="D251" i="2"/>
  <c r="C251" i="3" s="1"/>
  <c r="D251" i="3" s="1"/>
  <c r="G251" i="2"/>
  <c r="H251" i="2"/>
  <c r="I251" i="2"/>
  <c r="L251" i="2"/>
  <c r="D252" i="2"/>
  <c r="C252" i="3" s="1"/>
  <c r="G252" i="2"/>
  <c r="H252" i="2"/>
  <c r="I252" i="2"/>
  <c r="J252" i="2"/>
  <c r="M252" i="2" s="1"/>
  <c r="K252" i="2"/>
  <c r="L252" i="2"/>
  <c r="D253" i="2"/>
  <c r="C253" i="3" s="1"/>
  <c r="G253" i="2"/>
  <c r="H253" i="2"/>
  <c r="I253" i="2"/>
  <c r="J253" i="2"/>
  <c r="M253" i="2" s="1"/>
  <c r="K253" i="2"/>
  <c r="L253" i="2"/>
  <c r="D254" i="2"/>
  <c r="C254" i="3" s="1"/>
  <c r="D254" i="3" s="1"/>
  <c r="G254" i="2"/>
  <c r="H254" i="2"/>
  <c r="J254" i="2" s="1"/>
  <c r="I254" i="2"/>
  <c r="K254" i="2"/>
  <c r="L254" i="2"/>
  <c r="D255" i="2"/>
  <c r="C255" i="3" s="1"/>
  <c r="D255" i="3" s="1"/>
  <c r="G255" i="2"/>
  <c r="H255" i="2"/>
  <c r="I255" i="2"/>
  <c r="D256" i="2"/>
  <c r="C256" i="3" s="1"/>
  <c r="G256" i="2"/>
  <c r="H256" i="2"/>
  <c r="I256" i="2"/>
  <c r="J256" i="2"/>
  <c r="M256" i="2" s="1"/>
  <c r="K256" i="2"/>
  <c r="L256" i="2"/>
  <c r="D257" i="2"/>
  <c r="G257" i="2"/>
  <c r="H257" i="2"/>
  <c r="I257" i="2"/>
  <c r="J257" i="2"/>
  <c r="M257" i="2" s="1"/>
  <c r="K257" i="2"/>
  <c r="L257" i="2"/>
  <c r="D258" i="2"/>
  <c r="C258" i="3" s="1"/>
  <c r="G258" i="2"/>
  <c r="H258" i="2"/>
  <c r="J258" i="2" s="1"/>
  <c r="I258" i="2"/>
  <c r="K258" i="2"/>
  <c r="L258" i="2"/>
  <c r="D259" i="2"/>
  <c r="C259" i="3" s="1"/>
  <c r="D259" i="3" s="1"/>
  <c r="G259" i="2"/>
  <c r="H259" i="2"/>
  <c r="L259" i="2" s="1"/>
  <c r="I259" i="2"/>
  <c r="D260" i="2"/>
  <c r="C260" i="3" s="1"/>
  <c r="D260" i="3" s="1"/>
  <c r="G260" i="2"/>
  <c r="H260" i="2"/>
  <c r="I260" i="2"/>
  <c r="J260" i="2"/>
  <c r="M260" i="2" s="1"/>
  <c r="K260" i="2"/>
  <c r="L260" i="2"/>
  <c r="D261" i="2"/>
  <c r="C261" i="3" s="1"/>
  <c r="G261" i="2"/>
  <c r="H261" i="2"/>
  <c r="I261" i="2"/>
  <c r="J261" i="2"/>
  <c r="K261" i="2"/>
  <c r="L261" i="2"/>
  <c r="D262" i="2"/>
  <c r="C262" i="3" s="1"/>
  <c r="G262" i="2"/>
  <c r="H262" i="2"/>
  <c r="J262" i="2" s="1"/>
  <c r="I262" i="2"/>
  <c r="D263" i="2"/>
  <c r="G263" i="2"/>
  <c r="H263" i="2"/>
  <c r="I263" i="2"/>
  <c r="L263" i="2"/>
  <c r="D264" i="2"/>
  <c r="C264" i="3" s="1"/>
  <c r="D264" i="3" s="1"/>
  <c r="G264" i="2"/>
  <c r="H264" i="2"/>
  <c r="I264" i="2"/>
  <c r="J264" i="2"/>
  <c r="M264" i="2" s="1"/>
  <c r="K264" i="2"/>
  <c r="L264" i="2"/>
  <c r="D265" i="2"/>
  <c r="C265" i="3" s="1"/>
  <c r="D265" i="3" s="1"/>
  <c r="G265" i="2"/>
  <c r="H265" i="2"/>
  <c r="I265" i="2"/>
  <c r="J265" i="2"/>
  <c r="K265" i="2"/>
  <c r="L265" i="2"/>
  <c r="D266" i="2"/>
  <c r="C266" i="3" s="1"/>
  <c r="G266" i="2"/>
  <c r="H266" i="2"/>
  <c r="J266" i="2" s="1"/>
  <c r="I266" i="2"/>
  <c r="D267" i="2"/>
  <c r="C267" i="3" s="1"/>
  <c r="G267" i="2"/>
  <c r="H267" i="2"/>
  <c r="I267" i="2"/>
  <c r="L267" i="2"/>
  <c r="D268" i="2"/>
  <c r="C268" i="3" s="1"/>
  <c r="D268" i="3" s="1"/>
  <c r="G268" i="2"/>
  <c r="H268" i="2"/>
  <c r="I268" i="2"/>
  <c r="J268" i="2"/>
  <c r="M268" i="2" s="1"/>
  <c r="K268" i="2"/>
  <c r="L268" i="2"/>
  <c r="D269" i="2"/>
  <c r="C269" i="3" s="1"/>
  <c r="D269" i="3" s="1"/>
  <c r="G269" i="2"/>
  <c r="H269" i="2"/>
  <c r="I269" i="2"/>
  <c r="J269" i="2"/>
  <c r="M269" i="2" s="1"/>
  <c r="K269" i="2"/>
  <c r="L269" i="2"/>
  <c r="D270" i="2"/>
  <c r="G270" i="2"/>
  <c r="H270" i="2"/>
  <c r="J270" i="2" s="1"/>
  <c r="I270" i="2"/>
  <c r="K270" i="2"/>
  <c r="L270" i="2"/>
  <c r="D271" i="2"/>
  <c r="C271" i="3" s="1"/>
  <c r="G271" i="2"/>
  <c r="H271" i="2"/>
  <c r="I271" i="2"/>
  <c r="D272" i="2"/>
  <c r="C272" i="3" s="1"/>
  <c r="G272" i="2"/>
  <c r="H272" i="2"/>
  <c r="I272" i="2"/>
  <c r="J272" i="2"/>
  <c r="K272" i="2"/>
  <c r="L272" i="2"/>
  <c r="D273" i="2"/>
  <c r="C273" i="3" s="1"/>
  <c r="D273" i="3" s="1"/>
  <c r="G273" i="2"/>
  <c r="H273" i="2"/>
  <c r="J273" i="2" s="1"/>
  <c r="I273" i="2"/>
  <c r="L273" i="2"/>
  <c r="D274" i="2"/>
  <c r="C274" i="3" s="1"/>
  <c r="D274" i="3" s="1"/>
  <c r="G274" i="2"/>
  <c r="H274" i="2"/>
  <c r="J274" i="2" s="1"/>
  <c r="I274" i="2"/>
  <c r="K274" i="2"/>
  <c r="L274" i="2"/>
  <c r="D275" i="2"/>
  <c r="C275" i="3" s="1"/>
  <c r="G275" i="2"/>
  <c r="H275" i="2"/>
  <c r="K275" i="2" s="1"/>
  <c r="I275" i="2"/>
  <c r="D276" i="2"/>
  <c r="C276" i="3" s="1"/>
  <c r="G276" i="2"/>
  <c r="H276" i="2"/>
  <c r="I276" i="2"/>
  <c r="J276" i="2"/>
  <c r="M276" i="2" s="1"/>
  <c r="K276" i="2"/>
  <c r="L276" i="2"/>
  <c r="D277" i="2"/>
  <c r="G277" i="2"/>
  <c r="H277" i="2"/>
  <c r="I277" i="2"/>
  <c r="J277" i="2"/>
  <c r="K277" i="2"/>
  <c r="L277" i="2"/>
  <c r="D278" i="2"/>
  <c r="G278" i="2"/>
  <c r="H278" i="2"/>
  <c r="J278" i="2" s="1"/>
  <c r="I278" i="2"/>
  <c r="D279" i="2"/>
  <c r="G279" i="2"/>
  <c r="H279" i="2"/>
  <c r="K279" i="2" s="1"/>
  <c r="I279" i="2"/>
  <c r="J279" i="2"/>
  <c r="M279" i="2" s="1"/>
  <c r="L279" i="2"/>
  <c r="D280" i="2"/>
  <c r="C280" i="3" s="1"/>
  <c r="D280" i="3" s="1"/>
  <c r="G280" i="2"/>
  <c r="H280" i="2"/>
  <c r="I280" i="2"/>
  <c r="J280" i="2"/>
  <c r="K280" i="2"/>
  <c r="L280" i="2"/>
  <c r="D281" i="2"/>
  <c r="C281" i="3" s="1"/>
  <c r="D281" i="3" s="1"/>
  <c r="G281" i="2"/>
  <c r="H281" i="2"/>
  <c r="J281" i="2" s="1"/>
  <c r="I281" i="2"/>
  <c r="L281" i="2"/>
  <c r="D282" i="2"/>
  <c r="G282" i="2"/>
  <c r="H282" i="2"/>
  <c r="J282" i="2" s="1"/>
  <c r="I282" i="2"/>
  <c r="K282" i="2"/>
  <c r="L282" i="2"/>
  <c r="D283" i="2"/>
  <c r="C283" i="3" s="1"/>
  <c r="G283" i="2"/>
  <c r="H283" i="2"/>
  <c r="K283" i="2" s="1"/>
  <c r="I283" i="2"/>
  <c r="D284" i="2"/>
  <c r="C284" i="3" s="1"/>
  <c r="D284" i="3" s="1"/>
  <c r="G284" i="2"/>
  <c r="H284" i="2"/>
  <c r="I284" i="2"/>
  <c r="J284" i="2"/>
  <c r="M284" i="2" s="1"/>
  <c r="K284" i="2"/>
  <c r="L284" i="2"/>
  <c r="D285" i="2"/>
  <c r="C285" i="3" s="1"/>
  <c r="D285" i="3" s="1"/>
  <c r="G285" i="2"/>
  <c r="H285" i="2"/>
  <c r="I285" i="2"/>
  <c r="J285" i="2"/>
  <c r="K285" i="2"/>
  <c r="L285" i="2"/>
  <c r="D286" i="2"/>
  <c r="C286" i="3" s="1"/>
  <c r="G286" i="2"/>
  <c r="H286" i="2"/>
  <c r="J286" i="2" s="1"/>
  <c r="I286" i="2"/>
  <c r="D287" i="2"/>
  <c r="C287" i="3" s="1"/>
  <c r="G287" i="2"/>
  <c r="H287" i="2"/>
  <c r="K287" i="2" s="1"/>
  <c r="I287" i="2"/>
  <c r="J287" i="2"/>
  <c r="D288" i="2"/>
  <c r="C288" i="3" s="1"/>
  <c r="D288" i="3" s="1"/>
  <c r="G288" i="2"/>
  <c r="H288" i="2"/>
  <c r="I288" i="2"/>
  <c r="J288" i="2"/>
  <c r="K288" i="2"/>
  <c r="L288" i="2"/>
  <c r="D289" i="2"/>
  <c r="G289" i="2"/>
  <c r="H289" i="2"/>
  <c r="J289" i="2" s="1"/>
  <c r="I289" i="2"/>
  <c r="L289" i="2"/>
  <c r="D290" i="2"/>
  <c r="C290" i="3" s="1"/>
  <c r="D290" i="3" s="1"/>
  <c r="G290" i="2"/>
  <c r="H290" i="2"/>
  <c r="J290" i="2" s="1"/>
  <c r="I290" i="2"/>
  <c r="K290" i="2"/>
  <c r="D291" i="2"/>
  <c r="C291" i="3" s="1"/>
  <c r="G291" i="2"/>
  <c r="H291" i="2"/>
  <c r="K291" i="2" s="1"/>
  <c r="I291" i="2"/>
  <c r="D292" i="2"/>
  <c r="C292" i="3" s="1"/>
  <c r="G292" i="2"/>
  <c r="H292" i="2"/>
  <c r="I292" i="2"/>
  <c r="J292" i="2"/>
  <c r="M292" i="2" s="1"/>
  <c r="K292" i="2"/>
  <c r="L292" i="2"/>
  <c r="D293" i="2"/>
  <c r="C293" i="3" s="1"/>
  <c r="D293" i="3" s="1"/>
  <c r="G293" i="2"/>
  <c r="H293" i="2"/>
  <c r="I293" i="2"/>
  <c r="J293" i="2"/>
  <c r="K293" i="2"/>
  <c r="L293" i="2"/>
  <c r="D294" i="2"/>
  <c r="C294" i="3" s="1"/>
  <c r="D294" i="3" s="1"/>
  <c r="G294" i="2"/>
  <c r="H294" i="2"/>
  <c r="J294" i="2" s="1"/>
  <c r="I294" i="2"/>
  <c r="D295" i="2"/>
  <c r="C295" i="3" s="1"/>
  <c r="G295" i="2"/>
  <c r="H295" i="2"/>
  <c r="K295" i="2" s="1"/>
  <c r="I295" i="2"/>
  <c r="J295" i="2"/>
  <c r="D296" i="2"/>
  <c r="C296" i="3" s="1"/>
  <c r="G296" i="2"/>
  <c r="H296" i="2"/>
  <c r="I296" i="2"/>
  <c r="J296" i="2"/>
  <c r="K296" i="2"/>
  <c r="L296" i="2"/>
  <c r="D297" i="2"/>
  <c r="G297" i="2"/>
  <c r="H297" i="2"/>
  <c r="J297" i="2" s="1"/>
  <c r="I297" i="2"/>
  <c r="D298" i="2"/>
  <c r="C298" i="3" s="1"/>
  <c r="D298" i="3" s="1"/>
  <c r="G298" i="2"/>
  <c r="H298" i="2"/>
  <c r="J298" i="2" s="1"/>
  <c r="I298" i="2"/>
  <c r="K298" i="2"/>
  <c r="D299" i="2"/>
  <c r="C299" i="3" s="1"/>
  <c r="D299" i="3" s="1"/>
  <c r="G299" i="2"/>
  <c r="H299" i="2"/>
  <c r="K299" i="2" s="1"/>
  <c r="I299" i="2"/>
  <c r="D300" i="2"/>
  <c r="C300" i="3" s="1"/>
  <c r="G300" i="2"/>
  <c r="H300" i="2"/>
  <c r="I300" i="2"/>
  <c r="J300" i="2"/>
  <c r="M300" i="2" s="1"/>
  <c r="K300" i="2"/>
  <c r="L300" i="2"/>
  <c r="D301" i="2"/>
  <c r="C301" i="3" s="1"/>
  <c r="G301" i="2"/>
  <c r="H301" i="2"/>
  <c r="I301" i="2"/>
  <c r="J301" i="2"/>
  <c r="K301" i="2"/>
  <c r="L301" i="2"/>
  <c r="D302" i="2"/>
  <c r="C302" i="3" s="1"/>
  <c r="D302" i="3" s="1"/>
  <c r="G302" i="2"/>
  <c r="H302" i="2"/>
  <c r="J302" i="2" s="1"/>
  <c r="I302" i="2"/>
  <c r="D303" i="2"/>
  <c r="C303" i="3" s="1"/>
  <c r="D303" i="3" s="1"/>
  <c r="G303" i="2"/>
  <c r="H303" i="2"/>
  <c r="K303" i="2" s="1"/>
  <c r="I303" i="2"/>
  <c r="J303" i="2"/>
  <c r="D304" i="2"/>
  <c r="C304" i="3" s="1"/>
  <c r="G304" i="2"/>
  <c r="H304" i="2"/>
  <c r="I304" i="2"/>
  <c r="J304" i="2"/>
  <c r="K304" i="2"/>
  <c r="L304" i="2"/>
  <c r="D305" i="2"/>
  <c r="C305" i="3" s="1"/>
  <c r="G305" i="2"/>
  <c r="H305" i="2"/>
  <c r="J305" i="2" s="1"/>
  <c r="I305" i="2"/>
  <c r="L305" i="2"/>
  <c r="D306" i="2"/>
  <c r="C306" i="3" s="1"/>
  <c r="D306" i="3" s="1"/>
  <c r="G306" i="2"/>
  <c r="H306" i="2"/>
  <c r="J306" i="2" s="1"/>
  <c r="I306" i="2"/>
  <c r="K306" i="2"/>
  <c r="D307" i="2"/>
  <c r="C307" i="3" s="1"/>
  <c r="D307" i="3" s="1"/>
  <c r="G307" i="2"/>
  <c r="H307" i="2"/>
  <c r="K307" i="2" s="1"/>
  <c r="I307" i="2"/>
  <c r="D308" i="2"/>
  <c r="C308" i="3" s="1"/>
  <c r="G308" i="2"/>
  <c r="H308" i="2"/>
  <c r="I308" i="2"/>
  <c r="J308" i="2"/>
  <c r="M308" i="2" s="1"/>
  <c r="K308" i="2"/>
  <c r="L308" i="2"/>
  <c r="D309" i="2"/>
  <c r="G309" i="2"/>
  <c r="H309" i="2"/>
  <c r="I309" i="2"/>
  <c r="J309" i="2"/>
  <c r="K309" i="2"/>
  <c r="L309" i="2"/>
  <c r="D310" i="2"/>
  <c r="G310" i="2"/>
  <c r="H310" i="2"/>
  <c r="J310" i="2" s="1"/>
  <c r="I310" i="2"/>
  <c r="D311" i="2"/>
  <c r="C311" i="3" s="1"/>
  <c r="G311" i="2"/>
  <c r="H311" i="2"/>
  <c r="K311" i="2" s="1"/>
  <c r="I311" i="2"/>
  <c r="J311" i="2"/>
  <c r="D312" i="2"/>
  <c r="C312" i="3" s="1"/>
  <c r="D312" i="3" s="1"/>
  <c r="G312" i="2"/>
  <c r="H312" i="2"/>
  <c r="I312" i="2"/>
  <c r="J312" i="2"/>
  <c r="K312" i="2"/>
  <c r="L312" i="2"/>
  <c r="D313" i="2"/>
  <c r="C313" i="3" s="1"/>
  <c r="D313" i="3" s="1"/>
  <c r="G313" i="2"/>
  <c r="H313" i="2"/>
  <c r="J313" i="2" s="1"/>
  <c r="I313" i="2"/>
  <c r="L313" i="2"/>
  <c r="D314" i="2"/>
  <c r="C314" i="3" s="1"/>
  <c r="G314" i="2"/>
  <c r="H314" i="2"/>
  <c r="J314" i="2" s="1"/>
  <c r="I314" i="2"/>
  <c r="K314" i="2"/>
  <c r="D315" i="2"/>
  <c r="G315" i="2"/>
  <c r="H315" i="2"/>
  <c r="K315" i="2" s="1"/>
  <c r="I315" i="2"/>
  <c r="D316" i="2"/>
  <c r="C316" i="3" s="1"/>
  <c r="G316" i="2"/>
  <c r="H316" i="2"/>
  <c r="I316" i="2"/>
  <c r="J316" i="2"/>
  <c r="M316" i="2" s="1"/>
  <c r="K316" i="2"/>
  <c r="L316" i="2"/>
  <c r="D317" i="2"/>
  <c r="C317" i="3" s="1"/>
  <c r="D317" i="3" s="1"/>
  <c r="G317" i="2"/>
  <c r="H317" i="2"/>
  <c r="I317" i="2"/>
  <c r="J317" i="2"/>
  <c r="K317" i="2"/>
  <c r="L317" i="2"/>
  <c r="D318" i="2"/>
  <c r="C318" i="3" s="1"/>
  <c r="D318" i="3" s="1"/>
  <c r="G318" i="2"/>
  <c r="H318" i="2"/>
  <c r="J318" i="2" s="1"/>
  <c r="I318" i="2"/>
  <c r="D319" i="2"/>
  <c r="C319" i="3" s="1"/>
  <c r="G319" i="2"/>
  <c r="H319" i="2"/>
  <c r="K319" i="2" s="1"/>
  <c r="I319" i="2"/>
  <c r="J319" i="2"/>
  <c r="D320" i="2"/>
  <c r="C320" i="3" s="1"/>
  <c r="G320" i="2"/>
  <c r="H320" i="2"/>
  <c r="I320" i="2"/>
  <c r="J320" i="2"/>
  <c r="K320" i="2"/>
  <c r="L320" i="2"/>
  <c r="D321" i="2"/>
  <c r="C321" i="3" s="1"/>
  <c r="D321" i="3" s="1"/>
  <c r="G321" i="2"/>
  <c r="H321" i="2"/>
  <c r="J321" i="2" s="1"/>
  <c r="I321" i="2"/>
  <c r="L321" i="2"/>
  <c r="D322" i="2"/>
  <c r="C322" i="3" s="1"/>
  <c r="D322" i="3" s="1"/>
  <c r="G322" i="2"/>
  <c r="H322" i="2"/>
  <c r="J322" i="2" s="1"/>
  <c r="I322" i="2"/>
  <c r="K322" i="2"/>
  <c r="D323" i="2"/>
  <c r="C323" i="3" s="1"/>
  <c r="G323" i="2"/>
  <c r="H323" i="2"/>
  <c r="K323" i="2" s="1"/>
  <c r="I323" i="2"/>
  <c r="D324" i="2"/>
  <c r="C324" i="3" s="1"/>
  <c r="G324" i="2"/>
  <c r="H324" i="2"/>
  <c r="I324" i="2"/>
  <c r="J324" i="2"/>
  <c r="M324" i="2" s="1"/>
  <c r="K324" i="2"/>
  <c r="L324" i="2"/>
  <c r="D325" i="2"/>
  <c r="G325" i="2"/>
  <c r="H325" i="2"/>
  <c r="I325" i="2"/>
  <c r="J325" i="2"/>
  <c r="K325" i="2"/>
  <c r="L325" i="2"/>
  <c r="D326" i="2"/>
  <c r="C326" i="3" s="1"/>
  <c r="D326" i="3" s="1"/>
  <c r="G326" i="2"/>
  <c r="H326" i="2"/>
  <c r="J326" i="2" s="1"/>
  <c r="I326" i="2"/>
  <c r="D327" i="2"/>
  <c r="C327" i="3" s="1"/>
  <c r="D327" i="3" s="1"/>
  <c r="G327" i="2"/>
  <c r="H327" i="2"/>
  <c r="K327" i="2" s="1"/>
  <c r="I327" i="2"/>
  <c r="J327" i="2"/>
  <c r="D328" i="2"/>
  <c r="C328" i="3" s="1"/>
  <c r="G328" i="2"/>
  <c r="H328" i="2"/>
  <c r="J328" i="2" s="1"/>
  <c r="I328" i="2"/>
  <c r="L328" i="2"/>
  <c r="D329" i="2"/>
  <c r="C329" i="3" s="1"/>
  <c r="G329" i="2"/>
  <c r="H329" i="2"/>
  <c r="J329" i="2" s="1"/>
  <c r="I329" i="2"/>
  <c r="L329" i="2"/>
  <c r="D330" i="2"/>
  <c r="C330" i="3" s="1"/>
  <c r="D330" i="3" s="1"/>
  <c r="G330" i="2"/>
  <c r="H330" i="2"/>
  <c r="K330" i="2" s="1"/>
  <c r="I330" i="2"/>
  <c r="J330" i="2"/>
  <c r="L330" i="2"/>
  <c r="D331" i="2"/>
  <c r="C331" i="3" s="1"/>
  <c r="D331" i="3" s="1"/>
  <c r="G331" i="2"/>
  <c r="H331" i="2"/>
  <c r="I331" i="2"/>
  <c r="J331" i="2"/>
  <c r="K331" i="2"/>
  <c r="L331" i="2"/>
  <c r="D332" i="2"/>
  <c r="C332" i="3" s="1"/>
  <c r="G332" i="2"/>
  <c r="H332" i="2"/>
  <c r="K332" i="2" s="1"/>
  <c r="I332" i="2"/>
  <c r="L332" i="2"/>
  <c r="D333" i="2"/>
  <c r="C333" i="3" s="1"/>
  <c r="G333" i="2"/>
  <c r="H333" i="2"/>
  <c r="J333" i="2" s="1"/>
  <c r="I333" i="2"/>
  <c r="L333" i="2"/>
  <c r="D334" i="2"/>
  <c r="C334" i="3" s="1"/>
  <c r="D334" i="3" s="1"/>
  <c r="G334" i="2"/>
  <c r="H334" i="2"/>
  <c r="K334" i="2" s="1"/>
  <c r="I334" i="2"/>
  <c r="J334" i="2"/>
  <c r="L334" i="2"/>
  <c r="D335" i="2"/>
  <c r="C335" i="3" s="1"/>
  <c r="D335" i="3" s="1"/>
  <c r="G335" i="2"/>
  <c r="H335" i="2"/>
  <c r="I335" i="2"/>
  <c r="J335" i="2"/>
  <c r="K335" i="2"/>
  <c r="L335" i="2"/>
  <c r="D336" i="2"/>
  <c r="G336" i="2"/>
  <c r="H336" i="2"/>
  <c r="J336" i="2" s="1"/>
  <c r="I336" i="2"/>
  <c r="L336" i="2"/>
  <c r="D337" i="2"/>
  <c r="G337" i="2"/>
  <c r="H337" i="2"/>
  <c r="J337" i="2" s="1"/>
  <c r="I337" i="2"/>
  <c r="L337" i="2"/>
  <c r="D338" i="2"/>
  <c r="G338" i="2"/>
  <c r="H338" i="2"/>
  <c r="K338" i="2" s="1"/>
  <c r="I338" i="2"/>
  <c r="J338" i="2"/>
  <c r="L338" i="2"/>
  <c r="D339" i="2"/>
  <c r="G339" i="2"/>
  <c r="H339" i="2"/>
  <c r="I339" i="2"/>
  <c r="J339" i="2"/>
  <c r="K339" i="2"/>
  <c r="L339" i="2"/>
  <c r="I336" i="4" l="1"/>
  <c r="I62" i="4"/>
  <c r="I309" i="4"/>
  <c r="U90" i="4"/>
  <c r="N245" i="4"/>
  <c r="O248" i="4"/>
  <c r="O291" i="4"/>
  <c r="N11" i="4"/>
  <c r="P291" i="4"/>
  <c r="P248" i="4"/>
  <c r="P245" i="4"/>
  <c r="P252" i="4"/>
  <c r="P158" i="4"/>
  <c r="N146" i="4"/>
  <c r="D270" i="4"/>
  <c r="V270" i="4"/>
  <c r="P332" i="4"/>
  <c r="O317" i="4"/>
  <c r="D229" i="4"/>
  <c r="O158" i="4"/>
  <c r="P50" i="4"/>
  <c r="H229" i="4"/>
  <c r="P229" i="4" s="1"/>
  <c r="P226" i="4"/>
  <c r="P328" i="4"/>
  <c r="N319" i="4"/>
  <c r="O246" i="4"/>
  <c r="N226" i="4"/>
  <c r="P198" i="4"/>
  <c r="U175" i="4"/>
  <c r="P173" i="4"/>
  <c r="P149" i="4"/>
  <c r="N94" i="4"/>
  <c r="P91" i="4"/>
  <c r="I90" i="4"/>
  <c r="P76" i="4"/>
  <c r="P72" i="4"/>
  <c r="P57" i="4"/>
  <c r="N40" i="4"/>
  <c r="P319" i="4"/>
  <c r="D297" i="4"/>
  <c r="N149" i="4"/>
  <c r="T63" i="4"/>
  <c r="P17" i="4"/>
  <c r="P292" i="4"/>
  <c r="O292" i="4"/>
  <c r="O265" i="4"/>
  <c r="P261" i="4"/>
  <c r="S250" i="4"/>
  <c r="N244" i="4"/>
  <c r="P241" i="4"/>
  <c r="P237" i="4"/>
  <c r="N231" i="4"/>
  <c r="P214" i="4"/>
  <c r="P211" i="4"/>
  <c r="T207" i="4"/>
  <c r="P195" i="4"/>
  <c r="O190" i="4"/>
  <c r="P182" i="4"/>
  <c r="P168" i="4"/>
  <c r="P164" i="4"/>
  <c r="N142" i="4"/>
  <c r="P139" i="4"/>
  <c r="N133" i="4"/>
  <c r="P130" i="4"/>
  <c r="P120" i="4"/>
  <c r="O107" i="4"/>
  <c r="D97" i="4"/>
  <c r="N95" i="4"/>
  <c r="N47" i="4"/>
  <c r="N29" i="4"/>
  <c r="N17" i="4"/>
  <c r="P231" i="4"/>
  <c r="P107" i="4"/>
  <c r="P95" i="4"/>
  <c r="V97" i="4"/>
  <c r="D53" i="4"/>
  <c r="P47" i="4"/>
  <c r="P29" i="4"/>
  <c r="N314" i="4"/>
  <c r="U310" i="4"/>
  <c r="P305" i="4"/>
  <c r="P302" i="4"/>
  <c r="H297" i="4"/>
  <c r="N297" i="4" s="1"/>
  <c r="P287" i="4"/>
  <c r="P270" i="4"/>
  <c r="P267" i="4"/>
  <c r="I250" i="4"/>
  <c r="P246" i="4"/>
  <c r="P239" i="4"/>
  <c r="N164" i="4"/>
  <c r="P146" i="4"/>
  <c r="N120" i="4"/>
  <c r="S113" i="4"/>
  <c r="P65" i="4"/>
  <c r="P11" i="4"/>
  <c r="P298" i="4"/>
  <c r="P293" i="4"/>
  <c r="S278" i="4"/>
  <c r="P273" i="4"/>
  <c r="I270" i="4"/>
  <c r="V263" i="4"/>
  <c r="H249" i="4"/>
  <c r="N249" i="4" s="1"/>
  <c r="P227" i="4"/>
  <c r="O168" i="4"/>
  <c r="P165" i="4"/>
  <c r="I175" i="4"/>
  <c r="P160" i="4"/>
  <c r="N130" i="4"/>
  <c r="P121" i="4"/>
  <c r="P103" i="4"/>
  <c r="I97" i="4"/>
  <c r="P96" i="4"/>
  <c r="P80" i="4"/>
  <c r="P77" i="4"/>
  <c r="O76" i="4"/>
  <c r="P74" i="4"/>
  <c r="N70" i="4"/>
  <c r="O54" i="4"/>
  <c r="I53" i="4"/>
  <c r="P52" i="4"/>
  <c r="I63" i="4"/>
  <c r="O39" i="4"/>
  <c r="S37" i="4"/>
  <c r="P33" i="4"/>
  <c r="P21" i="4"/>
  <c r="P13" i="4"/>
  <c r="T337" i="4"/>
  <c r="D336" i="4"/>
  <c r="P314" i="4"/>
  <c r="N298" i="4"/>
  <c r="P265" i="4"/>
  <c r="D257" i="4"/>
  <c r="P244" i="4"/>
  <c r="P235" i="4"/>
  <c r="O222" i="4"/>
  <c r="P220" i="4"/>
  <c r="P217" i="4"/>
  <c r="S207" i="4"/>
  <c r="P204" i="4"/>
  <c r="P201" i="4"/>
  <c r="O198" i="4"/>
  <c r="P192" i="4"/>
  <c r="P176" i="4"/>
  <c r="P172" i="4"/>
  <c r="P169" i="4"/>
  <c r="O165" i="4"/>
  <c r="P151" i="4"/>
  <c r="S144" i="4"/>
  <c r="D135" i="4"/>
  <c r="P133" i="4"/>
  <c r="P124" i="4"/>
  <c r="P111" i="4"/>
  <c r="O103" i="4"/>
  <c r="P100" i="4"/>
  <c r="P94" i="4"/>
  <c r="T90" i="4"/>
  <c r="O77" i="4"/>
  <c r="D62" i="4"/>
  <c r="U63" i="4"/>
  <c r="N49" i="4"/>
  <c r="O45" i="4"/>
  <c r="P40" i="4"/>
  <c r="P23" i="4"/>
  <c r="O21" i="4"/>
  <c r="N13" i="4"/>
  <c r="I89" i="4"/>
  <c r="U337" i="4"/>
  <c r="U338" i="4" s="1"/>
  <c r="V309" i="4"/>
  <c r="D263" i="4"/>
  <c r="V229" i="4"/>
  <c r="P194" i="4"/>
  <c r="O192" i="4"/>
  <c r="N176" i="4"/>
  <c r="I144" i="4"/>
  <c r="T113" i="4"/>
  <c r="D112" i="4"/>
  <c r="S90" i="4"/>
  <c r="H63" i="4"/>
  <c r="N63" i="4" s="1"/>
  <c r="U37" i="4"/>
  <c r="Q88" i="3"/>
  <c r="Q103" i="3"/>
  <c r="Q115" i="3"/>
  <c r="Q143" i="3"/>
  <c r="Q198" i="3"/>
  <c r="Q242" i="3"/>
  <c r="Q271" i="3"/>
  <c r="Q291" i="3"/>
  <c r="Q328" i="3"/>
  <c r="P252" i="3"/>
  <c r="P295" i="3"/>
  <c r="P323" i="3"/>
  <c r="P332" i="3"/>
  <c r="G5" i="3"/>
  <c r="G314" i="3"/>
  <c r="H261" i="3"/>
  <c r="P261" i="3" s="1"/>
  <c r="I222" i="3"/>
  <c r="H165" i="3"/>
  <c r="O165" i="3" s="1"/>
  <c r="H137" i="3"/>
  <c r="G332" i="3"/>
  <c r="P331" i="3"/>
  <c r="F315" i="3"/>
  <c r="E257" i="3"/>
  <c r="I257" i="3" s="1"/>
  <c r="F249" i="3"/>
  <c r="I242" i="3"/>
  <c r="F191" i="3"/>
  <c r="H191" i="3" s="1"/>
  <c r="G300" i="3"/>
  <c r="F297" i="3"/>
  <c r="H297" i="3" s="1"/>
  <c r="I252" i="3"/>
  <c r="I233" i="3"/>
  <c r="I227" i="3"/>
  <c r="I218" i="3"/>
  <c r="I209" i="3"/>
  <c r="I188" i="3"/>
  <c r="I51" i="3"/>
  <c r="Q139" i="3"/>
  <c r="P13" i="3"/>
  <c r="G32" i="3"/>
  <c r="G94" i="3"/>
  <c r="G160" i="3"/>
  <c r="G169" i="3"/>
  <c r="G173" i="3"/>
  <c r="G198" i="3"/>
  <c r="G304" i="3"/>
  <c r="G308" i="3"/>
  <c r="I128" i="3"/>
  <c r="F112" i="3"/>
  <c r="F97" i="3"/>
  <c r="H97" i="3" s="1"/>
  <c r="O97" i="3" s="1"/>
  <c r="H66" i="3"/>
  <c r="P66" i="3" s="1"/>
  <c r="F62" i="3"/>
  <c r="E53" i="3"/>
  <c r="I53" i="3" s="1"/>
  <c r="I47" i="3"/>
  <c r="E36" i="3"/>
  <c r="I36" i="3" s="1"/>
  <c r="H5" i="3"/>
  <c r="P5" i="3" s="1"/>
  <c r="E184" i="3"/>
  <c r="I184" i="3" s="1"/>
  <c r="H156" i="3"/>
  <c r="F153" i="3"/>
  <c r="F175" i="3" s="1"/>
  <c r="H128" i="3"/>
  <c r="O128" i="3" s="1"/>
  <c r="F125" i="3"/>
  <c r="H125" i="3" s="1"/>
  <c r="O125" i="3" s="1"/>
  <c r="E62" i="3"/>
  <c r="I62" i="3" s="1"/>
  <c r="G28" i="3"/>
  <c r="I18" i="3"/>
  <c r="H160" i="3"/>
  <c r="O160" i="3" s="1"/>
  <c r="I132" i="3"/>
  <c r="I108" i="3"/>
  <c r="E82" i="3"/>
  <c r="E20" i="3"/>
  <c r="I20" i="3" s="1"/>
  <c r="I9" i="3"/>
  <c r="Q202" i="3"/>
  <c r="P202" i="3"/>
  <c r="Q312" i="3"/>
  <c r="H308" i="3"/>
  <c r="O308" i="3" s="1"/>
  <c r="F289" i="3"/>
  <c r="H289" i="3" s="1"/>
  <c r="Q289" i="3" s="1"/>
  <c r="F277" i="3"/>
  <c r="H277" i="3" s="1"/>
  <c r="F257" i="3"/>
  <c r="H257" i="3" s="1"/>
  <c r="Q257" i="3" s="1"/>
  <c r="F240" i="3"/>
  <c r="H240" i="3" s="1"/>
  <c r="P240" i="3" s="1"/>
  <c r="F206" i="3"/>
  <c r="H206" i="3" s="1"/>
  <c r="O206" i="3" s="1"/>
  <c r="H193" i="3"/>
  <c r="O193" i="3" s="1"/>
  <c r="H179" i="3"/>
  <c r="O179" i="3" s="1"/>
  <c r="H173" i="3"/>
  <c r="Q173" i="3" s="1"/>
  <c r="H99" i="3"/>
  <c r="Q99" i="3" s="1"/>
  <c r="H94" i="3"/>
  <c r="H84" i="3"/>
  <c r="O84" i="3" s="1"/>
  <c r="F82" i="3"/>
  <c r="H82" i="3" s="1"/>
  <c r="P82" i="3" s="1"/>
  <c r="H47" i="3"/>
  <c r="O47" i="3" s="1"/>
  <c r="F44" i="3"/>
  <c r="H44" i="3" s="1"/>
  <c r="P44" i="3" s="1"/>
  <c r="H32" i="3"/>
  <c r="P32" i="3" s="1"/>
  <c r="F309" i="3"/>
  <c r="G309" i="3" s="1"/>
  <c r="H266" i="3"/>
  <c r="Q266" i="3" s="1"/>
  <c r="F215" i="3"/>
  <c r="G84" i="3"/>
  <c r="F27" i="3"/>
  <c r="H27" i="3" s="1"/>
  <c r="P27" i="3" s="1"/>
  <c r="H14" i="3"/>
  <c r="O14" i="3" s="1"/>
  <c r="F12" i="3"/>
  <c r="H12" i="3" s="1"/>
  <c r="Q12" i="3" s="1"/>
  <c r="F325" i="3"/>
  <c r="F36" i="3"/>
  <c r="G328" i="3"/>
  <c r="G319" i="3"/>
  <c r="E297" i="3"/>
  <c r="I297" i="3" s="1"/>
  <c r="I295" i="3"/>
  <c r="I291" i="3"/>
  <c r="I286" i="3"/>
  <c r="I282" i="3"/>
  <c r="I275" i="3"/>
  <c r="I271" i="3"/>
  <c r="I266" i="3"/>
  <c r="G256" i="3"/>
  <c r="G237" i="3"/>
  <c r="E206" i="3"/>
  <c r="I202" i="3"/>
  <c r="I193" i="3"/>
  <c r="G183" i="3"/>
  <c r="G179" i="3"/>
  <c r="G165" i="3"/>
  <c r="E163" i="3"/>
  <c r="I163" i="3" s="1"/>
  <c r="G156" i="3"/>
  <c r="G151" i="3"/>
  <c r="G147" i="3"/>
  <c r="G141" i="3"/>
  <c r="I137" i="3"/>
  <c r="G123" i="3"/>
  <c r="I119" i="3"/>
  <c r="I115" i="3"/>
  <c r="G103" i="3"/>
  <c r="G99" i="3"/>
  <c r="E97" i="3"/>
  <c r="I97" i="3" s="1"/>
  <c r="I88" i="3"/>
  <c r="I79" i="3"/>
  <c r="I75" i="3"/>
  <c r="I70" i="3"/>
  <c r="I66" i="3"/>
  <c r="I60" i="3"/>
  <c r="I56" i="3"/>
  <c r="G42" i="3"/>
  <c r="G38" i="3"/>
  <c r="I23" i="3"/>
  <c r="E325" i="3"/>
  <c r="I325" i="3" s="1"/>
  <c r="I314" i="3"/>
  <c r="I300" i="3"/>
  <c r="E270" i="3"/>
  <c r="G270" i="3" s="1"/>
  <c r="E249" i="3"/>
  <c r="I249" i="3" s="1"/>
  <c r="E240" i="3"/>
  <c r="I240" i="3" s="1"/>
  <c r="G227" i="3"/>
  <c r="G218" i="3"/>
  <c r="G188" i="3"/>
  <c r="E153" i="3"/>
  <c r="I153" i="3" s="1"/>
  <c r="G128" i="3"/>
  <c r="E112" i="3"/>
  <c r="E89" i="3"/>
  <c r="G89" i="3" s="1"/>
  <c r="E336" i="3"/>
  <c r="E289" i="3"/>
  <c r="E310" i="3" s="1"/>
  <c r="I310" i="3" s="1"/>
  <c r="E197" i="3"/>
  <c r="E174" i="3"/>
  <c r="E175" i="3" s="1"/>
  <c r="I175" i="3" s="1"/>
  <c r="E143" i="3"/>
  <c r="I143" i="3" s="1"/>
  <c r="E125" i="3"/>
  <c r="E105" i="3"/>
  <c r="I105" i="3" s="1"/>
  <c r="E73" i="3"/>
  <c r="G73" i="3" s="1"/>
  <c r="E44" i="3"/>
  <c r="E27" i="3"/>
  <c r="I27" i="3" s="1"/>
  <c r="E12" i="3"/>
  <c r="I12" i="3" s="1"/>
  <c r="D6" i="3"/>
  <c r="D48" i="3"/>
  <c r="D52" i="3"/>
  <c r="D80" i="3"/>
  <c r="D305" i="3"/>
  <c r="D203" i="3"/>
  <c r="O283" i="3"/>
  <c r="Q280" i="3"/>
  <c r="O261" i="3"/>
  <c r="D10" i="3"/>
  <c r="D19" i="3"/>
  <c r="D76" i="3"/>
  <c r="N287" i="3"/>
  <c r="N98" i="3"/>
  <c r="D24" i="3"/>
  <c r="C82" i="3"/>
  <c r="D287" i="3"/>
  <c r="P282" i="3"/>
  <c r="P210" i="3"/>
  <c r="M206" i="3"/>
  <c r="P182" i="3"/>
  <c r="Q101" i="3"/>
  <c r="Q98" i="3"/>
  <c r="W30" i="3"/>
  <c r="D8" i="3"/>
  <c r="D17" i="3"/>
  <c r="D22" i="3"/>
  <c r="D31" i="3"/>
  <c r="C112" i="3"/>
  <c r="C263" i="3"/>
  <c r="C135" i="3"/>
  <c r="C97" i="3"/>
  <c r="C73" i="3"/>
  <c r="D73" i="3" s="1"/>
  <c r="O295" i="3"/>
  <c r="Q283" i="3"/>
  <c r="O272" i="3"/>
  <c r="P198" i="3"/>
  <c r="O162" i="3"/>
  <c r="P148" i="3"/>
  <c r="O98" i="3"/>
  <c r="W47" i="3"/>
  <c r="W46" i="3"/>
  <c r="O32" i="3"/>
  <c r="P329" i="4"/>
  <c r="P322" i="4"/>
  <c r="N320" i="4"/>
  <c r="P313" i="4"/>
  <c r="P306" i="4"/>
  <c r="P301" i="4"/>
  <c r="O299" i="4"/>
  <c r="N296" i="4"/>
  <c r="N295" i="4"/>
  <c r="P286" i="4"/>
  <c r="N282" i="4"/>
  <c r="P272" i="4"/>
  <c r="P262" i="4"/>
  <c r="O261" i="4"/>
  <c r="P255" i="4"/>
  <c r="O252" i="4"/>
  <c r="N251" i="4"/>
  <c r="O237" i="4"/>
  <c r="O235" i="4"/>
  <c r="N234" i="4"/>
  <c r="U230" i="4"/>
  <c r="O228" i="4"/>
  <c r="N227" i="4"/>
  <c r="P221" i="4"/>
  <c r="N217" i="4"/>
  <c r="N211" i="4"/>
  <c r="O202" i="4"/>
  <c r="O195" i="4"/>
  <c r="O194" i="4"/>
  <c r="N193" i="4"/>
  <c r="P186" i="4"/>
  <c r="P183" i="4"/>
  <c r="N182" i="4"/>
  <c r="O180" i="4"/>
  <c r="P177" i="4"/>
  <c r="O173" i="4"/>
  <c r="O172" i="4"/>
  <c r="N171" i="4"/>
  <c r="N162" i="4"/>
  <c r="D153" i="4"/>
  <c r="P148" i="4"/>
  <c r="P129" i="4"/>
  <c r="O124" i="4"/>
  <c r="N123" i="4"/>
  <c r="N121" i="4"/>
  <c r="P116" i="4"/>
  <c r="H112" i="4"/>
  <c r="N111" i="4"/>
  <c r="N104" i="4"/>
  <c r="O91" i="4"/>
  <c r="N85" i="4"/>
  <c r="P81" i="4"/>
  <c r="O80" i="4"/>
  <c r="P78" i="4"/>
  <c r="O57" i="4"/>
  <c r="P41" i="4"/>
  <c r="P25" i="4"/>
  <c r="P22" i="4"/>
  <c r="P6" i="4"/>
  <c r="N331" i="4"/>
  <c r="O326" i="4"/>
  <c r="N322" i="4"/>
  <c r="N313" i="4"/>
  <c r="N286" i="4"/>
  <c r="P283" i="4"/>
  <c r="T278" i="4"/>
  <c r="O268" i="4"/>
  <c r="O262" i="4"/>
  <c r="T230" i="4"/>
  <c r="P205" i="4"/>
  <c r="P190" i="4"/>
  <c r="O186" i="4"/>
  <c r="O177" i="4"/>
  <c r="P156" i="4"/>
  <c r="N148" i="4"/>
  <c r="T144" i="4"/>
  <c r="P142" i="4"/>
  <c r="P136" i="4"/>
  <c r="H135" i="4"/>
  <c r="P135" i="4" s="1"/>
  <c r="N129" i="4"/>
  <c r="P126" i="4"/>
  <c r="N116" i="4"/>
  <c r="U113" i="4"/>
  <c r="P92" i="4"/>
  <c r="D82" i="4"/>
  <c r="O81" i="4"/>
  <c r="P66" i="4"/>
  <c r="P51" i="4"/>
  <c r="P43" i="4"/>
  <c r="O41" i="4"/>
  <c r="O25" i="4"/>
  <c r="O23" i="4"/>
  <c r="N22" i="4"/>
  <c r="P19" i="4"/>
  <c r="P10" i="4"/>
  <c r="N6" i="4"/>
  <c r="V257" i="4"/>
  <c r="V105" i="4"/>
  <c r="P70" i="4"/>
  <c r="N66" i="4"/>
  <c r="H62" i="4"/>
  <c r="P62" i="4" s="1"/>
  <c r="P54" i="4"/>
  <c r="N51" i="4"/>
  <c r="P49" i="4"/>
  <c r="N46" i="4"/>
  <c r="P39" i="4"/>
  <c r="N26" i="4"/>
  <c r="O19" i="4"/>
  <c r="D12" i="4"/>
  <c r="N10" i="4"/>
  <c r="P295" i="4"/>
  <c r="S337" i="4"/>
  <c r="V336" i="4"/>
  <c r="P320" i="4"/>
  <c r="S310" i="4"/>
  <c r="P296" i="4"/>
  <c r="P282" i="4"/>
  <c r="P251" i="4"/>
  <c r="P234" i="4"/>
  <c r="P228" i="4"/>
  <c r="S230" i="4"/>
  <c r="P202" i="4"/>
  <c r="P193" i="4"/>
  <c r="P180" i="4"/>
  <c r="P171" i="4"/>
  <c r="P123" i="4"/>
  <c r="P104" i="4"/>
  <c r="P85" i="4"/>
  <c r="V62" i="4"/>
  <c r="O224" i="4"/>
  <c r="P224" i="4"/>
  <c r="N224" i="4"/>
  <c r="O325" i="4"/>
  <c r="N325" i="4"/>
  <c r="P276" i="4"/>
  <c r="P274" i="4"/>
  <c r="P216" i="4"/>
  <c r="N93" i="4"/>
  <c r="P93" i="4"/>
  <c r="N86" i="4"/>
  <c r="O86" i="4"/>
  <c r="N61" i="4"/>
  <c r="O61" i="4"/>
  <c r="N5" i="4"/>
  <c r="O5" i="4"/>
  <c r="I337" i="4"/>
  <c r="P327" i="4"/>
  <c r="D325" i="4"/>
  <c r="V325" i="4"/>
  <c r="O306" i="4"/>
  <c r="O276" i="4"/>
  <c r="O274" i="4"/>
  <c r="P266" i="4"/>
  <c r="P260" i="4"/>
  <c r="N222" i="4"/>
  <c r="O221" i="4"/>
  <c r="O216" i="4"/>
  <c r="O210" i="4"/>
  <c r="O205" i="4"/>
  <c r="H175" i="4"/>
  <c r="D174" i="4"/>
  <c r="H174" i="4"/>
  <c r="N134" i="4"/>
  <c r="O134" i="4"/>
  <c r="N102" i="4"/>
  <c r="O102" i="4"/>
  <c r="H89" i="4"/>
  <c r="H90" i="4"/>
  <c r="O90" i="4" s="1"/>
  <c r="N83" i="4"/>
  <c r="O83" i="4"/>
  <c r="P83" i="4"/>
  <c r="N68" i="4"/>
  <c r="O68" i="4"/>
  <c r="P68" i="4"/>
  <c r="N64" i="4"/>
  <c r="O64" i="4"/>
  <c r="P64" i="4"/>
  <c r="O36" i="4"/>
  <c r="N36" i="4"/>
  <c r="O16" i="4"/>
  <c r="N16" i="4"/>
  <c r="P16" i="4"/>
  <c r="P210" i="4"/>
  <c r="N166" i="4"/>
  <c r="O166" i="4"/>
  <c r="P166" i="4"/>
  <c r="N161" i="4"/>
  <c r="O161" i="4"/>
  <c r="P161" i="4"/>
  <c r="N71" i="4"/>
  <c r="O71" i="4"/>
  <c r="N31" i="4"/>
  <c r="O31" i="4"/>
  <c r="P31" i="4"/>
  <c r="O20" i="4"/>
  <c r="P20" i="4"/>
  <c r="P333" i="4"/>
  <c r="O332" i="4"/>
  <c r="O329" i="4"/>
  <c r="O328" i="4"/>
  <c r="N327" i="4"/>
  <c r="P318" i="4"/>
  <c r="V315" i="4"/>
  <c r="T310" i="4"/>
  <c r="O305" i="4"/>
  <c r="P303" i="4"/>
  <c r="O302" i="4"/>
  <c r="O301" i="4"/>
  <c r="O287" i="4"/>
  <c r="P285" i="4"/>
  <c r="O283" i="4"/>
  <c r="P281" i="4"/>
  <c r="I278" i="4"/>
  <c r="O273" i="4"/>
  <c r="V277" i="4"/>
  <c r="O267" i="4"/>
  <c r="N266" i="4"/>
  <c r="N260" i="4"/>
  <c r="I257" i="4"/>
  <c r="P256" i="4"/>
  <c r="O255" i="4"/>
  <c r="P254" i="4"/>
  <c r="O241" i="4"/>
  <c r="D240" i="4"/>
  <c r="O239" i="4"/>
  <c r="P238" i="4"/>
  <c r="O220" i="4"/>
  <c r="V224" i="4"/>
  <c r="O214" i="4"/>
  <c r="V215" i="4"/>
  <c r="O204" i="4"/>
  <c r="N197" i="4"/>
  <c r="O197" i="4"/>
  <c r="O191" i="4"/>
  <c r="N191" i="4"/>
  <c r="N178" i="4"/>
  <c r="O178" i="4"/>
  <c r="O122" i="4"/>
  <c r="P122" i="4"/>
  <c r="I112" i="4"/>
  <c r="I113" i="4"/>
  <c r="N87" i="4"/>
  <c r="O87" i="4"/>
  <c r="P87" i="4"/>
  <c r="P86" i="4"/>
  <c r="O73" i="4"/>
  <c r="N73" i="4"/>
  <c r="P73" i="4"/>
  <c r="P71" i="4"/>
  <c r="P61" i="4"/>
  <c r="O60" i="4"/>
  <c r="N60" i="4"/>
  <c r="P60" i="4"/>
  <c r="P36" i="4"/>
  <c r="N35" i="4"/>
  <c r="O35" i="4"/>
  <c r="P35" i="4"/>
  <c r="O32" i="4"/>
  <c r="N32" i="4"/>
  <c r="P32" i="4"/>
  <c r="P5" i="4"/>
  <c r="V289" i="4"/>
  <c r="V249" i="4"/>
  <c r="N117" i="4"/>
  <c r="O117" i="4"/>
  <c r="P335" i="4"/>
  <c r="N333" i="4"/>
  <c r="P330" i="4"/>
  <c r="O324" i="4"/>
  <c r="N318" i="4"/>
  <c r="P316" i="4"/>
  <c r="D315" i="4"/>
  <c r="P299" i="4"/>
  <c r="U278" i="4"/>
  <c r="P268" i="4"/>
  <c r="P264" i="4"/>
  <c r="O256" i="4"/>
  <c r="N254" i="4"/>
  <c r="T250" i="4"/>
  <c r="N238" i="4"/>
  <c r="N188" i="4"/>
  <c r="O188" i="4"/>
  <c r="V153" i="4"/>
  <c r="O141" i="4"/>
  <c r="P141" i="4"/>
  <c r="O138" i="4"/>
  <c r="N138" i="4"/>
  <c r="P138" i="4"/>
  <c r="P134" i="4"/>
  <c r="O128" i="4"/>
  <c r="P128" i="4"/>
  <c r="D125" i="4"/>
  <c r="H125" i="4"/>
  <c r="N125" i="4" s="1"/>
  <c r="V89" i="4"/>
  <c r="N82" i="4"/>
  <c r="P82" i="4"/>
  <c r="N67" i="4"/>
  <c r="O67" i="4"/>
  <c r="V73" i="4"/>
  <c r="S63" i="4"/>
  <c r="O44" i="4"/>
  <c r="N44" i="4"/>
  <c r="P44" i="4"/>
  <c r="N15" i="4"/>
  <c r="O15" i="4"/>
  <c r="P15" i="4"/>
  <c r="N7" i="4"/>
  <c r="O7" i="4"/>
  <c r="V206" i="4"/>
  <c r="V163" i="4"/>
  <c r="V112" i="4"/>
  <c r="D73" i="4"/>
  <c r="V36" i="4"/>
  <c r="T37" i="4"/>
  <c r="V27" i="4"/>
  <c r="P9" i="4"/>
  <c r="O201" i="4"/>
  <c r="V197" i="4"/>
  <c r="V184" i="4"/>
  <c r="P170" i="4"/>
  <c r="T175" i="4"/>
  <c r="P162" i="4"/>
  <c r="O156" i="4"/>
  <c r="O151" i="4"/>
  <c r="O139" i="4"/>
  <c r="O136" i="4"/>
  <c r="O126" i="4"/>
  <c r="P110" i="4"/>
  <c r="P109" i="4"/>
  <c r="P106" i="4"/>
  <c r="O100" i="4"/>
  <c r="V82" i="4"/>
  <c r="P79" i="4"/>
  <c r="P75" i="4"/>
  <c r="P56" i="4"/>
  <c r="V53" i="4"/>
  <c r="V44" i="4"/>
  <c r="O33" i="4"/>
  <c r="P28" i="4"/>
  <c r="P26" i="4"/>
  <c r="O170" i="4"/>
  <c r="P132" i="4"/>
  <c r="P115" i="4"/>
  <c r="N110" i="4"/>
  <c r="O109" i="4"/>
  <c r="N106" i="4"/>
  <c r="P97" i="4"/>
  <c r="P88" i="4"/>
  <c r="P84" i="4"/>
  <c r="N79" i="4"/>
  <c r="N75" i="4"/>
  <c r="P69" i="4"/>
  <c r="N56" i="4"/>
  <c r="N50" i="4"/>
  <c r="P46" i="4"/>
  <c r="P45" i="4"/>
  <c r="O43" i="4"/>
  <c r="N28" i="4"/>
  <c r="M273" i="2"/>
  <c r="M328" i="2"/>
  <c r="M333" i="2"/>
  <c r="M297" i="2"/>
  <c r="M305" i="2"/>
  <c r="M281" i="2"/>
  <c r="M338" i="2"/>
  <c r="M334" i="2"/>
  <c r="M327" i="2"/>
  <c r="C309" i="3"/>
  <c r="M295" i="2"/>
  <c r="J179" i="2"/>
  <c r="K179" i="2"/>
  <c r="M170" i="2"/>
  <c r="J131" i="2"/>
  <c r="K131" i="2"/>
  <c r="J115" i="2"/>
  <c r="K115" i="2"/>
  <c r="K63" i="2"/>
  <c r="J63" i="2"/>
  <c r="L63" i="2"/>
  <c r="K49" i="2"/>
  <c r="J49" i="2"/>
  <c r="M49" i="2" s="1"/>
  <c r="L49" i="2"/>
  <c r="K37" i="2"/>
  <c r="J37" i="2"/>
  <c r="C27" i="3"/>
  <c r="K5" i="2"/>
  <c r="J5" i="2"/>
  <c r="M339" i="2"/>
  <c r="K336" i="2"/>
  <c r="M336" i="2" s="1"/>
  <c r="M335" i="2"/>
  <c r="K328" i="2"/>
  <c r="L326" i="2"/>
  <c r="M325" i="2"/>
  <c r="L323" i="2"/>
  <c r="L318" i="2"/>
  <c r="M317" i="2"/>
  <c r="L291" i="2"/>
  <c r="L286" i="2"/>
  <c r="M285" i="2"/>
  <c r="L278" i="2"/>
  <c r="M277" i="2"/>
  <c r="L275" i="2"/>
  <c r="J271" i="2"/>
  <c r="K271" i="2"/>
  <c r="L266" i="2"/>
  <c r="M266" i="2" s="1"/>
  <c r="M265" i="2"/>
  <c r="L250" i="2"/>
  <c r="M249" i="2"/>
  <c r="M246" i="2"/>
  <c r="C240" i="3"/>
  <c r="L218" i="2"/>
  <c r="M217" i="2"/>
  <c r="L202" i="2"/>
  <c r="M201" i="2"/>
  <c r="J191" i="2"/>
  <c r="K191" i="2"/>
  <c r="L186" i="2"/>
  <c r="M185" i="2"/>
  <c r="L170" i="2"/>
  <c r="J159" i="2"/>
  <c r="K159" i="2"/>
  <c r="M153" i="2"/>
  <c r="C143" i="3"/>
  <c r="M118" i="2"/>
  <c r="J111" i="2"/>
  <c r="M111" i="2" s="1"/>
  <c r="K111" i="2"/>
  <c r="L106" i="2"/>
  <c r="M105" i="2"/>
  <c r="K95" i="2"/>
  <c r="J95" i="2"/>
  <c r="K81" i="2"/>
  <c r="J81" i="2"/>
  <c r="M81" i="2" s="1"/>
  <c r="K51" i="2"/>
  <c r="J51" i="2"/>
  <c r="M51" i="2" s="1"/>
  <c r="K19" i="2"/>
  <c r="J19" i="2"/>
  <c r="K333" i="2"/>
  <c r="J332" i="2"/>
  <c r="M332" i="2" s="1"/>
  <c r="C336" i="3"/>
  <c r="K326" i="2"/>
  <c r="J323" i="2"/>
  <c r="M323" i="2" s="1"/>
  <c r="K321" i="2"/>
  <c r="M321" i="2" s="1"/>
  <c r="M320" i="2"/>
  <c r="K318" i="2"/>
  <c r="J315" i="2"/>
  <c r="M314" i="2"/>
  <c r="K313" i="2"/>
  <c r="M313" i="2" s="1"/>
  <c r="M312" i="2"/>
  <c r="K310" i="2"/>
  <c r="J307" i="2"/>
  <c r="M307" i="2" s="1"/>
  <c r="M306" i="2"/>
  <c r="K305" i="2"/>
  <c r="M304" i="2"/>
  <c r="K302" i="2"/>
  <c r="J299" i="2"/>
  <c r="K297" i="2"/>
  <c r="M296" i="2"/>
  <c r="K294" i="2"/>
  <c r="M294" i="2" s="1"/>
  <c r="J291" i="2"/>
  <c r="C297" i="3"/>
  <c r="K289" i="2"/>
  <c r="M289" i="2" s="1"/>
  <c r="M288" i="2"/>
  <c r="K286" i="2"/>
  <c r="J283" i="2"/>
  <c r="M282" i="2"/>
  <c r="K281" i="2"/>
  <c r="M280" i="2"/>
  <c r="K278" i="2"/>
  <c r="M278" i="2" s="1"/>
  <c r="J275" i="2"/>
  <c r="M275" i="2" s="1"/>
  <c r="M274" i="2"/>
  <c r="K273" i="2"/>
  <c r="M272" i="2"/>
  <c r="J267" i="2"/>
  <c r="M267" i="2" s="1"/>
  <c r="K267" i="2"/>
  <c r="K266" i="2"/>
  <c r="L262" i="2"/>
  <c r="M261" i="2"/>
  <c r="M258" i="2"/>
  <c r="J251" i="2"/>
  <c r="K251" i="2"/>
  <c r="K250" i="2"/>
  <c r="M250" i="2" s="1"/>
  <c r="L246" i="2"/>
  <c r="M245" i="2"/>
  <c r="M242" i="2"/>
  <c r="J235" i="2"/>
  <c r="M235" i="2" s="1"/>
  <c r="K235" i="2"/>
  <c r="K234" i="2"/>
  <c r="L230" i="2"/>
  <c r="M229" i="2"/>
  <c r="J219" i="2"/>
  <c r="K219" i="2"/>
  <c r="K218" i="2"/>
  <c r="M218" i="2" s="1"/>
  <c r="L214" i="2"/>
  <c r="M213" i="2"/>
  <c r="M210" i="2"/>
  <c r="J203" i="2"/>
  <c r="M203" i="2" s="1"/>
  <c r="K203" i="2"/>
  <c r="K202" i="2"/>
  <c r="L198" i="2"/>
  <c r="M197" i="2"/>
  <c r="J187" i="2"/>
  <c r="K187" i="2"/>
  <c r="K186" i="2"/>
  <c r="M186" i="2" s="1"/>
  <c r="L182" i="2"/>
  <c r="M181" i="2"/>
  <c r="L179" i="2"/>
  <c r="M178" i="2"/>
  <c r="J171" i="2"/>
  <c r="K171" i="2"/>
  <c r="K170" i="2"/>
  <c r="L166" i="2"/>
  <c r="M165" i="2"/>
  <c r="C174" i="3"/>
  <c r="M162" i="2"/>
  <c r="J155" i="2"/>
  <c r="M155" i="2" s="1"/>
  <c r="K155" i="2"/>
  <c r="K154" i="2"/>
  <c r="M154" i="2" s="1"/>
  <c r="L150" i="2"/>
  <c r="M149" i="2"/>
  <c r="C153" i="3"/>
  <c r="M146" i="2"/>
  <c r="J139" i="2"/>
  <c r="K139" i="2"/>
  <c r="K138" i="2"/>
  <c r="L134" i="2"/>
  <c r="M133" i="2"/>
  <c r="L131" i="2"/>
  <c r="J123" i="2"/>
  <c r="K123" i="2"/>
  <c r="K122" i="2"/>
  <c r="M122" i="2" s="1"/>
  <c r="L118" i="2"/>
  <c r="M117" i="2"/>
  <c r="L115" i="2"/>
  <c r="M114" i="2"/>
  <c r="J107" i="2"/>
  <c r="K107" i="2"/>
  <c r="K106" i="2"/>
  <c r="M106" i="2" s="1"/>
  <c r="L102" i="2"/>
  <c r="M102" i="2" s="1"/>
  <c r="M101" i="2"/>
  <c r="K83" i="2"/>
  <c r="J83" i="2"/>
  <c r="M83" i="2" s="1"/>
  <c r="K77" i="2"/>
  <c r="J77" i="2"/>
  <c r="L77" i="2"/>
  <c r="M71" i="2"/>
  <c r="K65" i="2"/>
  <c r="J65" i="2"/>
  <c r="L65" i="2"/>
  <c r="K53" i="2"/>
  <c r="J53" i="2"/>
  <c r="K47" i="2"/>
  <c r="J47" i="2"/>
  <c r="L47" i="2"/>
  <c r="M41" i="2"/>
  <c r="M39" i="2"/>
  <c r="L37" i="2"/>
  <c r="K33" i="2"/>
  <c r="J33" i="2"/>
  <c r="L33" i="2"/>
  <c r="K21" i="2"/>
  <c r="J21" i="2"/>
  <c r="M21" i="2" s="1"/>
  <c r="K15" i="2"/>
  <c r="J15" i="2"/>
  <c r="L15" i="2"/>
  <c r="M9" i="2"/>
  <c r="M7" i="2"/>
  <c r="L5" i="2"/>
  <c r="M330" i="2"/>
  <c r="M326" i="2"/>
  <c r="C325" i="3"/>
  <c r="M318" i="2"/>
  <c r="M302" i="2"/>
  <c r="M286" i="2"/>
  <c r="J259" i="2"/>
  <c r="K259" i="2"/>
  <c r="J243" i="2"/>
  <c r="K243" i="2"/>
  <c r="C249" i="3"/>
  <c r="C250" i="3" s="1"/>
  <c r="M234" i="2"/>
  <c r="J227" i="2"/>
  <c r="K227" i="2"/>
  <c r="J211" i="2"/>
  <c r="M211" i="2" s="1"/>
  <c r="K211" i="2"/>
  <c r="M202" i="2"/>
  <c r="J195" i="2"/>
  <c r="K195" i="2"/>
  <c r="J163" i="2"/>
  <c r="K163" i="2"/>
  <c r="J147" i="2"/>
  <c r="K147" i="2"/>
  <c r="J99" i="2"/>
  <c r="K99" i="2"/>
  <c r="J93" i="2"/>
  <c r="M93" i="2" s="1"/>
  <c r="K93" i="2"/>
  <c r="K79" i="2"/>
  <c r="J79" i="2"/>
  <c r="L79" i="2"/>
  <c r="K69" i="2"/>
  <c r="J69" i="2"/>
  <c r="M69" i="2" s="1"/>
  <c r="K31" i="2"/>
  <c r="J31" i="2"/>
  <c r="M31" i="2" s="1"/>
  <c r="L31" i="2"/>
  <c r="K17" i="2"/>
  <c r="J17" i="2"/>
  <c r="L17" i="2"/>
  <c r="M331" i="2"/>
  <c r="L315" i="2"/>
  <c r="L310" i="2"/>
  <c r="M310" i="2" s="1"/>
  <c r="M309" i="2"/>
  <c r="L307" i="2"/>
  <c r="L302" i="2"/>
  <c r="M301" i="2"/>
  <c r="L299" i="2"/>
  <c r="L297" i="2"/>
  <c r="L294" i="2"/>
  <c r="M293" i="2"/>
  <c r="L283" i="2"/>
  <c r="J255" i="2"/>
  <c r="K255" i="2"/>
  <c r="J239" i="2"/>
  <c r="M239" i="2" s="1"/>
  <c r="K239" i="2"/>
  <c r="L234" i="2"/>
  <c r="M233" i="2"/>
  <c r="J223" i="2"/>
  <c r="K223" i="2"/>
  <c r="J207" i="2"/>
  <c r="K207" i="2"/>
  <c r="M182" i="2"/>
  <c r="J175" i="2"/>
  <c r="K175" i="2"/>
  <c r="M169" i="2"/>
  <c r="L154" i="2"/>
  <c r="J143" i="2"/>
  <c r="K143" i="2"/>
  <c r="L138" i="2"/>
  <c r="M138" i="2" s="1"/>
  <c r="M137" i="2"/>
  <c r="J127" i="2"/>
  <c r="K127" i="2"/>
  <c r="L122" i="2"/>
  <c r="M121" i="2"/>
  <c r="C44" i="3"/>
  <c r="K337" i="2"/>
  <c r="M337" i="2" s="1"/>
  <c r="K329" i="2"/>
  <c r="M329" i="2" s="1"/>
  <c r="L327" i="2"/>
  <c r="L322" i="2"/>
  <c r="M322" i="2" s="1"/>
  <c r="L319" i="2"/>
  <c r="M319" i="2" s="1"/>
  <c r="L314" i="2"/>
  <c r="L311" i="2"/>
  <c r="M311" i="2" s="1"/>
  <c r="L306" i="2"/>
  <c r="L303" i="2"/>
  <c r="M303" i="2" s="1"/>
  <c r="L298" i="2"/>
  <c r="M298" i="2" s="1"/>
  <c r="L295" i="2"/>
  <c r="L290" i="2"/>
  <c r="M290" i="2" s="1"/>
  <c r="L287" i="2"/>
  <c r="M287" i="2" s="1"/>
  <c r="L271" i="2"/>
  <c r="M270" i="2"/>
  <c r="J263" i="2"/>
  <c r="K263" i="2"/>
  <c r="K262" i="2"/>
  <c r="M262" i="2" s="1"/>
  <c r="L255" i="2"/>
  <c r="M254" i="2"/>
  <c r="J247" i="2"/>
  <c r="M247" i="2" s="1"/>
  <c r="K247" i="2"/>
  <c r="K246" i="2"/>
  <c r="L239" i="2"/>
  <c r="M238" i="2"/>
  <c r="J231" i="2"/>
  <c r="K231" i="2"/>
  <c r="K230" i="2"/>
  <c r="M230" i="2" s="1"/>
  <c r="L226" i="2"/>
  <c r="M226" i="2" s="1"/>
  <c r="M225" i="2"/>
  <c r="C229" i="3"/>
  <c r="D225" i="3"/>
  <c r="L223" i="2"/>
  <c r="M222" i="2"/>
  <c r="J215" i="2"/>
  <c r="K215" i="2"/>
  <c r="K214" i="2"/>
  <c r="M214" i="2" s="1"/>
  <c r="L210" i="2"/>
  <c r="M209" i="2"/>
  <c r="C215" i="3"/>
  <c r="L207" i="2"/>
  <c r="M206" i="2"/>
  <c r="J199" i="2"/>
  <c r="K199" i="2"/>
  <c r="K198" i="2"/>
  <c r="M198" i="2" s="1"/>
  <c r="L194" i="2"/>
  <c r="M194" i="2" s="1"/>
  <c r="M193" i="2"/>
  <c r="C197" i="3"/>
  <c r="L191" i="2"/>
  <c r="M190" i="2"/>
  <c r="C191" i="3"/>
  <c r="J183" i="2"/>
  <c r="K183" i="2"/>
  <c r="K182" i="2"/>
  <c r="L178" i="2"/>
  <c r="M177" i="2"/>
  <c r="L175" i="2"/>
  <c r="M174" i="2"/>
  <c r="J167" i="2"/>
  <c r="K167" i="2"/>
  <c r="K166" i="2"/>
  <c r="M166" i="2" s="1"/>
  <c r="L162" i="2"/>
  <c r="M161" i="2"/>
  <c r="L159" i="2"/>
  <c r="M158" i="2"/>
  <c r="C163" i="3"/>
  <c r="J151" i="2"/>
  <c r="K151" i="2"/>
  <c r="K150" i="2"/>
  <c r="M150" i="2" s="1"/>
  <c r="L146" i="2"/>
  <c r="M145" i="2"/>
  <c r="L143" i="2"/>
  <c r="M142" i="2"/>
  <c r="J135" i="2"/>
  <c r="K135" i="2"/>
  <c r="K134" i="2"/>
  <c r="M134" i="2" s="1"/>
  <c r="L130" i="2"/>
  <c r="M130" i="2" s="1"/>
  <c r="M129" i="2"/>
  <c r="L127" i="2"/>
  <c r="M126" i="2"/>
  <c r="J119" i="2"/>
  <c r="M119" i="2" s="1"/>
  <c r="K119" i="2"/>
  <c r="K118" i="2"/>
  <c r="L114" i="2"/>
  <c r="M113" i="2"/>
  <c r="L111" i="2"/>
  <c r="M110" i="2"/>
  <c r="J103" i="2"/>
  <c r="K103" i="2"/>
  <c r="K102" i="2"/>
  <c r="L98" i="2"/>
  <c r="M98" i="2" s="1"/>
  <c r="M97" i="2"/>
  <c r="L95" i="2"/>
  <c r="C89" i="3"/>
  <c r="L81" i="2"/>
  <c r="K67" i="2"/>
  <c r="J67" i="2"/>
  <c r="M67" i="2" s="1"/>
  <c r="L51" i="2"/>
  <c r="K35" i="2"/>
  <c r="J35" i="2"/>
  <c r="M35" i="2" s="1"/>
  <c r="L19" i="2"/>
  <c r="D13" i="3"/>
  <c r="C289" i="3"/>
  <c r="C315" i="3"/>
  <c r="C270" i="3"/>
  <c r="C224" i="3"/>
  <c r="C206" i="3"/>
  <c r="M94" i="2"/>
  <c r="M82" i="2"/>
  <c r="M68" i="2"/>
  <c r="M52" i="2"/>
  <c r="M36" i="2"/>
  <c r="C36" i="3"/>
  <c r="M20" i="2"/>
  <c r="C12" i="3"/>
  <c r="C277" i="3"/>
  <c r="C184" i="3"/>
  <c r="C125" i="3"/>
  <c r="C105" i="3"/>
  <c r="M78" i="2"/>
  <c r="M64" i="2"/>
  <c r="C62" i="3"/>
  <c r="M48" i="2"/>
  <c r="C53" i="3"/>
  <c r="M32" i="2"/>
  <c r="M16" i="2"/>
  <c r="D15" i="3"/>
  <c r="D29" i="3"/>
  <c r="D33" i="3"/>
  <c r="D39" i="3"/>
  <c r="D43" i="3"/>
  <c r="D57" i="3"/>
  <c r="D61" i="3"/>
  <c r="D67" i="3"/>
  <c r="D71" i="3"/>
  <c r="D85" i="3"/>
  <c r="D91" i="3"/>
  <c r="D95" i="3"/>
  <c r="D100" i="3"/>
  <c r="D104" i="3"/>
  <c r="D109" i="3"/>
  <c r="D116" i="3"/>
  <c r="D120" i="3"/>
  <c r="D124" i="3"/>
  <c r="D129" i="3"/>
  <c r="D133" i="3"/>
  <c r="D138" i="3"/>
  <c r="D142" i="3"/>
  <c r="D148" i="3"/>
  <c r="D152" i="3"/>
  <c r="D157" i="3"/>
  <c r="D161" i="3"/>
  <c r="D166" i="3"/>
  <c r="D170" i="3"/>
  <c r="D176" i="3"/>
  <c r="D180" i="3"/>
  <c r="D185" i="3"/>
  <c r="D189" i="3"/>
  <c r="D194" i="3"/>
  <c r="D199" i="3"/>
  <c r="D210" i="3"/>
  <c r="D214" i="3"/>
  <c r="C20" i="3"/>
  <c r="M70" i="2"/>
  <c r="M66" i="2"/>
  <c r="M62" i="2"/>
  <c r="M58" i="2"/>
  <c r="M54" i="2"/>
  <c r="M50" i="2"/>
  <c r="M46" i="2"/>
  <c r="M42" i="2"/>
  <c r="M38" i="2"/>
  <c r="M34" i="2"/>
  <c r="M30" i="2"/>
  <c r="M26" i="2"/>
  <c r="M22" i="2"/>
  <c r="M18" i="2"/>
  <c r="M14" i="2"/>
  <c r="M10" i="2"/>
  <c r="M6" i="2"/>
  <c r="D219" i="3"/>
  <c r="D223" i="3"/>
  <c r="D228" i="3"/>
  <c r="D234" i="3"/>
  <c r="D238" i="3"/>
  <c r="D243" i="3"/>
  <c r="D247" i="3"/>
  <c r="D253" i="3"/>
  <c r="D258" i="3"/>
  <c r="D262" i="3"/>
  <c r="D267" i="3"/>
  <c r="D272" i="3"/>
  <c r="D276" i="3"/>
  <c r="D283" i="3"/>
  <c r="D292" i="3"/>
  <c r="D296" i="3"/>
  <c r="D301" i="3"/>
  <c r="D311" i="3"/>
  <c r="D316" i="3"/>
  <c r="D320" i="3"/>
  <c r="D324" i="3"/>
  <c r="D329" i="3"/>
  <c r="D333" i="3"/>
  <c r="M92" i="2"/>
  <c r="M88" i="2"/>
  <c r="M84" i="2"/>
  <c r="M80" i="2"/>
  <c r="M76" i="2"/>
  <c r="M72" i="2"/>
  <c r="D177" i="3"/>
  <c r="D181" i="3"/>
  <c r="D186" i="3"/>
  <c r="D190" i="3"/>
  <c r="D195" i="3"/>
  <c r="D204" i="3"/>
  <c r="D41" i="3"/>
  <c r="D50" i="3"/>
  <c r="D55" i="3"/>
  <c r="D65" i="3"/>
  <c r="D69" i="3"/>
  <c r="D78" i="3"/>
  <c r="D93" i="3"/>
  <c r="D98" i="3"/>
  <c r="D122" i="3"/>
  <c r="D136" i="3"/>
  <c r="D146" i="3"/>
  <c r="D159" i="3"/>
  <c r="D168" i="3"/>
  <c r="D178" i="3"/>
  <c r="D182" i="3"/>
  <c r="Q162" i="3"/>
  <c r="P161" i="3"/>
  <c r="O139" i="3"/>
  <c r="R139" i="3" s="1"/>
  <c r="O116" i="3"/>
  <c r="N111" i="3"/>
  <c r="O61" i="3"/>
  <c r="Q8" i="3"/>
  <c r="O5" i="3"/>
  <c r="D7" i="3"/>
  <c r="D21" i="3"/>
  <c r="D25" i="3"/>
  <c r="D30" i="3"/>
  <c r="D34" i="3"/>
  <c r="D40" i="3"/>
  <c r="D49" i="3"/>
  <c r="D54" i="3"/>
  <c r="D58" i="3"/>
  <c r="D77" i="3"/>
  <c r="D81" i="3"/>
  <c r="D86" i="3"/>
  <c r="D92" i="3"/>
  <c r="D96" i="3"/>
  <c r="D117" i="3"/>
  <c r="D121" i="3"/>
  <c r="D145" i="3"/>
  <c r="D149" i="3"/>
  <c r="D171" i="3"/>
  <c r="W210" i="3"/>
  <c r="C257" i="3"/>
  <c r="O299" i="3"/>
  <c r="P296" i="3"/>
  <c r="O262" i="3"/>
  <c r="O214" i="3"/>
  <c r="U215" i="3"/>
  <c r="Q210" i="3"/>
  <c r="Q158" i="3"/>
  <c r="Q142" i="3"/>
  <c r="O115" i="3"/>
  <c r="K112" i="3"/>
  <c r="P102" i="3"/>
  <c r="P92" i="3"/>
  <c r="P28" i="3"/>
  <c r="Q9" i="3"/>
  <c r="D9" i="3"/>
  <c r="D14" i="3"/>
  <c r="D18" i="3"/>
  <c r="D28" i="3"/>
  <c r="D32" i="3"/>
  <c r="D38" i="3"/>
  <c r="D42" i="3"/>
  <c r="D47" i="3"/>
  <c r="D51" i="3"/>
  <c r="D60" i="3"/>
  <c r="D70" i="3"/>
  <c r="D75" i="3"/>
  <c r="D79" i="3"/>
  <c r="D84" i="3"/>
  <c r="D88" i="3"/>
  <c r="D103" i="3"/>
  <c r="D119" i="3"/>
  <c r="D123" i="3"/>
  <c r="D132" i="3"/>
  <c r="D141" i="3"/>
  <c r="D147" i="3"/>
  <c r="D151" i="3"/>
  <c r="D160" i="3"/>
  <c r="D165" i="3"/>
  <c r="D169" i="3"/>
  <c r="D173" i="3"/>
  <c r="D183" i="3"/>
  <c r="D188" i="3"/>
  <c r="D193" i="3"/>
  <c r="D198" i="3"/>
  <c r="D202" i="3"/>
  <c r="D209" i="3"/>
  <c r="D213" i="3"/>
  <c r="D222" i="3"/>
  <c r="D233" i="3"/>
  <c r="D237" i="3"/>
  <c r="D242" i="3"/>
  <c r="D246" i="3"/>
  <c r="D256" i="3"/>
  <c r="D275" i="3"/>
  <c r="D286" i="3"/>
  <c r="D295" i="3"/>
  <c r="D300" i="3"/>
  <c r="D304" i="3"/>
  <c r="D308" i="3"/>
  <c r="D323" i="3"/>
  <c r="D332" i="3"/>
  <c r="P104" i="3"/>
  <c r="R104" i="3" s="1"/>
  <c r="O102" i="3"/>
  <c r="R102" i="3" s="1"/>
  <c r="O101" i="3"/>
  <c r="N293" i="3"/>
  <c r="U229" i="3"/>
  <c r="N228" i="3"/>
  <c r="Q159" i="3"/>
  <c r="W138" i="3"/>
  <c r="Q133" i="3"/>
  <c r="N129" i="3"/>
  <c r="N100" i="3"/>
  <c r="Q93" i="3"/>
  <c r="Q75" i="3"/>
  <c r="Q51" i="3"/>
  <c r="Q32" i="3"/>
  <c r="O335" i="3"/>
  <c r="P306" i="3"/>
  <c r="O265" i="3"/>
  <c r="Q253" i="3"/>
  <c r="Q252" i="3"/>
  <c r="Q248" i="3"/>
  <c r="O244" i="3"/>
  <c r="N239" i="3"/>
  <c r="W189" i="3"/>
  <c r="O176" i="3"/>
  <c r="Q161" i="3"/>
  <c r="P159" i="3"/>
  <c r="Q140" i="3"/>
  <c r="O133" i="3"/>
  <c r="R133" i="3" s="1"/>
  <c r="P129" i="3"/>
  <c r="P115" i="3"/>
  <c r="O93" i="3"/>
  <c r="Q79" i="3"/>
  <c r="O75" i="3"/>
  <c r="P72" i="3"/>
  <c r="Q71" i="3"/>
  <c r="O51" i="3"/>
  <c r="P16" i="3"/>
  <c r="B12" i="3"/>
  <c r="U257" i="3"/>
  <c r="N199" i="3"/>
  <c r="N11" i="3"/>
  <c r="Q262" i="3"/>
  <c r="W261" i="3"/>
  <c r="K263" i="3"/>
  <c r="M263" i="3"/>
  <c r="Q176" i="3"/>
  <c r="N168" i="3"/>
  <c r="N103" i="3"/>
  <c r="Q10" i="3"/>
  <c r="P9" i="3"/>
  <c r="V315" i="3"/>
  <c r="N254" i="3"/>
  <c r="B240" i="3"/>
  <c r="U191" i="3"/>
  <c r="W59" i="3"/>
  <c r="O322" i="3"/>
  <c r="P308" i="3"/>
  <c r="Q299" i="3"/>
  <c r="Q294" i="3"/>
  <c r="P267" i="3"/>
  <c r="Q265" i="3"/>
  <c r="Q261" i="3"/>
  <c r="P242" i="3"/>
  <c r="P216" i="3"/>
  <c r="R216" i="3" s="1"/>
  <c r="N202" i="3"/>
  <c r="N189" i="3"/>
  <c r="N171" i="3"/>
  <c r="N158" i="3"/>
  <c r="W150" i="3"/>
  <c r="Q149" i="3"/>
  <c r="Q148" i="3"/>
  <c r="N133" i="3"/>
  <c r="W122" i="3"/>
  <c r="Q104" i="3"/>
  <c r="Q59" i="3"/>
  <c r="Q48" i="3"/>
  <c r="O42" i="3"/>
  <c r="Q13" i="3"/>
  <c r="Q11" i="3"/>
  <c r="P10" i="3"/>
  <c r="Q229" i="3"/>
  <c r="P229" i="3"/>
  <c r="P151" i="3"/>
  <c r="Q151" i="3"/>
  <c r="P131" i="3"/>
  <c r="Q131" i="3"/>
  <c r="Q120" i="3"/>
  <c r="O120" i="3"/>
  <c r="P120" i="3"/>
  <c r="P95" i="3"/>
  <c r="Q95" i="3"/>
  <c r="Q65" i="3"/>
  <c r="O65" i="3"/>
  <c r="P46" i="3"/>
  <c r="O46" i="3"/>
  <c r="Q46" i="3"/>
  <c r="Q293" i="3"/>
  <c r="U277" i="3"/>
  <c r="W254" i="3"/>
  <c r="J250" i="3"/>
  <c r="N243" i="3"/>
  <c r="N237" i="3"/>
  <c r="N234" i="3"/>
  <c r="N227" i="3"/>
  <c r="P212" i="3"/>
  <c r="Q212" i="3"/>
  <c r="Q196" i="3"/>
  <c r="P196" i="3"/>
  <c r="R196" i="3" s="1"/>
  <c r="N160" i="3"/>
  <c r="O117" i="3"/>
  <c r="Q117" i="3"/>
  <c r="Q91" i="3"/>
  <c r="P91" i="3"/>
  <c r="N83" i="3"/>
  <c r="P40" i="3"/>
  <c r="O40" i="3"/>
  <c r="Q40" i="3"/>
  <c r="O22" i="3"/>
  <c r="P22" i="3"/>
  <c r="O227" i="3"/>
  <c r="P227" i="3"/>
  <c r="O195" i="3"/>
  <c r="Q195" i="3"/>
  <c r="W324" i="3"/>
  <c r="T297" i="3"/>
  <c r="P293" i="3"/>
  <c r="N282" i="3"/>
  <c r="T277" i="3"/>
  <c r="P270" i="3"/>
  <c r="W253" i="3"/>
  <c r="L257" i="3"/>
  <c r="M257" i="3"/>
  <c r="N246" i="3"/>
  <c r="Q237" i="3"/>
  <c r="Q234" i="3"/>
  <c r="N222" i="3"/>
  <c r="O201" i="3"/>
  <c r="Q201" i="3"/>
  <c r="W180" i="3"/>
  <c r="N162" i="3"/>
  <c r="Q145" i="3"/>
  <c r="P145" i="3"/>
  <c r="Q141" i="3"/>
  <c r="P141" i="3"/>
  <c r="P127" i="3"/>
  <c r="Q127" i="3"/>
  <c r="O119" i="3"/>
  <c r="Q119" i="3"/>
  <c r="Q69" i="3"/>
  <c r="O69" i="3"/>
  <c r="P69" i="3"/>
  <c r="P50" i="3"/>
  <c r="Q50" i="3"/>
  <c r="V27" i="3"/>
  <c r="O7" i="3"/>
  <c r="P7" i="3"/>
  <c r="O190" i="3"/>
  <c r="P190" i="3"/>
  <c r="P83" i="3"/>
  <c r="O83" i="3"/>
  <c r="Q83" i="3"/>
  <c r="P49" i="3"/>
  <c r="O49" i="3"/>
  <c r="Q49" i="3"/>
  <c r="J337" i="3"/>
  <c r="P328" i="3"/>
  <c r="Q324" i="3"/>
  <c r="N308" i="3"/>
  <c r="N296" i="3"/>
  <c r="O329" i="3"/>
  <c r="O328" i="3"/>
  <c r="O324" i="3"/>
  <c r="Q322" i="3"/>
  <c r="N317" i="3"/>
  <c r="Q316" i="3"/>
  <c r="N306" i="3"/>
  <c r="W299" i="3"/>
  <c r="Q296" i="3"/>
  <c r="Q295" i="3"/>
  <c r="Q287" i="3"/>
  <c r="N283" i="3"/>
  <c r="Q274" i="3"/>
  <c r="N272" i="3"/>
  <c r="K270" i="3"/>
  <c r="W260" i="3"/>
  <c r="W248" i="3"/>
  <c r="P246" i="3"/>
  <c r="Q244" i="3"/>
  <c r="P241" i="3"/>
  <c r="P238" i="3"/>
  <c r="P237" i="3"/>
  <c r="O234" i="3"/>
  <c r="P232" i="3"/>
  <c r="P228" i="3"/>
  <c r="Q228" i="3"/>
  <c r="P195" i="3"/>
  <c r="W192" i="3"/>
  <c r="Q190" i="3"/>
  <c r="Q188" i="3"/>
  <c r="W170" i="3"/>
  <c r="T163" i="3"/>
  <c r="P146" i="3"/>
  <c r="V143" i="3"/>
  <c r="O131" i="3"/>
  <c r="Q128" i="3"/>
  <c r="U135" i="3"/>
  <c r="O123" i="3"/>
  <c r="Q123" i="3"/>
  <c r="O107" i="3"/>
  <c r="O95" i="3"/>
  <c r="P88" i="3"/>
  <c r="P81" i="3"/>
  <c r="Q81" i="3"/>
  <c r="O24" i="3"/>
  <c r="Q24" i="3"/>
  <c r="W49" i="3"/>
  <c r="N10" i="3"/>
  <c r="N201" i="3"/>
  <c r="N183" i="3"/>
  <c r="Q180" i="3"/>
  <c r="V174" i="3"/>
  <c r="W160" i="3"/>
  <c r="W158" i="3"/>
  <c r="N142" i="3"/>
  <c r="N141" i="3"/>
  <c r="W130" i="3"/>
  <c r="N127" i="3"/>
  <c r="N121" i="3"/>
  <c r="N120" i="3"/>
  <c r="U62" i="3"/>
  <c r="M44" i="3"/>
  <c r="N38" i="3"/>
  <c r="W26" i="3"/>
  <c r="W24" i="3"/>
  <c r="W22" i="3"/>
  <c r="N15" i="3"/>
  <c r="J230" i="3"/>
  <c r="N219" i="3"/>
  <c r="W186" i="3"/>
  <c r="W181" i="3"/>
  <c r="K174" i="3"/>
  <c r="N102" i="3"/>
  <c r="J90" i="3"/>
  <c r="W56" i="3"/>
  <c r="J63" i="3"/>
  <c r="W51" i="3"/>
  <c r="V53" i="3"/>
  <c r="N28" i="3"/>
  <c r="U27" i="3"/>
  <c r="M20" i="3"/>
  <c r="N8" i="3"/>
  <c r="B62" i="3"/>
  <c r="B105" i="3"/>
  <c r="D105" i="3" s="1"/>
  <c r="B112" i="3"/>
  <c r="B125" i="3"/>
  <c r="B163" i="3"/>
  <c r="B184" i="3"/>
  <c r="B277" i="3"/>
  <c r="D277" i="3" s="1"/>
  <c r="B289" i="3"/>
  <c r="D289" i="3" s="1"/>
  <c r="B297" i="3"/>
  <c r="B336" i="3"/>
  <c r="P334" i="3"/>
  <c r="Q334" i="3"/>
  <c r="O300" i="3"/>
  <c r="P300" i="3"/>
  <c r="O268" i="3"/>
  <c r="P268" i="3"/>
  <c r="Q268" i="3"/>
  <c r="D23" i="3"/>
  <c r="B27" i="3"/>
  <c r="D27" i="3" s="1"/>
  <c r="D66" i="3"/>
  <c r="B73" i="3"/>
  <c r="D128" i="3"/>
  <c r="B135" i="3"/>
  <c r="D135" i="3" s="1"/>
  <c r="D218" i="3"/>
  <c r="B224" i="3"/>
  <c r="D227" i="3"/>
  <c r="B229" i="3"/>
  <c r="B257" i="3"/>
  <c r="D252" i="3"/>
  <c r="B270" i="3"/>
  <c r="D266" i="3"/>
  <c r="O321" i="3"/>
  <c r="Q321" i="3"/>
  <c r="Q320" i="3"/>
  <c r="O320" i="3"/>
  <c r="O314" i="3"/>
  <c r="Q314" i="3"/>
  <c r="B309" i="3"/>
  <c r="P307" i="3"/>
  <c r="O307" i="3"/>
  <c r="P301" i="3"/>
  <c r="O301" i="3"/>
  <c r="O298" i="3"/>
  <c r="Q298" i="3"/>
  <c r="M270" i="3"/>
  <c r="P251" i="3"/>
  <c r="Q251" i="3"/>
  <c r="N226" i="3"/>
  <c r="V215" i="3"/>
  <c r="B206" i="3"/>
  <c r="D206" i="3" s="1"/>
  <c r="V206" i="3"/>
  <c r="O286" i="3"/>
  <c r="P286" i="3"/>
  <c r="D94" i="3"/>
  <c r="B97" i="3"/>
  <c r="D137" i="3"/>
  <c r="B143" i="3"/>
  <c r="D143" i="3" s="1"/>
  <c r="B263" i="3"/>
  <c r="D263" i="3" s="1"/>
  <c r="D261" i="3"/>
  <c r="N335" i="3"/>
  <c r="W334" i="3"/>
  <c r="P333" i="3"/>
  <c r="Q332" i="3"/>
  <c r="N332" i="3"/>
  <c r="O331" i="3"/>
  <c r="D328" i="3"/>
  <c r="Q327" i="3"/>
  <c r="O302" i="3"/>
  <c r="P302" i="3"/>
  <c r="O269" i="3"/>
  <c r="P269" i="3"/>
  <c r="Q269" i="3"/>
  <c r="P256" i="3"/>
  <c r="Q256" i="3"/>
  <c r="V257" i="3"/>
  <c r="Q218" i="3"/>
  <c r="P218" i="3"/>
  <c r="P318" i="3"/>
  <c r="O318" i="3"/>
  <c r="O223" i="3"/>
  <c r="P223" i="3"/>
  <c r="Q223" i="3"/>
  <c r="D314" i="3"/>
  <c r="B315" i="3"/>
  <c r="D319" i="3"/>
  <c r="B325" i="3"/>
  <c r="Q335" i="3"/>
  <c r="O334" i="3"/>
  <c r="O333" i="3"/>
  <c r="O332" i="3"/>
  <c r="V336" i="3"/>
  <c r="P327" i="3"/>
  <c r="H325" i="3"/>
  <c r="P325" i="3" s="1"/>
  <c r="O323" i="3"/>
  <c r="Q323" i="3"/>
  <c r="W322" i="3"/>
  <c r="M325" i="3"/>
  <c r="Q317" i="3"/>
  <c r="O317" i="3"/>
  <c r="H315" i="3"/>
  <c r="Q315" i="3" s="1"/>
  <c r="G315" i="3"/>
  <c r="N314" i="3"/>
  <c r="O313" i="3"/>
  <c r="Q313" i="3"/>
  <c r="W311" i="3"/>
  <c r="N307" i="3"/>
  <c r="P303" i="3"/>
  <c r="O303" i="3"/>
  <c r="N301" i="3"/>
  <c r="Q300" i="3"/>
  <c r="W295" i="3"/>
  <c r="M289" i="3"/>
  <c r="P281" i="3"/>
  <c r="O281" i="3"/>
  <c r="Q281" i="3"/>
  <c r="V277" i="3"/>
  <c r="O226" i="3"/>
  <c r="Q226" i="3"/>
  <c r="O124" i="3"/>
  <c r="P124" i="3"/>
  <c r="Q124" i="3"/>
  <c r="N115" i="3"/>
  <c r="K125" i="3"/>
  <c r="D115" i="3"/>
  <c r="V112" i="3"/>
  <c r="T105" i="3"/>
  <c r="B82" i="3"/>
  <c r="O68" i="3"/>
  <c r="P68" i="3"/>
  <c r="Q68" i="3"/>
  <c r="P55" i="3"/>
  <c r="O55" i="3"/>
  <c r="O45" i="3"/>
  <c r="Q45" i="3"/>
  <c r="N327" i="3"/>
  <c r="N324" i="3"/>
  <c r="N323" i="3"/>
  <c r="N322" i="3"/>
  <c r="W312" i="3"/>
  <c r="N312" i="3"/>
  <c r="M315" i="3"/>
  <c r="M309" i="3"/>
  <c r="N303" i="3"/>
  <c r="N302" i="3"/>
  <c r="W300" i="3"/>
  <c r="N300" i="3"/>
  <c r="N299" i="3"/>
  <c r="N295" i="3"/>
  <c r="P292" i="3"/>
  <c r="P288" i="3"/>
  <c r="N286" i="3"/>
  <c r="W281" i="3"/>
  <c r="O274" i="3"/>
  <c r="N271" i="3"/>
  <c r="Q270" i="3"/>
  <c r="N269" i="3"/>
  <c r="W268" i="3"/>
  <c r="N268" i="3"/>
  <c r="O267" i="3"/>
  <c r="W259" i="3"/>
  <c r="Q255" i="3"/>
  <c r="Q254" i="3"/>
  <c r="W251" i="3"/>
  <c r="N238" i="3"/>
  <c r="Q233" i="3"/>
  <c r="O232" i="3"/>
  <c r="W226" i="3"/>
  <c r="P220" i="3"/>
  <c r="N216" i="3"/>
  <c r="G215" i="3"/>
  <c r="W212" i="3"/>
  <c r="N212" i="3"/>
  <c r="Q211" i="3"/>
  <c r="Q209" i="3"/>
  <c r="P205" i="3"/>
  <c r="R205" i="3" s="1"/>
  <c r="T206" i="3"/>
  <c r="O202" i="3"/>
  <c r="R202" i="3" s="1"/>
  <c r="P201" i="3"/>
  <c r="O198" i="3"/>
  <c r="N196" i="3"/>
  <c r="Q194" i="3"/>
  <c r="M197" i="3"/>
  <c r="V191" i="3"/>
  <c r="N190" i="3"/>
  <c r="Q189" i="3"/>
  <c r="P188" i="3"/>
  <c r="Q183" i="3"/>
  <c r="N181" i="3"/>
  <c r="O177" i="3"/>
  <c r="P177" i="3"/>
  <c r="O169" i="3"/>
  <c r="P169" i="3"/>
  <c r="Q169" i="3"/>
  <c r="V153" i="3"/>
  <c r="O109" i="3"/>
  <c r="P109" i="3"/>
  <c r="Q109" i="3"/>
  <c r="N104" i="3"/>
  <c r="P86" i="3"/>
  <c r="O86" i="3"/>
  <c r="Q86" i="3"/>
  <c r="U89" i="3"/>
  <c r="Q78" i="3"/>
  <c r="O78" i="3"/>
  <c r="P78" i="3"/>
  <c r="V73" i="3"/>
  <c r="O39" i="3"/>
  <c r="Q39" i="3"/>
  <c r="U289" i="3"/>
  <c r="W264" i="3"/>
  <c r="T257" i="3"/>
  <c r="N251" i="3"/>
  <c r="O134" i="3"/>
  <c r="P134" i="3"/>
  <c r="Q96" i="3"/>
  <c r="P96" i="3"/>
  <c r="O74" i="3"/>
  <c r="Q74" i="3"/>
  <c r="O67" i="3"/>
  <c r="P67" i="3"/>
  <c r="Q67" i="3"/>
  <c r="O26" i="3"/>
  <c r="Q26" i="3"/>
  <c r="W282" i="3"/>
  <c r="N281" i="3"/>
  <c r="V263" i="3"/>
  <c r="N256" i="3"/>
  <c r="W227" i="3"/>
  <c r="M229" i="3"/>
  <c r="N220" i="3"/>
  <c r="V197" i="3"/>
  <c r="W187" i="3"/>
  <c r="O168" i="3"/>
  <c r="Q168" i="3"/>
  <c r="O157" i="3"/>
  <c r="P157" i="3"/>
  <c r="N334" i="3"/>
  <c r="N333" i="3"/>
  <c r="W332" i="3"/>
  <c r="N331" i="3"/>
  <c r="W330" i="3"/>
  <c r="U336" i="3"/>
  <c r="W319" i="3"/>
  <c r="Q306" i="3"/>
  <c r="N292" i="3"/>
  <c r="N288" i="3"/>
  <c r="P287" i="3"/>
  <c r="Q282" i="3"/>
  <c r="K277" i="3"/>
  <c r="N274" i="3"/>
  <c r="N273" i="3"/>
  <c r="Q272" i="3"/>
  <c r="N267" i="3"/>
  <c r="W266" i="3"/>
  <c r="W258" i="3"/>
  <c r="W256" i="3"/>
  <c r="W255" i="3"/>
  <c r="N252" i="3"/>
  <c r="N248" i="3"/>
  <c r="Q246" i="3"/>
  <c r="W244" i="3"/>
  <c r="W236" i="3"/>
  <c r="N232" i="3"/>
  <c r="Q227" i="3"/>
  <c r="K229" i="3"/>
  <c r="M224" i="3"/>
  <c r="N217" i="3"/>
  <c r="P214" i="3"/>
  <c r="N214" i="3"/>
  <c r="M215" i="3"/>
  <c r="P199" i="3"/>
  <c r="L197" i="3"/>
  <c r="W193" i="3"/>
  <c r="O187" i="3"/>
  <c r="Q187" i="3"/>
  <c r="Q182" i="3"/>
  <c r="O172" i="3"/>
  <c r="P172" i="3"/>
  <c r="Q172" i="3"/>
  <c r="O170" i="3"/>
  <c r="P170" i="3"/>
  <c r="Q170" i="3"/>
  <c r="G163" i="3"/>
  <c r="H163" i="3"/>
  <c r="O163" i="3" s="1"/>
  <c r="O106" i="3"/>
  <c r="P106" i="3"/>
  <c r="H89" i="3"/>
  <c r="Q89" i="3" s="1"/>
  <c r="O87" i="3"/>
  <c r="P87" i="3"/>
  <c r="Q87" i="3"/>
  <c r="P60" i="3"/>
  <c r="O60" i="3"/>
  <c r="L53" i="3"/>
  <c r="P34" i="3"/>
  <c r="O34" i="3"/>
  <c r="M36" i="3"/>
  <c r="O19" i="3"/>
  <c r="P19" i="3"/>
  <c r="Q19" i="3"/>
  <c r="N182" i="3"/>
  <c r="Q181" i="3"/>
  <c r="P180" i="3"/>
  <c r="N178" i="3"/>
  <c r="N177" i="3"/>
  <c r="T174" i="3"/>
  <c r="P165" i="3"/>
  <c r="W162" i="3"/>
  <c r="N148" i="3"/>
  <c r="O145" i="3"/>
  <c r="O141" i="3"/>
  <c r="P140" i="3"/>
  <c r="N131" i="3"/>
  <c r="O129" i="3"/>
  <c r="P126" i="3"/>
  <c r="W123" i="3"/>
  <c r="J113" i="3"/>
  <c r="N106" i="3"/>
  <c r="N101" i="3"/>
  <c r="N87" i="3"/>
  <c r="W86" i="3"/>
  <c r="N86" i="3"/>
  <c r="W85" i="3"/>
  <c r="V82" i="3"/>
  <c r="Q80" i="3"/>
  <c r="P71" i="3"/>
  <c r="R71" i="3" s="1"/>
  <c r="X71" i="3" s="1"/>
  <c r="W67" i="3"/>
  <c r="N67" i="3"/>
  <c r="G62" i="3"/>
  <c r="O58" i="3"/>
  <c r="N51" i="3"/>
  <c r="N49" i="3"/>
  <c r="W32" i="3"/>
  <c r="N32" i="3"/>
  <c r="O28" i="3"/>
  <c r="W8" i="3"/>
  <c r="U174" i="3"/>
  <c r="Q171" i="3"/>
  <c r="N170" i="3"/>
  <c r="P167" i="3"/>
  <c r="M163" i="3"/>
  <c r="W141" i="3"/>
  <c r="M143" i="3"/>
  <c r="W132" i="3"/>
  <c r="W129" i="3"/>
  <c r="W118" i="3"/>
  <c r="U125" i="3"/>
  <c r="Q111" i="3"/>
  <c r="N107" i="3"/>
  <c r="Q100" i="3"/>
  <c r="N95" i="3"/>
  <c r="W94" i="3"/>
  <c r="U97" i="3"/>
  <c r="M82" i="3"/>
  <c r="K73" i="3"/>
  <c r="W55" i="3"/>
  <c r="N45" i="3"/>
  <c r="N35" i="3"/>
  <c r="N33" i="3"/>
  <c r="W15" i="3"/>
  <c r="N14" i="3"/>
  <c r="K163" i="3"/>
  <c r="W156" i="3"/>
  <c r="J144" i="3"/>
  <c r="W142" i="3"/>
  <c r="M135" i="3"/>
  <c r="M125" i="3"/>
  <c r="P111" i="3"/>
  <c r="Q107" i="3"/>
  <c r="Q105" i="3"/>
  <c r="P100" i="3"/>
  <c r="M105" i="3"/>
  <c r="M97" i="3"/>
  <c r="N93" i="3"/>
  <c r="N91" i="3"/>
  <c r="M89" i="3"/>
  <c r="K89" i="3"/>
  <c r="V89" i="3"/>
  <c r="Q72" i="3"/>
  <c r="R72" i="3" s="1"/>
  <c r="N71" i="3"/>
  <c r="W70" i="3"/>
  <c r="P65" i="3"/>
  <c r="M73" i="3"/>
  <c r="V62" i="3"/>
  <c r="N46" i="3"/>
  <c r="O44" i="3"/>
  <c r="K44" i="3"/>
  <c r="Q22" i="3"/>
  <c r="W18" i="3"/>
  <c r="N18" i="3"/>
  <c r="Q16" i="3"/>
  <c r="W11" i="3"/>
  <c r="M12" i="3"/>
  <c r="U12" i="3"/>
  <c r="D282" i="3"/>
  <c r="D271" i="3"/>
  <c r="B215" i="3"/>
  <c r="D215" i="3" s="1"/>
  <c r="B174" i="3"/>
  <c r="D174" i="3" s="1"/>
  <c r="D156" i="3"/>
  <c r="D99" i="3"/>
  <c r="B89" i="3"/>
  <c r="B90" i="3" s="1"/>
  <c r="D56" i="3"/>
  <c r="B53" i="3"/>
  <c r="B44" i="3"/>
  <c r="D44" i="3" s="1"/>
  <c r="B36" i="3"/>
  <c r="B20" i="3"/>
  <c r="D291" i="3"/>
  <c r="B249" i="3"/>
  <c r="D249" i="3" s="1"/>
  <c r="B197" i="3"/>
  <c r="D179" i="3"/>
  <c r="B153" i="3"/>
  <c r="D108" i="3"/>
  <c r="B191" i="3"/>
  <c r="D12" i="3"/>
  <c r="O276" i="3"/>
  <c r="P276" i="3"/>
  <c r="Q276" i="3"/>
  <c r="O231" i="3"/>
  <c r="P231" i="3"/>
  <c r="Q231" i="3"/>
  <c r="O221" i="3"/>
  <c r="P221" i="3"/>
  <c r="Q221" i="3"/>
  <c r="N209" i="3"/>
  <c r="L215" i="3"/>
  <c r="O330" i="3"/>
  <c r="P330" i="3"/>
  <c r="Q330" i="3"/>
  <c r="O304" i="3"/>
  <c r="P304" i="3"/>
  <c r="Q304" i="3"/>
  <c r="V297" i="3"/>
  <c r="O291" i="3"/>
  <c r="P291" i="3"/>
  <c r="K297" i="3"/>
  <c r="O285" i="3"/>
  <c r="P285" i="3"/>
  <c r="K289" i="3"/>
  <c r="T270" i="3"/>
  <c r="N265" i="3"/>
  <c r="L270" i="3"/>
  <c r="O260" i="3"/>
  <c r="P260" i="3"/>
  <c r="Q260" i="3"/>
  <c r="P258" i="3"/>
  <c r="O258" i="3"/>
  <c r="Q258" i="3"/>
  <c r="E230" i="3"/>
  <c r="I229" i="3"/>
  <c r="H224" i="3"/>
  <c r="Q224" i="3" s="1"/>
  <c r="F230" i="3"/>
  <c r="H230" i="3" s="1"/>
  <c r="Q230" i="3" s="1"/>
  <c r="W218" i="3"/>
  <c r="V224" i="3"/>
  <c r="N176" i="3"/>
  <c r="K184" i="3"/>
  <c r="I174" i="3"/>
  <c r="N245" i="3"/>
  <c r="L249" i="3"/>
  <c r="K309" i="3"/>
  <c r="G277" i="3"/>
  <c r="I277" i="3"/>
  <c r="N275" i="3"/>
  <c r="M277" i="3"/>
  <c r="O271" i="3"/>
  <c r="P271" i="3"/>
  <c r="O264" i="3"/>
  <c r="P264" i="3"/>
  <c r="Q264" i="3"/>
  <c r="O235" i="3"/>
  <c r="Q235" i="3"/>
  <c r="P222" i="3"/>
  <c r="O222" i="3"/>
  <c r="Q222" i="3"/>
  <c r="O204" i="3"/>
  <c r="P204" i="3"/>
  <c r="Q204" i="3"/>
  <c r="K206" i="3"/>
  <c r="I197" i="3"/>
  <c r="O191" i="3"/>
  <c r="P191" i="3"/>
  <c r="Q191" i="3"/>
  <c r="N185" i="3"/>
  <c r="M191" i="3"/>
  <c r="O185" i="3"/>
  <c r="Q185" i="3"/>
  <c r="O156" i="3"/>
  <c r="Q156" i="3"/>
  <c r="W155" i="3"/>
  <c r="U163" i="3"/>
  <c r="L153" i="3"/>
  <c r="P136" i="3"/>
  <c r="O136" i="3"/>
  <c r="Q136" i="3"/>
  <c r="K336" i="3"/>
  <c r="O275" i="3"/>
  <c r="P275" i="3"/>
  <c r="L263" i="3"/>
  <c r="O225" i="3"/>
  <c r="Q225" i="3"/>
  <c r="P225" i="3"/>
  <c r="H336" i="3"/>
  <c r="F337" i="3"/>
  <c r="H337" i="3" s="1"/>
  <c r="P337" i="3" s="1"/>
  <c r="W326" i="3"/>
  <c r="T336" i="3"/>
  <c r="T325" i="3"/>
  <c r="O311" i="3"/>
  <c r="P311" i="3"/>
  <c r="Q311" i="3"/>
  <c r="M336" i="3"/>
  <c r="O326" i="3"/>
  <c r="Q326" i="3"/>
  <c r="P326" i="3"/>
  <c r="N320" i="3"/>
  <c r="O319" i="3"/>
  <c r="P319" i="3"/>
  <c r="Q319" i="3"/>
  <c r="N316" i="3"/>
  <c r="K325" i="3"/>
  <c r="T309" i="3"/>
  <c r="O305" i="3"/>
  <c r="P305" i="3"/>
  <c r="Q305" i="3"/>
  <c r="C310" i="3"/>
  <c r="N291" i="3"/>
  <c r="M297" i="3"/>
  <c r="O290" i="3"/>
  <c r="P290" i="3"/>
  <c r="Q290" i="3"/>
  <c r="N285" i="3"/>
  <c r="O284" i="3"/>
  <c r="P284" i="3"/>
  <c r="Q284" i="3"/>
  <c r="V289" i="3"/>
  <c r="Q275" i="3"/>
  <c r="O273" i="3"/>
  <c r="P273" i="3"/>
  <c r="I270" i="3"/>
  <c r="P266" i="3"/>
  <c r="U270" i="3"/>
  <c r="P259" i="3"/>
  <c r="O259" i="3"/>
  <c r="Q259" i="3"/>
  <c r="T240" i="3"/>
  <c r="W238" i="3"/>
  <c r="O236" i="3"/>
  <c r="P236" i="3"/>
  <c r="Q236" i="3"/>
  <c r="K240" i="3"/>
  <c r="N218" i="3"/>
  <c r="K224" i="3"/>
  <c r="G336" i="3"/>
  <c r="N326" i="3"/>
  <c r="W318" i="3"/>
  <c r="N313" i="3"/>
  <c r="N305" i="3"/>
  <c r="N304" i="3"/>
  <c r="W303" i="3"/>
  <c r="P298" i="3"/>
  <c r="P294" i="3"/>
  <c r="U297" i="3"/>
  <c r="W290" i="3"/>
  <c r="N290" i="3"/>
  <c r="W284" i="3"/>
  <c r="N284" i="3"/>
  <c r="W283" i="3"/>
  <c r="P280" i="3"/>
  <c r="J278" i="3"/>
  <c r="N276" i="3"/>
  <c r="W274" i="3"/>
  <c r="L277" i="3"/>
  <c r="W272" i="3"/>
  <c r="W269" i="3"/>
  <c r="N266" i="3"/>
  <c r="W265" i="3"/>
  <c r="G263" i="3"/>
  <c r="N262" i="3"/>
  <c r="N261" i="3"/>
  <c r="P257" i="3"/>
  <c r="O256" i="3"/>
  <c r="O254" i="3"/>
  <c r="O252" i="3"/>
  <c r="R252" i="3" s="1"/>
  <c r="X252" i="3" s="1"/>
  <c r="O251" i="3"/>
  <c r="O248" i="3"/>
  <c r="Q247" i="3"/>
  <c r="V249" i="3"/>
  <c r="O242" i="3"/>
  <c r="N241" i="3"/>
  <c r="O238" i="3"/>
  <c r="N236" i="3"/>
  <c r="N235" i="3"/>
  <c r="W234" i="3"/>
  <c r="P233" i="3"/>
  <c r="N231" i="3"/>
  <c r="O229" i="3"/>
  <c r="N225" i="3"/>
  <c r="G224" i="3"/>
  <c r="O219" i="3"/>
  <c r="Q219" i="3"/>
  <c r="O218" i="3"/>
  <c r="O217" i="3"/>
  <c r="P217" i="3"/>
  <c r="L224" i="3"/>
  <c r="H215" i="3"/>
  <c r="Q213" i="3"/>
  <c r="W209" i="3"/>
  <c r="T215" i="3"/>
  <c r="K215" i="3"/>
  <c r="N204" i="3"/>
  <c r="O200" i="3"/>
  <c r="P200" i="3"/>
  <c r="Q200" i="3"/>
  <c r="U206" i="3"/>
  <c r="U197" i="3"/>
  <c r="G191" i="3"/>
  <c r="I191" i="3"/>
  <c r="H184" i="3"/>
  <c r="P184" i="3" s="1"/>
  <c r="G184" i="3"/>
  <c r="N172" i="3"/>
  <c r="M174" i="3"/>
  <c r="O164" i="3"/>
  <c r="P164" i="3"/>
  <c r="N145" i="3"/>
  <c r="K143" i="3"/>
  <c r="O132" i="3"/>
  <c r="P132" i="3"/>
  <c r="Q132" i="3"/>
  <c r="L135" i="3"/>
  <c r="W329" i="3"/>
  <c r="Q329" i="3"/>
  <c r="W328" i="3"/>
  <c r="V325" i="3"/>
  <c r="V337" i="3" s="1"/>
  <c r="N319" i="3"/>
  <c r="Q318" i="3"/>
  <c r="W317" i="3"/>
  <c r="W316" i="3"/>
  <c r="N311" i="3"/>
  <c r="W292" i="3"/>
  <c r="W291" i="3"/>
  <c r="T289" i="3"/>
  <c r="W286" i="3"/>
  <c r="W285" i="3"/>
  <c r="W273" i="3"/>
  <c r="W271" i="3"/>
  <c r="N264" i="3"/>
  <c r="U263" i="3"/>
  <c r="N260" i="3"/>
  <c r="N259" i="3"/>
  <c r="N258" i="3"/>
  <c r="W243" i="3"/>
  <c r="W242" i="3"/>
  <c r="V240" i="3"/>
  <c r="W225" i="3"/>
  <c r="U224" i="3"/>
  <c r="O203" i="3"/>
  <c r="P203" i="3"/>
  <c r="Q203" i="3"/>
  <c r="K197" i="3"/>
  <c r="N195" i="3"/>
  <c r="N187" i="3"/>
  <c r="O186" i="3"/>
  <c r="P186" i="3"/>
  <c r="Q186" i="3"/>
  <c r="O178" i="3"/>
  <c r="Q178" i="3"/>
  <c r="P173" i="3"/>
  <c r="O166" i="3"/>
  <c r="P166" i="3"/>
  <c r="N164" i="3"/>
  <c r="P155" i="3"/>
  <c r="O155" i="3"/>
  <c r="Q155" i="3"/>
  <c r="W154" i="3"/>
  <c r="W152" i="3"/>
  <c r="O147" i="3"/>
  <c r="P147" i="3"/>
  <c r="Q147" i="3"/>
  <c r="U153" i="3"/>
  <c r="O137" i="3"/>
  <c r="P137" i="3"/>
  <c r="Q137" i="3"/>
  <c r="V135" i="3"/>
  <c r="H112" i="3"/>
  <c r="F113" i="3"/>
  <c r="H113" i="3" s="1"/>
  <c r="O113" i="3" s="1"/>
  <c r="P99" i="3"/>
  <c r="G125" i="3"/>
  <c r="I125" i="3"/>
  <c r="O110" i="3"/>
  <c r="P110" i="3"/>
  <c r="Q110" i="3"/>
  <c r="N330" i="3"/>
  <c r="N321" i="3"/>
  <c r="I336" i="3"/>
  <c r="N329" i="3"/>
  <c r="K315" i="3"/>
  <c r="V309" i="3"/>
  <c r="W302" i="3"/>
  <c r="W333" i="3"/>
  <c r="W331" i="3"/>
  <c r="N328" i="3"/>
  <c r="W327" i="3"/>
  <c r="U325" i="3"/>
  <c r="L325" i="3"/>
  <c r="W323" i="3"/>
  <c r="W321" i="3"/>
  <c r="N318" i="3"/>
  <c r="W314" i="3"/>
  <c r="T315" i="3"/>
  <c r="J310" i="3"/>
  <c r="J338" i="3" s="1"/>
  <c r="W298" i="3"/>
  <c r="N298" i="3"/>
  <c r="G297" i="3"/>
  <c r="W294" i="3"/>
  <c r="N294" i="3"/>
  <c r="W293" i="3"/>
  <c r="Q292" i="3"/>
  <c r="I289" i="3"/>
  <c r="Q288" i="3"/>
  <c r="Q286" i="3"/>
  <c r="W280" i="3"/>
  <c r="N280" i="3"/>
  <c r="V270" i="3"/>
  <c r="T263" i="3"/>
  <c r="G257" i="3"/>
  <c r="N255" i="3"/>
  <c r="N253" i="3"/>
  <c r="N247" i="3"/>
  <c r="W246" i="3"/>
  <c r="M249" i="3"/>
  <c r="N244" i="3"/>
  <c r="Q243" i="3"/>
  <c r="N242" i="3"/>
  <c r="W237" i="3"/>
  <c r="N233" i="3"/>
  <c r="V229" i="3"/>
  <c r="P226" i="3"/>
  <c r="I224" i="3"/>
  <c r="N223" i="3"/>
  <c r="W222" i="3"/>
  <c r="Q220" i="3"/>
  <c r="W219" i="3"/>
  <c r="W217" i="3"/>
  <c r="N213" i="3"/>
  <c r="Q197" i="3"/>
  <c r="O197" i="3"/>
  <c r="N193" i="3"/>
  <c r="O192" i="3"/>
  <c r="P192" i="3"/>
  <c r="Q192" i="3"/>
  <c r="W179" i="3"/>
  <c r="T184" i="3"/>
  <c r="N166" i="3"/>
  <c r="N210" i="3"/>
  <c r="N203" i="3"/>
  <c r="W202" i="3"/>
  <c r="N200" i="3"/>
  <c r="W199" i="3"/>
  <c r="W196" i="3"/>
  <c r="P194" i="3"/>
  <c r="N194" i="3"/>
  <c r="Q193" i="3"/>
  <c r="N188" i="3"/>
  <c r="W185" i="3"/>
  <c r="V184" i="3"/>
  <c r="N180" i="3"/>
  <c r="J175" i="3"/>
  <c r="W173" i="3"/>
  <c r="N173" i="3"/>
  <c r="W172" i="3"/>
  <c r="N151" i="3"/>
  <c r="N147" i="3"/>
  <c r="N139" i="3"/>
  <c r="W136" i="3"/>
  <c r="N132" i="3"/>
  <c r="W131" i="3"/>
  <c r="Q130" i="3"/>
  <c r="P128" i="3"/>
  <c r="N119" i="3"/>
  <c r="O118" i="3"/>
  <c r="P118" i="3"/>
  <c r="Q118" i="3"/>
  <c r="W116" i="3"/>
  <c r="O94" i="3"/>
  <c r="P94" i="3"/>
  <c r="Q94" i="3"/>
  <c r="K82" i="3"/>
  <c r="Q64" i="3"/>
  <c r="P64" i="3"/>
  <c r="T224" i="3"/>
  <c r="N221" i="3"/>
  <c r="W220" i="3"/>
  <c r="W216" i="3"/>
  <c r="W213" i="3"/>
  <c r="N211" i="3"/>
  <c r="P209" i="3"/>
  <c r="R209" i="3" s="1"/>
  <c r="J207" i="3"/>
  <c r="W205" i="3"/>
  <c r="N205" i="3"/>
  <c r="W204" i="3"/>
  <c r="W201" i="3"/>
  <c r="Q199" i="3"/>
  <c r="W198" i="3"/>
  <c r="W195" i="3"/>
  <c r="N192" i="3"/>
  <c r="W190" i="3"/>
  <c r="N186" i="3"/>
  <c r="W183" i="3"/>
  <c r="W182" i="3"/>
  <c r="M184" i="3"/>
  <c r="N179" i="3"/>
  <c r="P171" i="3"/>
  <c r="P168" i="3"/>
  <c r="W167" i="3"/>
  <c r="N167" i="3"/>
  <c r="W166" i="3"/>
  <c r="N165" i="3"/>
  <c r="W164" i="3"/>
  <c r="P158" i="3"/>
  <c r="W157" i="3"/>
  <c r="N157" i="3"/>
  <c r="N155" i="3"/>
  <c r="G153" i="3"/>
  <c r="O151" i="3"/>
  <c r="O149" i="3"/>
  <c r="N146" i="3"/>
  <c r="P142" i="3"/>
  <c r="U143" i="3"/>
  <c r="O138" i="3"/>
  <c r="P138" i="3"/>
  <c r="N137" i="3"/>
  <c r="W134" i="3"/>
  <c r="N134" i="3"/>
  <c r="W133" i="3"/>
  <c r="P130" i="3"/>
  <c r="W126" i="3"/>
  <c r="N126" i="3"/>
  <c r="L125" i="3"/>
  <c r="N123" i="3"/>
  <c r="V125" i="3"/>
  <c r="N110" i="3"/>
  <c r="O103" i="3"/>
  <c r="P103" i="3"/>
  <c r="N99" i="3"/>
  <c r="P97" i="3"/>
  <c r="Q97" i="3"/>
  <c r="V97" i="3"/>
  <c r="K97" i="3"/>
  <c r="O77" i="3"/>
  <c r="P77" i="3"/>
  <c r="Q77" i="3"/>
  <c r="W74" i="3"/>
  <c r="T82" i="3"/>
  <c r="W211" i="3"/>
  <c r="I206" i="3"/>
  <c r="L206" i="3"/>
  <c r="T197" i="3"/>
  <c r="L191" i="3"/>
  <c r="T191" i="3"/>
  <c r="U184" i="3"/>
  <c r="L184" i="3"/>
  <c r="W169" i="3"/>
  <c r="N169" i="3"/>
  <c r="W168" i="3"/>
  <c r="Q167" i="3"/>
  <c r="Q165" i="3"/>
  <c r="W161" i="3"/>
  <c r="N161" i="3"/>
  <c r="L163" i="3"/>
  <c r="Q157" i="3"/>
  <c r="Q146" i="3"/>
  <c r="W140" i="3"/>
  <c r="N140" i="3"/>
  <c r="W139" i="3"/>
  <c r="N138" i="3"/>
  <c r="Q134" i="3"/>
  <c r="W128" i="3"/>
  <c r="N128" i="3"/>
  <c r="W127" i="3"/>
  <c r="Q126" i="3"/>
  <c r="K135" i="3"/>
  <c r="N124" i="3"/>
  <c r="O122" i="3"/>
  <c r="P122" i="3"/>
  <c r="N109" i="3"/>
  <c r="M112" i="3"/>
  <c r="O108" i="3"/>
  <c r="P108" i="3"/>
  <c r="Q108" i="3"/>
  <c r="U112" i="3"/>
  <c r="K105" i="3"/>
  <c r="N77" i="3"/>
  <c r="W57" i="3"/>
  <c r="T62" i="3"/>
  <c r="W117" i="3"/>
  <c r="N108" i="3"/>
  <c r="O96" i="3"/>
  <c r="N94" i="3"/>
  <c r="W93" i="3"/>
  <c r="O92" i="3"/>
  <c r="O88" i="3"/>
  <c r="P80" i="3"/>
  <c r="O79" i="3"/>
  <c r="W76" i="3"/>
  <c r="N75" i="3"/>
  <c r="W66" i="3"/>
  <c r="T73" i="3"/>
  <c r="P57" i="3"/>
  <c r="O57" i="3"/>
  <c r="Q57" i="3"/>
  <c r="L62" i="3"/>
  <c r="O43" i="3"/>
  <c r="Q43" i="3"/>
  <c r="O38" i="3"/>
  <c r="P38" i="3"/>
  <c r="O35" i="3"/>
  <c r="Q35" i="3"/>
  <c r="W28" i="3"/>
  <c r="L27" i="3"/>
  <c r="O17" i="3"/>
  <c r="P17" i="3"/>
  <c r="Q17" i="3"/>
  <c r="N122" i="3"/>
  <c r="W120" i="3"/>
  <c r="N118" i="3"/>
  <c r="Q116" i="3"/>
  <c r="W115" i="3"/>
  <c r="U105" i="3"/>
  <c r="W92" i="3"/>
  <c r="O85" i="3"/>
  <c r="Q85" i="3"/>
  <c r="O76" i="3"/>
  <c r="P76" i="3"/>
  <c r="Q76" i="3"/>
  <c r="O66" i="3"/>
  <c r="K62" i="3"/>
  <c r="N43" i="3"/>
  <c r="O41" i="3"/>
  <c r="P41" i="3"/>
  <c r="W40" i="3"/>
  <c r="O30" i="3"/>
  <c r="P30" i="3"/>
  <c r="Q30" i="3"/>
  <c r="K20" i="3"/>
  <c r="W6" i="3"/>
  <c r="V12" i="3"/>
  <c r="O6" i="3"/>
  <c r="P6" i="3"/>
  <c r="G135" i="3"/>
  <c r="W124" i="3"/>
  <c r="Q121" i="3"/>
  <c r="N117" i="3"/>
  <c r="N116" i="3"/>
  <c r="W111" i="3"/>
  <c r="W110" i="3"/>
  <c r="Q106" i="3"/>
  <c r="V105" i="3"/>
  <c r="N96" i="3"/>
  <c r="W95" i="3"/>
  <c r="N92" i="3"/>
  <c r="W91" i="3"/>
  <c r="T89" i="3"/>
  <c r="N85" i="3"/>
  <c r="W84" i="3"/>
  <c r="I82" i="3"/>
  <c r="N81" i="3"/>
  <c r="W80" i="3"/>
  <c r="N80" i="3"/>
  <c r="W79" i="3"/>
  <c r="N79" i="3"/>
  <c r="W78" i="3"/>
  <c r="N76" i="3"/>
  <c r="U82" i="3"/>
  <c r="L82" i="3"/>
  <c r="O70" i="3"/>
  <c r="P70" i="3"/>
  <c r="Q70" i="3"/>
  <c r="I44" i="3"/>
  <c r="E63" i="3"/>
  <c r="I63" i="3" s="1"/>
  <c r="V36" i="3"/>
  <c r="O18" i="3"/>
  <c r="P18" i="3"/>
  <c r="N16" i="3"/>
  <c r="N6" i="3"/>
  <c r="W75" i="3"/>
  <c r="U73" i="3"/>
  <c r="N70" i="3"/>
  <c r="W69" i="3"/>
  <c r="N66" i="3"/>
  <c r="W65" i="3"/>
  <c r="N59" i="3"/>
  <c r="W54" i="3"/>
  <c r="N54" i="3"/>
  <c r="N47" i="3"/>
  <c r="W43" i="3"/>
  <c r="W42" i="3"/>
  <c r="N41" i="3"/>
  <c r="V44" i="3"/>
  <c r="J37" i="3"/>
  <c r="W35" i="3"/>
  <c r="W34" i="3"/>
  <c r="N31" i="3"/>
  <c r="P26" i="3"/>
  <c r="N26" i="3"/>
  <c r="N25" i="3"/>
  <c r="P24" i="3"/>
  <c r="N24" i="3"/>
  <c r="N23" i="3"/>
  <c r="U20" i="3"/>
  <c r="W17" i="3"/>
  <c r="N17" i="3"/>
  <c r="Q15" i="3"/>
  <c r="N88" i="3"/>
  <c r="W87" i="3"/>
  <c r="N84" i="3"/>
  <c r="W83" i="3"/>
  <c r="W81" i="3"/>
  <c r="N78" i="3"/>
  <c r="W77" i="3"/>
  <c r="P74" i="3"/>
  <c r="W72" i="3"/>
  <c r="N72" i="3"/>
  <c r="N69" i="3"/>
  <c r="W68" i="3"/>
  <c r="N65" i="3"/>
  <c r="W64" i="3"/>
  <c r="N64" i="3"/>
  <c r="W60" i="3"/>
  <c r="O59" i="3"/>
  <c r="N57" i="3"/>
  <c r="O56" i="3"/>
  <c r="W50" i="3"/>
  <c r="W48" i="3"/>
  <c r="Q44" i="3"/>
  <c r="G44" i="3"/>
  <c r="Q42" i="3"/>
  <c r="N42" i="3"/>
  <c r="N39" i="3"/>
  <c r="W38" i="3"/>
  <c r="Q34" i="3"/>
  <c r="W31" i="3"/>
  <c r="N30" i="3"/>
  <c r="W19" i="3"/>
  <c r="N19" i="3"/>
  <c r="P15" i="3"/>
  <c r="P11" i="3"/>
  <c r="W10" i="3"/>
  <c r="P8" i="3"/>
  <c r="W7" i="3"/>
  <c r="Q5" i="3"/>
  <c r="I73" i="3"/>
  <c r="N68" i="3"/>
  <c r="W58" i="3"/>
  <c r="Q55" i="3"/>
  <c r="N55" i="3"/>
  <c r="W52" i="3"/>
  <c r="N50" i="3"/>
  <c r="N48" i="3"/>
  <c r="W45" i="3"/>
  <c r="N29" i="3"/>
  <c r="W25" i="3"/>
  <c r="W23" i="3"/>
  <c r="T27" i="3"/>
  <c r="W21" i="3"/>
  <c r="W16" i="3"/>
  <c r="W9" i="3"/>
  <c r="K12" i="3"/>
  <c r="Q7" i="3"/>
  <c r="N5" i="3"/>
  <c r="N312" i="4"/>
  <c r="O312" i="4"/>
  <c r="N308" i="4"/>
  <c r="O308" i="4"/>
  <c r="N284" i="4"/>
  <c r="O284" i="4"/>
  <c r="D215" i="4"/>
  <c r="H215" i="4"/>
  <c r="D191" i="4"/>
  <c r="I191" i="4"/>
  <c r="N335" i="4"/>
  <c r="P334" i="4"/>
  <c r="O330" i="4"/>
  <c r="I325" i="4"/>
  <c r="O323" i="4"/>
  <c r="P321" i="4"/>
  <c r="O316" i="4"/>
  <c r="P311" i="4"/>
  <c r="D309" i="4"/>
  <c r="P307" i="4"/>
  <c r="O303" i="4"/>
  <c r="O293" i="4"/>
  <c r="N233" i="4"/>
  <c r="O233" i="4"/>
  <c r="P233" i="4"/>
  <c r="D224" i="4"/>
  <c r="I230" i="4"/>
  <c r="I224" i="4"/>
  <c r="P323" i="4"/>
  <c r="D206" i="4"/>
  <c r="H206" i="4"/>
  <c r="O334" i="4"/>
  <c r="N321" i="4"/>
  <c r="P312" i="4"/>
  <c r="O311" i="4"/>
  <c r="I310" i="4"/>
  <c r="P308" i="4"/>
  <c r="O307" i="4"/>
  <c r="N300" i="4"/>
  <c r="O300" i="4"/>
  <c r="V297" i="4"/>
  <c r="N290" i="4"/>
  <c r="O290" i="4"/>
  <c r="N288" i="4"/>
  <c r="O288" i="4"/>
  <c r="P284" i="4"/>
  <c r="D277" i="4"/>
  <c r="H277" i="4"/>
  <c r="N271" i="4"/>
  <c r="O271" i="4"/>
  <c r="N269" i="4"/>
  <c r="O269" i="4"/>
  <c r="N263" i="4"/>
  <c r="O263" i="4"/>
  <c r="P263" i="4"/>
  <c r="N253" i="4"/>
  <c r="O253" i="4"/>
  <c r="P253" i="4"/>
  <c r="N232" i="4"/>
  <c r="O232" i="4"/>
  <c r="P232" i="4"/>
  <c r="N209" i="4"/>
  <c r="O209" i="4"/>
  <c r="P209" i="4"/>
  <c r="V174" i="4"/>
  <c r="H336" i="4"/>
  <c r="P331" i="4"/>
  <c r="P326" i="4"/>
  <c r="P325" i="4"/>
  <c r="P324" i="4"/>
  <c r="P317" i="4"/>
  <c r="H315" i="4"/>
  <c r="N304" i="4"/>
  <c r="O304" i="4"/>
  <c r="N294" i="4"/>
  <c r="O294" i="4"/>
  <c r="D289" i="4"/>
  <c r="N280" i="4"/>
  <c r="O280" i="4"/>
  <c r="N275" i="4"/>
  <c r="O275" i="4"/>
  <c r="N225" i="4"/>
  <c r="O225" i="4"/>
  <c r="P225" i="4"/>
  <c r="D184" i="4"/>
  <c r="H184" i="4"/>
  <c r="N259" i="4"/>
  <c r="O259" i="4"/>
  <c r="N243" i="4"/>
  <c r="O243" i="4"/>
  <c r="N219" i="4"/>
  <c r="O219" i="4"/>
  <c r="N213" i="4"/>
  <c r="O213" i="4"/>
  <c r="U207" i="4"/>
  <c r="N200" i="4"/>
  <c r="O200" i="4"/>
  <c r="N189" i="4"/>
  <c r="O189" i="4"/>
  <c r="O187" i="4"/>
  <c r="N187" i="4"/>
  <c r="P187" i="4"/>
  <c r="V191" i="4"/>
  <c r="N150" i="4"/>
  <c r="O150" i="4"/>
  <c r="P150" i="4"/>
  <c r="D143" i="4"/>
  <c r="H143" i="4"/>
  <c r="V135" i="4"/>
  <c r="H309" i="4"/>
  <c r="H289" i="4"/>
  <c r="O285" i="4"/>
  <c r="O281" i="4"/>
  <c r="O272" i="4"/>
  <c r="Q272" i="4" s="1"/>
  <c r="O270" i="4"/>
  <c r="O264" i="4"/>
  <c r="P258" i="4"/>
  <c r="P242" i="4"/>
  <c r="H240" i="4"/>
  <c r="N236" i="4"/>
  <c r="O236" i="4"/>
  <c r="P223" i="4"/>
  <c r="P218" i="4"/>
  <c r="P212" i="4"/>
  <c r="N203" i="4"/>
  <c r="O203" i="4"/>
  <c r="P199" i="4"/>
  <c r="D197" i="4"/>
  <c r="I197" i="4"/>
  <c r="P185" i="4"/>
  <c r="N179" i="4"/>
  <c r="O179" i="4"/>
  <c r="O155" i="4"/>
  <c r="N155" i="4"/>
  <c r="P155" i="4"/>
  <c r="N112" i="4"/>
  <c r="P259" i="4"/>
  <c r="O258" i="4"/>
  <c r="N257" i="4"/>
  <c r="O257" i="4"/>
  <c r="U250" i="4"/>
  <c r="N247" i="4"/>
  <c r="O247" i="4"/>
  <c r="P243" i="4"/>
  <c r="O242" i="4"/>
  <c r="V240" i="4"/>
  <c r="O223" i="4"/>
  <c r="P219" i="4"/>
  <c r="O218" i="4"/>
  <c r="P213" i="4"/>
  <c r="O212" i="4"/>
  <c r="P200" i="4"/>
  <c r="O199" i="4"/>
  <c r="N196" i="4"/>
  <c r="O196" i="4"/>
  <c r="P189" i="4"/>
  <c r="O185" i="4"/>
  <c r="S175" i="4"/>
  <c r="N157" i="4"/>
  <c r="O157" i="4"/>
  <c r="O145" i="4"/>
  <c r="N145" i="4"/>
  <c r="P145" i="4"/>
  <c r="D163" i="4"/>
  <c r="H163" i="4"/>
  <c r="N140" i="4"/>
  <c r="O140" i="4"/>
  <c r="V143" i="4"/>
  <c r="U144" i="4"/>
  <c r="N127" i="4"/>
  <c r="O127" i="4"/>
  <c r="N118" i="4"/>
  <c r="P118" i="4"/>
  <c r="N108" i="4"/>
  <c r="O108" i="4"/>
  <c r="D105" i="4"/>
  <c r="H105" i="4"/>
  <c r="N101" i="4"/>
  <c r="O101" i="4"/>
  <c r="O183" i="4"/>
  <c r="P181" i="4"/>
  <c r="O169" i="4"/>
  <c r="P167" i="4"/>
  <c r="O160" i="4"/>
  <c r="P159" i="4"/>
  <c r="P154" i="4"/>
  <c r="P153" i="4"/>
  <c r="P152" i="4"/>
  <c r="P147" i="4"/>
  <c r="N119" i="4"/>
  <c r="O119" i="4"/>
  <c r="P119" i="4"/>
  <c r="O118" i="4"/>
  <c r="N181" i="4"/>
  <c r="N167" i="4"/>
  <c r="N159" i="4"/>
  <c r="O154" i="4"/>
  <c r="N153" i="4"/>
  <c r="O152" i="4"/>
  <c r="Q152" i="4" s="1"/>
  <c r="O147" i="4"/>
  <c r="P140" i="4"/>
  <c r="N131" i="4"/>
  <c r="O131" i="4"/>
  <c r="P127" i="4"/>
  <c r="P108" i="4"/>
  <c r="P101" i="4"/>
  <c r="O99" i="4"/>
  <c r="N99" i="4"/>
  <c r="P99" i="4"/>
  <c r="N137" i="4"/>
  <c r="O137" i="4"/>
  <c r="V125" i="4"/>
  <c r="N141" i="4"/>
  <c r="N132" i="4"/>
  <c r="N128" i="4"/>
  <c r="N122" i="4"/>
  <c r="N115" i="4"/>
  <c r="P102" i="4"/>
  <c r="N98" i="4"/>
  <c r="O98" i="4"/>
  <c r="N59" i="4"/>
  <c r="O59" i="4"/>
  <c r="N53" i="4"/>
  <c r="O53" i="4"/>
  <c r="N48" i="4"/>
  <c r="O48" i="4"/>
  <c r="D20" i="4"/>
  <c r="I20" i="4"/>
  <c r="N14" i="4"/>
  <c r="O14" i="4"/>
  <c r="N8" i="4"/>
  <c r="O8" i="4"/>
  <c r="O96" i="4"/>
  <c r="O92" i="4"/>
  <c r="D89" i="4"/>
  <c r="O88" i="4"/>
  <c r="O84" i="4"/>
  <c r="O82" i="4"/>
  <c r="O78" i="4"/>
  <c r="O74" i="4"/>
  <c r="O72" i="4"/>
  <c r="O69" i="4"/>
  <c r="O65" i="4"/>
  <c r="Q65" i="4" s="1"/>
  <c r="P58" i="4"/>
  <c r="O52" i="4"/>
  <c r="D44" i="4"/>
  <c r="I44" i="4"/>
  <c r="N38" i="4"/>
  <c r="O38" i="4"/>
  <c r="D27" i="4"/>
  <c r="H27" i="4"/>
  <c r="N18" i="4"/>
  <c r="O18" i="4"/>
  <c r="O97" i="4"/>
  <c r="O93" i="4"/>
  <c r="P59" i="4"/>
  <c r="O58" i="4"/>
  <c r="N55" i="4"/>
  <c r="O55" i="4"/>
  <c r="P53" i="4"/>
  <c r="P48" i="4"/>
  <c r="N42" i="4"/>
  <c r="O42" i="4"/>
  <c r="D36" i="4"/>
  <c r="I36" i="4"/>
  <c r="N30" i="4"/>
  <c r="O30" i="4"/>
  <c r="P14" i="4"/>
  <c r="P8" i="4"/>
  <c r="N34" i="4"/>
  <c r="O34" i="4"/>
  <c r="N24" i="4"/>
  <c r="O24" i="4"/>
  <c r="V20" i="4"/>
  <c r="N12" i="4"/>
  <c r="O12" i="4"/>
  <c r="V12" i="4"/>
  <c r="O9" i="4"/>
  <c r="W313" i="3"/>
  <c r="L315" i="3"/>
  <c r="W305" i="3"/>
  <c r="W304" i="3"/>
  <c r="Q297" i="3"/>
  <c r="O297" i="3"/>
  <c r="P297" i="3"/>
  <c r="L336" i="3"/>
  <c r="W307" i="3"/>
  <c r="W306" i="3"/>
  <c r="Q277" i="3"/>
  <c r="O277" i="3"/>
  <c r="P277" i="3"/>
  <c r="P316" i="3"/>
  <c r="P314" i="3"/>
  <c r="W308" i="3"/>
  <c r="U309" i="3"/>
  <c r="W301" i="3"/>
  <c r="U315" i="3"/>
  <c r="P312" i="3"/>
  <c r="L309" i="3"/>
  <c r="L297" i="3"/>
  <c r="W296" i="3"/>
  <c r="L289" i="3"/>
  <c r="W288" i="3"/>
  <c r="F278" i="3"/>
  <c r="W276" i="3"/>
  <c r="H263" i="3"/>
  <c r="W262" i="3"/>
  <c r="U249" i="3"/>
  <c r="H249" i="3"/>
  <c r="P239" i="3"/>
  <c r="W232" i="3"/>
  <c r="W231" i="3"/>
  <c r="E278" i="3"/>
  <c r="K257" i="3"/>
  <c r="P255" i="3"/>
  <c r="P253" i="3"/>
  <c r="T249" i="3"/>
  <c r="K249" i="3"/>
  <c r="P247" i="3"/>
  <c r="Q245" i="3"/>
  <c r="W241" i="3"/>
  <c r="M240" i="3"/>
  <c r="W239" i="3"/>
  <c r="W233" i="3"/>
  <c r="T229" i="3"/>
  <c r="P245" i="3"/>
  <c r="L240" i="3"/>
  <c r="G229" i="3"/>
  <c r="W228" i="3"/>
  <c r="W245" i="3"/>
  <c r="P243" i="3"/>
  <c r="Q241" i="3"/>
  <c r="Q239" i="3"/>
  <c r="P235" i="3"/>
  <c r="U240" i="3"/>
  <c r="Q174" i="3"/>
  <c r="O174" i="3"/>
  <c r="P174" i="3"/>
  <c r="L229" i="3"/>
  <c r="W214" i="3"/>
  <c r="W194" i="3"/>
  <c r="W188" i="3"/>
  <c r="L174" i="3"/>
  <c r="W171" i="3"/>
  <c r="P156" i="3"/>
  <c r="N156" i="3"/>
  <c r="Q154" i="3"/>
  <c r="N154" i="3"/>
  <c r="Q152" i="3"/>
  <c r="N152" i="3"/>
  <c r="Q150" i="3"/>
  <c r="N150" i="3"/>
  <c r="M153" i="3"/>
  <c r="P143" i="3"/>
  <c r="O143" i="3"/>
  <c r="P213" i="3"/>
  <c r="P211" i="3"/>
  <c r="N198" i="3"/>
  <c r="P193" i="3"/>
  <c r="K191" i="3"/>
  <c r="P189" i="3"/>
  <c r="P187" i="3"/>
  <c r="P185" i="3"/>
  <c r="P183" i="3"/>
  <c r="P181" i="3"/>
  <c r="P178" i="3"/>
  <c r="V163" i="3"/>
  <c r="N159" i="3"/>
  <c r="O154" i="3"/>
  <c r="O152" i="3"/>
  <c r="O150" i="3"/>
  <c r="G143" i="3"/>
  <c r="E144" i="3"/>
  <c r="I144" i="3" s="1"/>
  <c r="W221" i="3"/>
  <c r="W203" i="3"/>
  <c r="K153" i="3"/>
  <c r="N149" i="3"/>
  <c r="T153" i="3"/>
  <c r="W145" i="3"/>
  <c r="L143" i="3"/>
  <c r="P135" i="3"/>
  <c r="Q135" i="3"/>
  <c r="O135" i="3"/>
  <c r="T143" i="3"/>
  <c r="N136" i="3"/>
  <c r="T135" i="3"/>
  <c r="N130" i="3"/>
  <c r="T125" i="3"/>
  <c r="P123" i="3"/>
  <c r="P121" i="3"/>
  <c r="P119" i="3"/>
  <c r="P117" i="3"/>
  <c r="W107" i="3"/>
  <c r="W106" i="3"/>
  <c r="O105" i="3"/>
  <c r="L105" i="3"/>
  <c r="G97" i="3"/>
  <c r="W96" i="3"/>
  <c r="T112" i="3"/>
  <c r="W109" i="3"/>
  <c r="W108" i="3"/>
  <c r="W104" i="3"/>
  <c r="W103" i="3"/>
  <c r="W102" i="3"/>
  <c r="W101" i="3"/>
  <c r="W100" i="3"/>
  <c r="W99" i="3"/>
  <c r="W98" i="3"/>
  <c r="T97" i="3"/>
  <c r="L112" i="3"/>
  <c r="F144" i="3"/>
  <c r="O82" i="3"/>
  <c r="Q73" i="3"/>
  <c r="O73" i="3"/>
  <c r="P73" i="3"/>
  <c r="L97" i="3"/>
  <c r="L89" i="3"/>
  <c r="W88" i="3"/>
  <c r="L73" i="3"/>
  <c r="O64" i="3"/>
  <c r="F63" i="3"/>
  <c r="N61" i="3"/>
  <c r="N74" i="3"/>
  <c r="H62" i="3"/>
  <c r="M62" i="3"/>
  <c r="P54" i="3"/>
  <c r="O54" i="3"/>
  <c r="N52" i="3"/>
  <c r="Q61" i="3"/>
  <c r="Q60" i="3"/>
  <c r="N60" i="3"/>
  <c r="Q58" i="3"/>
  <c r="N58" i="3"/>
  <c r="Q56" i="3"/>
  <c r="N56" i="3"/>
  <c r="G53" i="3"/>
  <c r="H53" i="3"/>
  <c r="P52" i="3"/>
  <c r="O52" i="3"/>
  <c r="M53" i="3"/>
  <c r="U53" i="3"/>
  <c r="O50" i="3"/>
  <c r="O48" i="3"/>
  <c r="P47" i="3"/>
  <c r="W39" i="3"/>
  <c r="L44" i="3"/>
  <c r="P33" i="3"/>
  <c r="O33" i="3"/>
  <c r="P23" i="3"/>
  <c r="O23" i="3"/>
  <c r="V20" i="3"/>
  <c r="W14" i="3"/>
  <c r="W5" i="3"/>
  <c r="T12" i="3"/>
  <c r="T53" i="3"/>
  <c r="K53" i="3"/>
  <c r="P45" i="3"/>
  <c r="T44" i="3"/>
  <c r="P43" i="3"/>
  <c r="Q41" i="3"/>
  <c r="N40" i="3"/>
  <c r="T36" i="3"/>
  <c r="P35" i="3"/>
  <c r="N34" i="3"/>
  <c r="P29" i="3"/>
  <c r="O29" i="3"/>
  <c r="L36" i="3"/>
  <c r="O27" i="3"/>
  <c r="N22" i="3"/>
  <c r="K27" i="3"/>
  <c r="P12" i="3"/>
  <c r="O12" i="3"/>
  <c r="N9" i="3"/>
  <c r="N7" i="3"/>
  <c r="L12" i="3"/>
  <c r="W29" i="3"/>
  <c r="U36" i="3"/>
  <c r="P25" i="3"/>
  <c r="O25" i="3"/>
  <c r="N21" i="3"/>
  <c r="M27" i="3"/>
  <c r="P21" i="3"/>
  <c r="O21" i="3"/>
  <c r="W13" i="3"/>
  <c r="T20" i="3"/>
  <c r="L20" i="3"/>
  <c r="N13" i="3"/>
  <c r="W41" i="3"/>
  <c r="U44" i="3"/>
  <c r="P39" i="3"/>
  <c r="K36" i="3"/>
  <c r="F37" i="3"/>
  <c r="W33" i="3"/>
  <c r="P31" i="3"/>
  <c r="O31" i="3"/>
  <c r="Q23" i="3"/>
  <c r="Q20" i="3"/>
  <c r="P20" i="3"/>
  <c r="R9" i="3"/>
  <c r="G20" i="3"/>
  <c r="Q195" i="4" l="1"/>
  <c r="Q298" i="4"/>
  <c r="Q147" i="4"/>
  <c r="Q11" i="4"/>
  <c r="R11" i="4" s="1"/>
  <c r="Q133" i="4"/>
  <c r="N270" i="3"/>
  <c r="O229" i="4"/>
  <c r="Q332" i="4"/>
  <c r="W332" i="4" s="1"/>
  <c r="Q198" i="4"/>
  <c r="R198" i="4" s="1"/>
  <c r="Q317" i="4"/>
  <c r="R317" i="4" s="1"/>
  <c r="Q267" i="4"/>
  <c r="R267" i="4" s="1"/>
  <c r="Q302" i="4"/>
  <c r="R302" i="4" s="1"/>
  <c r="Q231" i="4"/>
  <c r="W231" i="4" s="1"/>
  <c r="Q158" i="4"/>
  <c r="R158" i="4" s="1"/>
  <c r="Q22" i="4"/>
  <c r="W22" i="4" s="1"/>
  <c r="Q142" i="4"/>
  <c r="W142" i="4" s="1"/>
  <c r="Q132" i="4"/>
  <c r="W132" i="4" s="1"/>
  <c r="N229" i="4"/>
  <c r="Q58" i="4"/>
  <c r="R58" i="4" s="1"/>
  <c r="Q96" i="4"/>
  <c r="R96" i="4" s="1"/>
  <c r="Q7" i="4"/>
  <c r="R7" i="4" s="1"/>
  <c r="P63" i="4"/>
  <c r="Q57" i="4"/>
  <c r="Q252" i="4"/>
  <c r="W252" i="4" s="1"/>
  <c r="Q164" i="4"/>
  <c r="W164" i="4" s="1"/>
  <c r="Q173" i="4"/>
  <c r="W173" i="4" s="1"/>
  <c r="Q91" i="4"/>
  <c r="W91" i="4" s="1"/>
  <c r="Q319" i="4"/>
  <c r="W319" i="4" s="1"/>
  <c r="Q74" i="4"/>
  <c r="W74" i="4" s="1"/>
  <c r="O297" i="4"/>
  <c r="O63" i="4"/>
  <c r="Q23" i="4"/>
  <c r="W23" i="4" s="1"/>
  <c r="Q52" i="4"/>
  <c r="W52" i="4" s="1"/>
  <c r="Q33" i="4"/>
  <c r="W33" i="4" s="1"/>
  <c r="Q322" i="4"/>
  <c r="R322" i="4" s="1"/>
  <c r="Q291" i="4"/>
  <c r="R291" i="4" s="1"/>
  <c r="Q176" i="4"/>
  <c r="W176" i="4" s="1"/>
  <c r="Q165" i="4"/>
  <c r="R165" i="4" s="1"/>
  <c r="Q246" i="4"/>
  <c r="R246" i="4" s="1"/>
  <c r="Q226" i="4"/>
  <c r="R226" i="4" s="1"/>
  <c r="Q43" i="4"/>
  <c r="R43" i="4" s="1"/>
  <c r="Q201" i="4"/>
  <c r="W201" i="4" s="1"/>
  <c r="Q17" i="4"/>
  <c r="W17" i="4" s="1"/>
  <c r="Q126" i="4"/>
  <c r="W126" i="4" s="1"/>
  <c r="Q49" i="4"/>
  <c r="R49" i="4" s="1"/>
  <c r="Q50" i="4"/>
  <c r="W50" i="4" s="1"/>
  <c r="Q245" i="4"/>
  <c r="W245" i="4" s="1"/>
  <c r="Q172" i="4"/>
  <c r="R172" i="4" s="1"/>
  <c r="Q194" i="4"/>
  <c r="W194" i="4" s="1"/>
  <c r="Q217" i="4"/>
  <c r="W217" i="4" s="1"/>
  <c r="Q261" i="4"/>
  <c r="W261" i="4" s="1"/>
  <c r="Q149" i="4"/>
  <c r="R149" i="4" s="1"/>
  <c r="Q248" i="4"/>
  <c r="R248" i="4" s="1"/>
  <c r="Q129" i="4"/>
  <c r="W129" i="4" s="1"/>
  <c r="Q41" i="4"/>
  <c r="R41" i="4" s="1"/>
  <c r="Q95" i="4"/>
  <c r="W95" i="4" s="1"/>
  <c r="Q316" i="4"/>
  <c r="Q330" i="4"/>
  <c r="R330" i="4" s="1"/>
  <c r="Q138" i="4"/>
  <c r="R138" i="4" s="1"/>
  <c r="T279" i="4"/>
  <c r="Q274" i="4"/>
  <c r="R274" i="4" s="1"/>
  <c r="Q306" i="4"/>
  <c r="W306" i="4" s="1"/>
  <c r="Q183" i="4"/>
  <c r="W183" i="4" s="1"/>
  <c r="P249" i="4"/>
  <c r="Q151" i="4"/>
  <c r="R151" i="4" s="1"/>
  <c r="N62" i="4"/>
  <c r="Q84" i="4"/>
  <c r="R84" i="4" s="1"/>
  <c r="O249" i="4"/>
  <c r="Q287" i="4"/>
  <c r="R287" i="4" s="1"/>
  <c r="Q221" i="4"/>
  <c r="W221" i="4" s="1"/>
  <c r="Q61" i="4"/>
  <c r="R61" i="4" s="1"/>
  <c r="S279" i="4"/>
  <c r="Q186" i="4"/>
  <c r="R186" i="4" s="1"/>
  <c r="D63" i="4"/>
  <c r="Q204" i="4"/>
  <c r="W204" i="4" s="1"/>
  <c r="Q220" i="4"/>
  <c r="W220" i="4" s="1"/>
  <c r="Q241" i="4"/>
  <c r="R241" i="4" s="1"/>
  <c r="Q301" i="4"/>
  <c r="W301" i="4" s="1"/>
  <c r="Q327" i="4"/>
  <c r="Q222" i="4"/>
  <c r="Q80" i="4"/>
  <c r="R80" i="4" s="1"/>
  <c r="Q121" i="4"/>
  <c r="W121" i="4" s="1"/>
  <c r="Q282" i="4"/>
  <c r="W282" i="4" s="1"/>
  <c r="Q320" i="4"/>
  <c r="W320" i="4" s="1"/>
  <c r="Q244" i="4"/>
  <c r="R244" i="4" s="1"/>
  <c r="Q77" i="4"/>
  <c r="W77" i="4" s="1"/>
  <c r="Q103" i="4"/>
  <c r="W103" i="4" s="1"/>
  <c r="Q227" i="4"/>
  <c r="W227" i="4" s="1"/>
  <c r="Q29" i="4"/>
  <c r="R29" i="4" s="1"/>
  <c r="Q94" i="4"/>
  <c r="W94" i="4" s="1"/>
  <c r="Q270" i="4"/>
  <c r="W270" i="4" s="1"/>
  <c r="Q115" i="4"/>
  <c r="W115" i="4" s="1"/>
  <c r="Q328" i="4"/>
  <c r="W328" i="4" s="1"/>
  <c r="Q104" i="4"/>
  <c r="W104" i="4" s="1"/>
  <c r="Q70" i="4"/>
  <c r="R70" i="4" s="1"/>
  <c r="Q81" i="4"/>
  <c r="W81" i="4" s="1"/>
  <c r="Q146" i="4"/>
  <c r="R146" i="4" s="1"/>
  <c r="Q314" i="4"/>
  <c r="R314" i="4" s="1"/>
  <c r="Q107" i="4"/>
  <c r="R107" i="4" s="1"/>
  <c r="Q88" i="4"/>
  <c r="R88" i="4" s="1"/>
  <c r="O62" i="4"/>
  <c r="Q26" i="4"/>
  <c r="W26" i="4" s="1"/>
  <c r="Q136" i="4"/>
  <c r="W136" i="4" s="1"/>
  <c r="Q162" i="4"/>
  <c r="W162" i="4" s="1"/>
  <c r="Q123" i="4"/>
  <c r="W123" i="4" s="1"/>
  <c r="Q211" i="4"/>
  <c r="R211" i="4" s="1"/>
  <c r="Q40" i="4"/>
  <c r="W40" i="4" s="1"/>
  <c r="Q265" i="4"/>
  <c r="R265" i="4" s="1"/>
  <c r="Q76" i="4"/>
  <c r="W76" i="4" s="1"/>
  <c r="W198" i="4"/>
  <c r="Q51" i="4"/>
  <c r="W51" i="4" s="1"/>
  <c r="Q311" i="4"/>
  <c r="R311" i="4" s="1"/>
  <c r="Q110" i="4"/>
  <c r="W110" i="4" s="1"/>
  <c r="Q239" i="4"/>
  <c r="R239" i="4" s="1"/>
  <c r="Q273" i="4"/>
  <c r="R273" i="4" s="1"/>
  <c r="Q39" i="4"/>
  <c r="W39" i="4" s="1"/>
  <c r="Q66" i="4"/>
  <c r="R66" i="4" s="1"/>
  <c r="Q148" i="4"/>
  <c r="R148" i="4" s="1"/>
  <c r="Q47" i="4"/>
  <c r="R47" i="4" s="1"/>
  <c r="Q120" i="4"/>
  <c r="W120" i="4" s="1"/>
  <c r="Q79" i="4"/>
  <c r="W79" i="4" s="1"/>
  <c r="Q139" i="4"/>
  <c r="R139" i="4" s="1"/>
  <c r="D175" i="4"/>
  <c r="Q54" i="4"/>
  <c r="R54" i="4" s="1"/>
  <c r="Q168" i="4"/>
  <c r="W168" i="4" s="1"/>
  <c r="V278" i="4"/>
  <c r="Q130" i="4"/>
  <c r="R130" i="4" s="1"/>
  <c r="Q190" i="4"/>
  <c r="W190" i="4" s="1"/>
  <c r="Q292" i="4"/>
  <c r="R292" i="4" s="1"/>
  <c r="Q72" i="4"/>
  <c r="R72" i="4" s="1"/>
  <c r="Q325" i="4"/>
  <c r="W325" i="4" s="1"/>
  <c r="P125" i="4"/>
  <c r="Q116" i="4"/>
  <c r="W116" i="4" s="1"/>
  <c r="Q193" i="4"/>
  <c r="W193" i="4" s="1"/>
  <c r="Q237" i="4"/>
  <c r="R237" i="4" s="1"/>
  <c r="Q13" i="4"/>
  <c r="R13" i="4" s="1"/>
  <c r="Q111" i="4"/>
  <c r="W111" i="4" s="1"/>
  <c r="S208" i="4"/>
  <c r="Q293" i="4"/>
  <c r="R293" i="4" s="1"/>
  <c r="Q334" i="4"/>
  <c r="R334" i="4" s="1"/>
  <c r="Q296" i="4"/>
  <c r="R296" i="4" s="1"/>
  <c r="Q46" i="4"/>
  <c r="R46" i="4" s="1"/>
  <c r="Q25" i="4"/>
  <c r="W25" i="4" s="1"/>
  <c r="Q182" i="4"/>
  <c r="W182" i="4" s="1"/>
  <c r="Q299" i="4"/>
  <c r="R299" i="4" s="1"/>
  <c r="Q242" i="4"/>
  <c r="W242" i="4" s="1"/>
  <c r="V63" i="4"/>
  <c r="Q214" i="4"/>
  <c r="R214" i="4" s="1"/>
  <c r="Q192" i="4"/>
  <c r="R192" i="4" s="1"/>
  <c r="Q223" i="4"/>
  <c r="R223" i="4" s="1"/>
  <c r="Q106" i="4"/>
  <c r="W106" i="4" s="1"/>
  <c r="U114" i="4"/>
  <c r="Q179" i="4"/>
  <c r="W179" i="4" s="1"/>
  <c r="W149" i="4"/>
  <c r="Q324" i="4"/>
  <c r="W324" i="4" s="1"/>
  <c r="Q331" i="4"/>
  <c r="W331" i="4" s="1"/>
  <c r="P297" i="4"/>
  <c r="Q335" i="4"/>
  <c r="W335" i="4" s="1"/>
  <c r="D90" i="4"/>
  <c r="V310" i="4"/>
  <c r="Q45" i="4"/>
  <c r="R45" i="4" s="1"/>
  <c r="Q109" i="4"/>
  <c r="Q100" i="4"/>
  <c r="W100" i="4" s="1"/>
  <c r="Q156" i="4"/>
  <c r="W156" i="4" s="1"/>
  <c r="V113" i="4"/>
  <c r="Q35" i="4"/>
  <c r="W35" i="4" s="1"/>
  <c r="V230" i="4"/>
  <c r="Q255" i="4"/>
  <c r="R255" i="4" s="1"/>
  <c r="Q266" i="4"/>
  <c r="R266" i="4" s="1"/>
  <c r="Q305" i="4"/>
  <c r="R305" i="4" s="1"/>
  <c r="Q210" i="4"/>
  <c r="W210" i="4" s="1"/>
  <c r="Q124" i="4"/>
  <c r="R124" i="4" s="1"/>
  <c r="W244" i="4"/>
  <c r="Q294" i="4"/>
  <c r="W294" i="4" s="1"/>
  <c r="Q307" i="4"/>
  <c r="R307" i="4" s="1"/>
  <c r="T114" i="4"/>
  <c r="S114" i="4"/>
  <c r="Q5" i="4"/>
  <c r="R5" i="4" s="1"/>
  <c r="Q86" i="4"/>
  <c r="V250" i="4"/>
  <c r="R111" i="4"/>
  <c r="T338" i="4"/>
  <c r="Q64" i="4"/>
  <c r="R64" i="4" s="1"/>
  <c r="Q216" i="4"/>
  <c r="R216" i="4" s="1"/>
  <c r="Q283" i="4"/>
  <c r="Q85" i="4"/>
  <c r="Q235" i="4"/>
  <c r="R235" i="4" s="1"/>
  <c r="Q295" i="4"/>
  <c r="Q329" i="4"/>
  <c r="R329" i="4" s="1"/>
  <c r="Q21" i="4"/>
  <c r="Q169" i="4"/>
  <c r="R169" i="4" s="1"/>
  <c r="R25" i="4"/>
  <c r="Q160" i="4"/>
  <c r="W160" i="4" s="1"/>
  <c r="Q170" i="4"/>
  <c r="R170" i="4" s="1"/>
  <c r="Q268" i="4"/>
  <c r="W268" i="4" s="1"/>
  <c r="Q260" i="4"/>
  <c r="W260" i="4" s="1"/>
  <c r="Q10" i="4"/>
  <c r="W10" i="4" s="1"/>
  <c r="Q6" i="4"/>
  <c r="W6" i="4" s="1"/>
  <c r="T208" i="4"/>
  <c r="Q262" i="4"/>
  <c r="R262" i="4" s="1"/>
  <c r="Q286" i="4"/>
  <c r="Q228" i="4"/>
  <c r="W228" i="4" s="1"/>
  <c r="Q313" i="4"/>
  <c r="R149" i="3"/>
  <c r="X149" i="3" s="1"/>
  <c r="R248" i="3"/>
  <c r="S248" i="3" s="1"/>
  <c r="R294" i="3"/>
  <c r="X294" i="3" s="1"/>
  <c r="R261" i="3"/>
  <c r="R13" i="3"/>
  <c r="R331" i="3"/>
  <c r="S331" i="3" s="1"/>
  <c r="R292" i="3"/>
  <c r="X292" i="3" s="1"/>
  <c r="R296" i="3"/>
  <c r="S296" i="3" s="1"/>
  <c r="G206" i="3"/>
  <c r="O99" i="3"/>
  <c r="G249" i="3"/>
  <c r="O266" i="3"/>
  <c r="R266" i="3" s="1"/>
  <c r="G174" i="3"/>
  <c r="R180" i="3"/>
  <c r="S180" i="3" s="1"/>
  <c r="E250" i="3"/>
  <c r="I250" i="3" s="1"/>
  <c r="Q14" i="3"/>
  <c r="D125" i="3"/>
  <c r="G325" i="3"/>
  <c r="C207" i="3"/>
  <c r="E207" i="3"/>
  <c r="I207" i="3" s="1"/>
  <c r="G36" i="3"/>
  <c r="H153" i="3"/>
  <c r="Q206" i="3"/>
  <c r="P289" i="3"/>
  <c r="E337" i="3"/>
  <c r="Q47" i="3"/>
  <c r="E90" i="3"/>
  <c r="Q66" i="3"/>
  <c r="R66" i="3" s="1"/>
  <c r="S66" i="3" s="1"/>
  <c r="G289" i="3"/>
  <c r="M337" i="3"/>
  <c r="Q325" i="3"/>
  <c r="R325" i="3" s="1"/>
  <c r="I89" i="3"/>
  <c r="P14" i="3"/>
  <c r="R32" i="3"/>
  <c r="X32" i="3" s="1"/>
  <c r="R148" i="3"/>
  <c r="X148" i="3" s="1"/>
  <c r="R210" i="3"/>
  <c r="X210" i="3" s="1"/>
  <c r="R283" i="3"/>
  <c r="X283" i="3" s="1"/>
  <c r="P206" i="3"/>
  <c r="F310" i="3"/>
  <c r="O289" i="3"/>
  <c r="R289" i="3" s="1"/>
  <c r="N112" i="3"/>
  <c r="R121" i="3"/>
  <c r="X121" i="3" s="1"/>
  <c r="F207" i="3"/>
  <c r="R171" i="3"/>
  <c r="S171" i="3" s="1"/>
  <c r="R182" i="3"/>
  <c r="S182" i="3" s="1"/>
  <c r="R159" i="3"/>
  <c r="X159" i="3" s="1"/>
  <c r="C113" i="3"/>
  <c r="O257" i="3"/>
  <c r="R312" i="3"/>
  <c r="S312" i="3" s="1"/>
  <c r="Q125" i="3"/>
  <c r="Q179" i="3"/>
  <c r="S210" i="3"/>
  <c r="P179" i="3"/>
  <c r="P160" i="3"/>
  <c r="R214" i="3"/>
  <c r="S214" i="3" s="1"/>
  <c r="P125" i="3"/>
  <c r="R321" i="3"/>
  <c r="S321" i="3" s="1"/>
  <c r="R244" i="3"/>
  <c r="X244" i="3" s="1"/>
  <c r="R265" i="3"/>
  <c r="X265" i="3" s="1"/>
  <c r="R75" i="3"/>
  <c r="X75" i="3" s="1"/>
  <c r="Q160" i="3"/>
  <c r="R93" i="3"/>
  <c r="S93" i="3" s="1"/>
  <c r="R115" i="3"/>
  <c r="S115" i="3" s="1"/>
  <c r="R98" i="3"/>
  <c r="S98" i="3" s="1"/>
  <c r="X321" i="3"/>
  <c r="R28" i="3"/>
  <c r="S28" i="3" s="1"/>
  <c r="X115" i="3"/>
  <c r="R299" i="3"/>
  <c r="S299" i="3" s="1"/>
  <c r="R161" i="3"/>
  <c r="X161" i="3" s="1"/>
  <c r="R272" i="3"/>
  <c r="X272" i="3" s="1"/>
  <c r="D97" i="3"/>
  <c r="D82" i="3"/>
  <c r="E113" i="3"/>
  <c r="I113" i="3" s="1"/>
  <c r="D20" i="3"/>
  <c r="R335" i="3"/>
  <c r="X335" i="3" s="1"/>
  <c r="H309" i="3"/>
  <c r="Q309" i="3" s="1"/>
  <c r="O173" i="3"/>
  <c r="Q84" i="3"/>
  <c r="P84" i="3"/>
  <c r="R84" i="3" s="1"/>
  <c r="Q82" i="3"/>
  <c r="R82" i="3" s="1"/>
  <c r="F250" i="3"/>
  <c r="G27" i="3"/>
  <c r="R15" i="3"/>
  <c r="S15" i="3" s="1"/>
  <c r="Q308" i="3"/>
  <c r="R308" i="3" s="1"/>
  <c r="S308" i="3" s="1"/>
  <c r="Q240" i="3"/>
  <c r="R201" i="3"/>
  <c r="S201" i="3" s="1"/>
  <c r="R237" i="3"/>
  <c r="S237" i="3" s="1"/>
  <c r="R140" i="3"/>
  <c r="X140" i="3" s="1"/>
  <c r="R176" i="3"/>
  <c r="X176" i="3" s="1"/>
  <c r="R262" i="3"/>
  <c r="S262" i="3" s="1"/>
  <c r="R162" i="3"/>
  <c r="X162" i="3" s="1"/>
  <c r="R101" i="3"/>
  <c r="S101" i="3" s="1"/>
  <c r="R282" i="3"/>
  <c r="X282" i="3" s="1"/>
  <c r="H36" i="3"/>
  <c r="O240" i="3"/>
  <c r="R240" i="3" s="1"/>
  <c r="G240" i="3"/>
  <c r="O184" i="3"/>
  <c r="Q27" i="3"/>
  <c r="R27" i="3" s="1"/>
  <c r="G82" i="3"/>
  <c r="R280" i="3"/>
  <c r="S280" i="3" s="1"/>
  <c r="F90" i="3"/>
  <c r="H90" i="3" s="1"/>
  <c r="R313" i="3"/>
  <c r="S313" i="3" s="1"/>
  <c r="R327" i="3"/>
  <c r="S327" i="3" s="1"/>
  <c r="R131" i="3"/>
  <c r="S131" i="3" s="1"/>
  <c r="R293" i="3"/>
  <c r="X293" i="3" s="1"/>
  <c r="R229" i="3"/>
  <c r="G197" i="3"/>
  <c r="G105" i="3"/>
  <c r="G12" i="3"/>
  <c r="I112" i="3"/>
  <c r="G112" i="3"/>
  <c r="E37" i="3"/>
  <c r="I37" i="3" s="1"/>
  <c r="C37" i="3"/>
  <c r="D240" i="3"/>
  <c r="R123" i="3"/>
  <c r="X123" i="3" s="1"/>
  <c r="R241" i="3"/>
  <c r="S241" i="3" s="1"/>
  <c r="U337" i="3"/>
  <c r="R59" i="3"/>
  <c r="X59" i="3" s="1"/>
  <c r="D153" i="3"/>
  <c r="R145" i="3"/>
  <c r="X145" i="3" s="1"/>
  <c r="D297" i="3"/>
  <c r="R69" i="3"/>
  <c r="X69" i="3" s="1"/>
  <c r="R51" i="3"/>
  <c r="S51" i="3" s="1"/>
  <c r="R105" i="3"/>
  <c r="N163" i="3"/>
  <c r="R329" i="3"/>
  <c r="X329" i="3" s="1"/>
  <c r="R60" i="3"/>
  <c r="X60" i="3" s="1"/>
  <c r="R5" i="3"/>
  <c r="X5" i="3" s="1"/>
  <c r="R74" i="3"/>
  <c r="X74" i="3" s="1"/>
  <c r="R116" i="3"/>
  <c r="X116" i="3" s="1"/>
  <c r="R158" i="3"/>
  <c r="S158" i="3" s="1"/>
  <c r="R242" i="3"/>
  <c r="X242" i="3" s="1"/>
  <c r="D191" i="3"/>
  <c r="D36" i="3"/>
  <c r="R306" i="3"/>
  <c r="S306" i="3" s="1"/>
  <c r="D229" i="3"/>
  <c r="R295" i="3"/>
  <c r="S295" i="3" s="1"/>
  <c r="D62" i="3"/>
  <c r="D224" i="3"/>
  <c r="C90" i="3"/>
  <c r="C114" i="3" s="1"/>
  <c r="C175" i="3"/>
  <c r="C337" i="3"/>
  <c r="C338" i="3" s="1"/>
  <c r="C144" i="3"/>
  <c r="R61" i="3"/>
  <c r="X61" i="3" s="1"/>
  <c r="R183" i="3"/>
  <c r="X183" i="3" s="1"/>
  <c r="R213" i="3"/>
  <c r="X213" i="3" s="1"/>
  <c r="R255" i="3"/>
  <c r="S255" i="3" s="1"/>
  <c r="Q184" i="3"/>
  <c r="R44" i="3"/>
  <c r="R79" i="3"/>
  <c r="S79" i="3" s="1"/>
  <c r="R88" i="3"/>
  <c r="S88" i="3" s="1"/>
  <c r="R220" i="3"/>
  <c r="X220" i="3" s="1"/>
  <c r="X331" i="3"/>
  <c r="D163" i="3"/>
  <c r="O325" i="3"/>
  <c r="R188" i="3"/>
  <c r="X188" i="3" s="1"/>
  <c r="R298" i="3"/>
  <c r="X298" i="3" s="1"/>
  <c r="R307" i="3"/>
  <c r="S307" i="3" s="1"/>
  <c r="B113" i="3"/>
  <c r="R81" i="3"/>
  <c r="S81" i="3" s="1"/>
  <c r="R232" i="3"/>
  <c r="S232" i="3" s="1"/>
  <c r="R328" i="3"/>
  <c r="S328" i="3" s="1"/>
  <c r="R49" i="3"/>
  <c r="S49" i="3" s="1"/>
  <c r="R40" i="3"/>
  <c r="X40" i="3" s="1"/>
  <c r="R91" i="3"/>
  <c r="S91" i="3" s="1"/>
  <c r="C63" i="3"/>
  <c r="C278" i="3"/>
  <c r="C230" i="3"/>
  <c r="U230" i="3"/>
  <c r="R198" i="3"/>
  <c r="X198" i="3" s="1"/>
  <c r="R190" i="3"/>
  <c r="X190" i="3" s="1"/>
  <c r="R228" i="3"/>
  <c r="S228" i="3" s="1"/>
  <c r="R322" i="3"/>
  <c r="X322" i="3" s="1"/>
  <c r="D257" i="3"/>
  <c r="R314" i="3"/>
  <c r="X314" i="3" s="1"/>
  <c r="N315" i="3"/>
  <c r="R8" i="3"/>
  <c r="X8" i="3" s="1"/>
  <c r="R92" i="3"/>
  <c r="S92" i="3" s="1"/>
  <c r="N125" i="3"/>
  <c r="R142" i="3"/>
  <c r="X142" i="3" s="1"/>
  <c r="R199" i="3"/>
  <c r="X199" i="3" s="1"/>
  <c r="V207" i="3"/>
  <c r="J279" i="3"/>
  <c r="M278" i="3"/>
  <c r="R287" i="3"/>
  <c r="X287" i="3" s="1"/>
  <c r="R67" i="3"/>
  <c r="X67" i="3" s="1"/>
  <c r="R223" i="3"/>
  <c r="X223" i="3" s="1"/>
  <c r="R301" i="3"/>
  <c r="S301" i="3" s="1"/>
  <c r="B310" i="3"/>
  <c r="D310" i="3" s="1"/>
  <c r="D336" i="3"/>
  <c r="Q92" i="4"/>
  <c r="R92" i="4" s="1"/>
  <c r="Q137" i="4"/>
  <c r="R137" i="4" s="1"/>
  <c r="P174" i="4"/>
  <c r="O174" i="4"/>
  <c r="Q205" i="4"/>
  <c r="W205" i="4" s="1"/>
  <c r="Q212" i="4"/>
  <c r="R212" i="4" s="1"/>
  <c r="Q28" i="4"/>
  <c r="R195" i="4"/>
  <c r="W195" i="4"/>
  <c r="Q117" i="4"/>
  <c r="D250" i="4"/>
  <c r="H250" i="4"/>
  <c r="P250" i="4" s="1"/>
  <c r="O112" i="4"/>
  <c r="P112" i="4"/>
  <c r="Q202" i="4"/>
  <c r="R202" i="4" s="1"/>
  <c r="Q32" i="4"/>
  <c r="W32" i="4" s="1"/>
  <c r="S338" i="4"/>
  <c r="Q177" i="4"/>
  <c r="Q180" i="4"/>
  <c r="Q38" i="4"/>
  <c r="W38" i="4" s="1"/>
  <c r="Q155" i="4"/>
  <c r="R155" i="4" s="1"/>
  <c r="Q281" i="4"/>
  <c r="R281" i="4" s="1"/>
  <c r="Q259" i="4"/>
  <c r="W259" i="4" s="1"/>
  <c r="Q326" i="4"/>
  <c r="W326" i="4" s="1"/>
  <c r="Q188" i="4"/>
  <c r="Q256" i="4"/>
  <c r="R256" i="4" s="1"/>
  <c r="Q318" i="4"/>
  <c r="Q333" i="4"/>
  <c r="W333" i="4" s="1"/>
  <c r="Q31" i="4"/>
  <c r="Q19" i="4"/>
  <c r="Q102" i="4"/>
  <c r="R102" i="4" s="1"/>
  <c r="Q171" i="4"/>
  <c r="Q78" i="4"/>
  <c r="W78" i="4" s="1"/>
  <c r="O135" i="4"/>
  <c r="Q93" i="4"/>
  <c r="W93" i="4" s="1"/>
  <c r="Q69" i="4"/>
  <c r="R69" i="4" s="1"/>
  <c r="Q98" i="4"/>
  <c r="R98" i="4" s="1"/>
  <c r="Q128" i="4"/>
  <c r="W128" i="4" s="1"/>
  <c r="Q131" i="4"/>
  <c r="R131" i="4" s="1"/>
  <c r="N135" i="4"/>
  <c r="Q185" i="4"/>
  <c r="W185" i="4" s="1"/>
  <c r="Q199" i="4"/>
  <c r="W199" i="4" s="1"/>
  <c r="Q218" i="4"/>
  <c r="R218" i="4" s="1"/>
  <c r="Q247" i="4"/>
  <c r="W247" i="4" s="1"/>
  <c r="Q257" i="4"/>
  <c r="W257" i="4" s="1"/>
  <c r="Q264" i="4"/>
  <c r="R264" i="4" s="1"/>
  <c r="Q304" i="4"/>
  <c r="R304" i="4" s="1"/>
  <c r="Q56" i="4"/>
  <c r="Q75" i="4"/>
  <c r="R75" i="4" s="1"/>
  <c r="Q238" i="4"/>
  <c r="Q197" i="4"/>
  <c r="W197" i="4" s="1"/>
  <c r="Q303" i="4"/>
  <c r="W303" i="4" s="1"/>
  <c r="Q20" i="4"/>
  <c r="W20" i="4" s="1"/>
  <c r="Q276" i="4"/>
  <c r="W276" i="4" s="1"/>
  <c r="V337" i="4"/>
  <c r="Q234" i="4"/>
  <c r="Q251" i="4"/>
  <c r="Q82" i="4"/>
  <c r="W82" i="4" s="1"/>
  <c r="Q99" i="4"/>
  <c r="R99" i="4" s="1"/>
  <c r="Q167" i="4"/>
  <c r="R167" i="4" s="1"/>
  <c r="Q127" i="4"/>
  <c r="W127" i="4" s="1"/>
  <c r="Q145" i="4"/>
  <c r="R145" i="4" s="1"/>
  <c r="Q258" i="4"/>
  <c r="W258" i="4" s="1"/>
  <c r="N174" i="4"/>
  <c r="V207" i="4"/>
  <c r="Q275" i="4"/>
  <c r="R275" i="4" s="1"/>
  <c r="O125" i="4"/>
  <c r="V175" i="4"/>
  <c r="Q323" i="4"/>
  <c r="R323" i="4" s="1"/>
  <c r="Q308" i="4"/>
  <c r="W308" i="4" s="1"/>
  <c r="R332" i="4"/>
  <c r="Q15" i="4"/>
  <c r="V90" i="4"/>
  <c r="Q73" i="4"/>
  <c r="W73" i="4" s="1"/>
  <c r="Q87" i="4"/>
  <c r="Q178" i="4"/>
  <c r="Q71" i="4"/>
  <c r="Q83" i="4"/>
  <c r="Q36" i="4"/>
  <c r="W36" i="4" s="1"/>
  <c r="Q9" i="4"/>
  <c r="R9" i="4" s="1"/>
  <c r="V37" i="4"/>
  <c r="Q97" i="4"/>
  <c r="W97" i="4" s="1"/>
  <c r="Q141" i="4"/>
  <c r="R141" i="4" s="1"/>
  <c r="U279" i="4"/>
  <c r="Q285" i="4"/>
  <c r="R285" i="4" s="1"/>
  <c r="I279" i="4"/>
  <c r="Q67" i="4"/>
  <c r="Q191" i="4"/>
  <c r="W191" i="4" s="1"/>
  <c r="Q166" i="4"/>
  <c r="Q16" i="4"/>
  <c r="Q68" i="4"/>
  <c r="N90" i="4"/>
  <c r="P90" i="4"/>
  <c r="Q59" i="4"/>
  <c r="W59" i="4" s="1"/>
  <c r="Q122" i="4"/>
  <c r="W122" i="4" s="1"/>
  <c r="Q154" i="4"/>
  <c r="R154" i="4" s="1"/>
  <c r="Q118" i="4"/>
  <c r="R118" i="4" s="1"/>
  <c r="Q187" i="4"/>
  <c r="W187" i="4" s="1"/>
  <c r="Q44" i="4"/>
  <c r="W44" i="4" s="1"/>
  <c r="Q254" i="4"/>
  <c r="Q60" i="4"/>
  <c r="Q161" i="4"/>
  <c r="O89" i="4"/>
  <c r="N89" i="4"/>
  <c r="P89" i="4"/>
  <c r="Q134" i="4"/>
  <c r="Q224" i="4"/>
  <c r="W224" i="4" s="1"/>
  <c r="D270" i="3"/>
  <c r="M103" i="2"/>
  <c r="M183" i="2"/>
  <c r="M263" i="2"/>
  <c r="M127" i="2"/>
  <c r="M143" i="2"/>
  <c r="M175" i="2"/>
  <c r="M207" i="2"/>
  <c r="M17" i="2"/>
  <c r="M79" i="2"/>
  <c r="M147" i="2"/>
  <c r="M195" i="2"/>
  <c r="M259" i="2"/>
  <c r="M47" i="2"/>
  <c r="M139" i="2"/>
  <c r="M283" i="2"/>
  <c r="M191" i="2"/>
  <c r="M37" i="2"/>
  <c r="D315" i="3"/>
  <c r="M151" i="2"/>
  <c r="M167" i="2"/>
  <c r="M199" i="2"/>
  <c r="M215" i="2"/>
  <c r="M255" i="2"/>
  <c r="M99" i="2"/>
  <c r="M15" i="2"/>
  <c r="M65" i="2"/>
  <c r="M77" i="2"/>
  <c r="M123" i="2"/>
  <c r="M187" i="2"/>
  <c r="M219" i="2"/>
  <c r="M251" i="2"/>
  <c r="M315" i="2"/>
  <c r="M95" i="2"/>
  <c r="M271" i="2"/>
  <c r="M5" i="2"/>
  <c r="M131" i="2"/>
  <c r="M179" i="2"/>
  <c r="M223" i="2"/>
  <c r="M299" i="2"/>
  <c r="M19" i="2"/>
  <c r="D184" i="3"/>
  <c r="D53" i="3"/>
  <c r="D197" i="3"/>
  <c r="M135" i="2"/>
  <c r="M231" i="2"/>
  <c r="M163" i="2"/>
  <c r="M227" i="2"/>
  <c r="M243" i="2"/>
  <c r="M33" i="2"/>
  <c r="M53" i="2"/>
  <c r="M107" i="2"/>
  <c r="M171" i="2"/>
  <c r="M291" i="2"/>
  <c r="M159" i="2"/>
  <c r="M63" i="2"/>
  <c r="M115" i="2"/>
  <c r="S216" i="3"/>
  <c r="O337" i="3"/>
  <c r="M90" i="3"/>
  <c r="R129" i="3"/>
  <c r="S129" i="3" s="1"/>
  <c r="P224" i="3"/>
  <c r="Q337" i="3"/>
  <c r="V113" i="3"/>
  <c r="X248" i="3"/>
  <c r="G230" i="3"/>
  <c r="R185" i="3"/>
  <c r="S185" i="3" s="1"/>
  <c r="R167" i="3"/>
  <c r="S167" i="3" s="1"/>
  <c r="X93" i="3"/>
  <c r="N53" i="3"/>
  <c r="T250" i="3"/>
  <c r="W62" i="3"/>
  <c r="S205" i="3"/>
  <c r="X216" i="3"/>
  <c r="N82" i="3"/>
  <c r="R64" i="3"/>
  <c r="X64" i="3" s="1"/>
  <c r="R48" i="3"/>
  <c r="S48" i="3" s="1"/>
  <c r="N73" i="3"/>
  <c r="R253" i="3"/>
  <c r="X253" i="3" s="1"/>
  <c r="R11" i="3"/>
  <c r="S11" i="3" s="1"/>
  <c r="R251" i="3"/>
  <c r="S251" i="3" s="1"/>
  <c r="L278" i="3"/>
  <c r="R334" i="3"/>
  <c r="S334" i="3" s="1"/>
  <c r="R127" i="3"/>
  <c r="S127" i="3" s="1"/>
  <c r="T175" i="3"/>
  <c r="R152" i="3"/>
  <c r="X152" i="3" s="1"/>
  <c r="R181" i="3"/>
  <c r="S181" i="3" s="1"/>
  <c r="R160" i="3"/>
  <c r="S160" i="3" s="1"/>
  <c r="N215" i="3"/>
  <c r="D112" i="3"/>
  <c r="R16" i="3"/>
  <c r="S16" i="3" s="1"/>
  <c r="R107" i="3"/>
  <c r="S107" i="3" s="1"/>
  <c r="R172" i="3"/>
  <c r="S172" i="3" s="1"/>
  <c r="R267" i="3"/>
  <c r="S267" i="3" s="1"/>
  <c r="R270" i="3"/>
  <c r="R195" i="3"/>
  <c r="S195" i="3" s="1"/>
  <c r="W257" i="3"/>
  <c r="R46" i="3"/>
  <c r="S46" i="3" s="1"/>
  <c r="R10" i="3"/>
  <c r="S10" i="3" s="1"/>
  <c r="R168" i="3"/>
  <c r="S168" i="3" s="1"/>
  <c r="R39" i="3"/>
  <c r="X39" i="3" s="1"/>
  <c r="P89" i="3"/>
  <c r="M250" i="3"/>
  <c r="I230" i="3"/>
  <c r="R85" i="3"/>
  <c r="S85" i="3" s="1"/>
  <c r="R126" i="3"/>
  <c r="S126" i="3" s="1"/>
  <c r="R134" i="3"/>
  <c r="S134" i="3" s="1"/>
  <c r="X205" i="3"/>
  <c r="V230" i="3"/>
  <c r="V310" i="3"/>
  <c r="V338" i="3" s="1"/>
  <c r="R238" i="3"/>
  <c r="S238" i="3" s="1"/>
  <c r="W336" i="3"/>
  <c r="R19" i="3"/>
  <c r="X19" i="3" s="1"/>
  <c r="R303" i="3"/>
  <c r="X303" i="3" s="1"/>
  <c r="S102" i="3"/>
  <c r="R274" i="3"/>
  <c r="X274" i="3" s="1"/>
  <c r="R83" i="3"/>
  <c r="S83" i="3" s="1"/>
  <c r="R7" i="3"/>
  <c r="X7" i="3" s="1"/>
  <c r="R234" i="3"/>
  <c r="S234" i="3" s="1"/>
  <c r="R212" i="3"/>
  <c r="S212" i="3" s="1"/>
  <c r="R95" i="3"/>
  <c r="S95" i="3" s="1"/>
  <c r="R120" i="3"/>
  <c r="S120" i="3" s="1"/>
  <c r="N44" i="3"/>
  <c r="R50" i="3"/>
  <c r="X50" i="3" s="1"/>
  <c r="R56" i="3"/>
  <c r="X56" i="3" s="1"/>
  <c r="O89" i="3"/>
  <c r="X102" i="3"/>
  <c r="S159" i="3"/>
  <c r="R55" i="3"/>
  <c r="S55" i="3" s="1"/>
  <c r="W135" i="3"/>
  <c r="R146" i="3"/>
  <c r="S146" i="3" s="1"/>
  <c r="R97" i="3"/>
  <c r="U144" i="3"/>
  <c r="N325" i="3"/>
  <c r="R65" i="3"/>
  <c r="S65" i="3" s="1"/>
  <c r="V90" i="3"/>
  <c r="R246" i="3"/>
  <c r="S246" i="3" s="1"/>
  <c r="R78" i="3"/>
  <c r="R86" i="3"/>
  <c r="X86" i="3" s="1"/>
  <c r="R169" i="3"/>
  <c r="X169" i="3" s="1"/>
  <c r="R177" i="3"/>
  <c r="X177" i="3" s="1"/>
  <c r="R288" i="3"/>
  <c r="S288" i="3" s="1"/>
  <c r="R281" i="3"/>
  <c r="S281" i="3" s="1"/>
  <c r="R317" i="3"/>
  <c r="S317" i="3" s="1"/>
  <c r="R323" i="3"/>
  <c r="S323" i="3" s="1"/>
  <c r="R332" i="3"/>
  <c r="S332" i="3" s="1"/>
  <c r="B337" i="3"/>
  <c r="R31" i="3"/>
  <c r="X31" i="3" s="1"/>
  <c r="U37" i="3"/>
  <c r="R117" i="3"/>
  <c r="X117" i="3" s="1"/>
  <c r="V175" i="3"/>
  <c r="W215" i="3"/>
  <c r="N289" i="3"/>
  <c r="R34" i="3"/>
  <c r="S34" i="3" s="1"/>
  <c r="R42" i="3"/>
  <c r="S42" i="3" s="1"/>
  <c r="R24" i="3"/>
  <c r="X24" i="3" s="1"/>
  <c r="J114" i="3"/>
  <c r="X72" i="3"/>
  <c r="D89" i="3"/>
  <c r="R165" i="3"/>
  <c r="S165" i="3" s="1"/>
  <c r="T337" i="3"/>
  <c r="N263" i="3"/>
  <c r="R271" i="3"/>
  <c r="X271" i="3" s="1"/>
  <c r="R231" i="3"/>
  <c r="S231" i="3" s="1"/>
  <c r="R22" i="3"/>
  <c r="X22" i="3" s="1"/>
  <c r="M37" i="3"/>
  <c r="R58" i="3"/>
  <c r="X58" i="3" s="1"/>
  <c r="S72" i="3"/>
  <c r="R154" i="3"/>
  <c r="X154" i="3" s="1"/>
  <c r="M175" i="3"/>
  <c r="R156" i="3"/>
  <c r="S156" i="3" s="1"/>
  <c r="R316" i="3"/>
  <c r="S316" i="3" s="1"/>
  <c r="R277" i="3"/>
  <c r="R17" i="3"/>
  <c r="S17" i="3" s="1"/>
  <c r="R151" i="3"/>
  <c r="X151" i="3" s="1"/>
  <c r="X196" i="3"/>
  <c r="N197" i="3"/>
  <c r="R233" i="3"/>
  <c r="X233" i="3" s="1"/>
  <c r="Q163" i="3"/>
  <c r="R87" i="3"/>
  <c r="S87" i="3" s="1"/>
  <c r="R227" i="3"/>
  <c r="S227" i="3" s="1"/>
  <c r="W270" i="3"/>
  <c r="R26" i="3"/>
  <c r="X26" i="3" s="1"/>
  <c r="S104" i="3"/>
  <c r="X133" i="3"/>
  <c r="R333" i="3"/>
  <c r="S333" i="3" s="1"/>
  <c r="R268" i="3"/>
  <c r="X268" i="3" s="1"/>
  <c r="R300" i="3"/>
  <c r="X300" i="3" s="1"/>
  <c r="R21" i="3"/>
  <c r="X21" i="3" s="1"/>
  <c r="R25" i="3"/>
  <c r="S25" i="3" s="1"/>
  <c r="N12" i="3"/>
  <c r="S149" i="3"/>
  <c r="R150" i="3"/>
  <c r="S150" i="3" s="1"/>
  <c r="W174" i="3"/>
  <c r="L337" i="3"/>
  <c r="W27" i="3"/>
  <c r="R96" i="3"/>
  <c r="X96" i="3" s="1"/>
  <c r="T207" i="3"/>
  <c r="V144" i="3"/>
  <c r="R128" i="3"/>
  <c r="X128" i="3" s="1"/>
  <c r="S244" i="3"/>
  <c r="P163" i="3"/>
  <c r="R259" i="3"/>
  <c r="X259" i="3" s="1"/>
  <c r="B37" i="3"/>
  <c r="D37" i="3" s="1"/>
  <c r="S71" i="3"/>
  <c r="R302" i="3"/>
  <c r="X302" i="3" s="1"/>
  <c r="B144" i="3"/>
  <c r="D144" i="3" s="1"/>
  <c r="N20" i="3"/>
  <c r="U63" i="3"/>
  <c r="R119" i="3"/>
  <c r="S119" i="3" s="1"/>
  <c r="L175" i="3"/>
  <c r="R257" i="3"/>
  <c r="L207" i="3"/>
  <c r="R318" i="3"/>
  <c r="S318" i="3" s="1"/>
  <c r="N135" i="3"/>
  <c r="D325" i="3"/>
  <c r="R141" i="3"/>
  <c r="R324" i="3"/>
  <c r="X324" i="3" s="1"/>
  <c r="X202" i="3"/>
  <c r="S202" i="3"/>
  <c r="W73" i="3"/>
  <c r="T63" i="3"/>
  <c r="V37" i="3"/>
  <c r="R187" i="3"/>
  <c r="X187" i="3" s="1"/>
  <c r="W191" i="3"/>
  <c r="S252" i="3"/>
  <c r="V63" i="3"/>
  <c r="R38" i="3"/>
  <c r="R80" i="3"/>
  <c r="W97" i="3"/>
  <c r="K113" i="3"/>
  <c r="M113" i="3"/>
  <c r="W143" i="3"/>
  <c r="R157" i="3"/>
  <c r="S157" i="3" s="1"/>
  <c r="R138" i="3"/>
  <c r="X201" i="3"/>
  <c r="R197" i="3"/>
  <c r="S133" i="3"/>
  <c r="R164" i="3"/>
  <c r="S164" i="3" s="1"/>
  <c r="R254" i="3"/>
  <c r="U278" i="3"/>
  <c r="R273" i="3"/>
  <c r="S273" i="3" s="1"/>
  <c r="M310" i="3"/>
  <c r="M338" i="3" s="1"/>
  <c r="R264" i="3"/>
  <c r="R285" i="3"/>
  <c r="X285" i="3" s="1"/>
  <c r="R111" i="3"/>
  <c r="S111" i="3" s="1"/>
  <c r="M144" i="3"/>
  <c r="M230" i="3"/>
  <c r="R68" i="3"/>
  <c r="S68" i="3" s="1"/>
  <c r="L63" i="3"/>
  <c r="N89" i="3"/>
  <c r="R189" i="3"/>
  <c r="X189" i="3" s="1"/>
  <c r="R211" i="3"/>
  <c r="S211" i="3" s="1"/>
  <c r="S196" i="3"/>
  <c r="U310" i="3"/>
  <c r="U338" i="3" s="1"/>
  <c r="S139" i="3"/>
  <c r="W125" i="3"/>
  <c r="R194" i="3"/>
  <c r="S194" i="3" s="1"/>
  <c r="R192" i="3"/>
  <c r="R226" i="3"/>
  <c r="V278" i="3"/>
  <c r="R286" i="3"/>
  <c r="S286" i="3" s="1"/>
  <c r="D309" i="3"/>
  <c r="B278" i="3"/>
  <c r="K144" i="3"/>
  <c r="R256" i="3"/>
  <c r="R326" i="3"/>
  <c r="M207" i="3"/>
  <c r="T278" i="3"/>
  <c r="R100" i="3"/>
  <c r="S100" i="3" s="1"/>
  <c r="R109" i="3"/>
  <c r="S109" i="3" s="1"/>
  <c r="R269" i="3"/>
  <c r="S269" i="3" s="1"/>
  <c r="T37" i="3"/>
  <c r="R45" i="3"/>
  <c r="S45" i="3" s="1"/>
  <c r="X104" i="3"/>
  <c r="G113" i="3"/>
  <c r="L144" i="3"/>
  <c r="L230" i="3"/>
  <c r="R243" i="3"/>
  <c r="X243" i="3" s="1"/>
  <c r="X262" i="3"/>
  <c r="W289" i="3"/>
  <c r="N309" i="3"/>
  <c r="R297" i="3"/>
  <c r="W82" i="3"/>
  <c r="T90" i="3"/>
  <c r="R106" i="3"/>
  <c r="S106" i="3" s="1"/>
  <c r="R77" i="3"/>
  <c r="S77" i="3" s="1"/>
  <c r="R130" i="3"/>
  <c r="X130" i="3" s="1"/>
  <c r="R166" i="3"/>
  <c r="X166" i="3" s="1"/>
  <c r="R132" i="3"/>
  <c r="R218" i="3"/>
  <c r="R136" i="3"/>
  <c r="X136" i="3" s="1"/>
  <c r="U175" i="3"/>
  <c r="R258" i="3"/>
  <c r="X258" i="3" s="1"/>
  <c r="R170" i="3"/>
  <c r="X170" i="3" s="1"/>
  <c r="R124" i="3"/>
  <c r="X124" i="3" s="1"/>
  <c r="P315" i="3"/>
  <c r="O315" i="3"/>
  <c r="R320" i="3"/>
  <c r="X320" i="3" s="1"/>
  <c r="B230" i="3"/>
  <c r="B250" i="3"/>
  <c r="D250" i="3" s="1"/>
  <c r="B63" i="3"/>
  <c r="B175" i="3"/>
  <c r="D175" i="3" s="1"/>
  <c r="B207" i="3"/>
  <c r="S292" i="3"/>
  <c r="S209" i="3"/>
  <c r="X209" i="3"/>
  <c r="W263" i="3"/>
  <c r="U113" i="3"/>
  <c r="R12" i="3"/>
  <c r="R29" i="3"/>
  <c r="X29" i="3" s="1"/>
  <c r="R35" i="3"/>
  <c r="S35" i="3" s="1"/>
  <c r="M63" i="3"/>
  <c r="N105" i="3"/>
  <c r="X139" i="3"/>
  <c r="R178" i="3"/>
  <c r="S178" i="3" s="1"/>
  <c r="R193" i="3"/>
  <c r="X193" i="3" s="1"/>
  <c r="R235" i="3"/>
  <c r="X235" i="3" s="1"/>
  <c r="W163" i="3"/>
  <c r="O224" i="3"/>
  <c r="W325" i="3"/>
  <c r="R18" i="3"/>
  <c r="R70" i="3"/>
  <c r="R30" i="3"/>
  <c r="X30" i="3" s="1"/>
  <c r="R57" i="3"/>
  <c r="K90" i="3"/>
  <c r="W184" i="3"/>
  <c r="R186" i="3"/>
  <c r="U207" i="3"/>
  <c r="R219" i="3"/>
  <c r="N277" i="3"/>
  <c r="T310" i="3"/>
  <c r="R311" i="3"/>
  <c r="K337" i="3"/>
  <c r="K310" i="3"/>
  <c r="R330" i="3"/>
  <c r="R221" i="3"/>
  <c r="S221" i="3" s="1"/>
  <c r="Q112" i="3"/>
  <c r="O112" i="3"/>
  <c r="P112" i="3"/>
  <c r="R41" i="3"/>
  <c r="S41" i="3" s="1"/>
  <c r="W12" i="3"/>
  <c r="R52" i="3"/>
  <c r="S52" i="3" s="1"/>
  <c r="R135" i="3"/>
  <c r="W297" i="3"/>
  <c r="J208" i="3"/>
  <c r="R110" i="3"/>
  <c r="R99" i="3"/>
  <c r="S99" i="3" s="1"/>
  <c r="R137" i="3"/>
  <c r="R147" i="3"/>
  <c r="R217" i="3"/>
  <c r="R284" i="3"/>
  <c r="R305" i="3"/>
  <c r="S305" i="3" s="1"/>
  <c r="R319" i="3"/>
  <c r="R275" i="3"/>
  <c r="N206" i="3"/>
  <c r="R204" i="3"/>
  <c r="X204" i="3" s="1"/>
  <c r="R222" i="3"/>
  <c r="R291" i="3"/>
  <c r="W36" i="3"/>
  <c r="R43" i="3"/>
  <c r="S43" i="3" s="1"/>
  <c r="R33" i="3"/>
  <c r="X33" i="3" s="1"/>
  <c r="W44" i="3"/>
  <c r="R54" i="3"/>
  <c r="S54" i="3" s="1"/>
  <c r="N97" i="3"/>
  <c r="W112" i="3"/>
  <c r="W153" i="3"/>
  <c r="W206" i="3"/>
  <c r="T230" i="3"/>
  <c r="R247" i="3"/>
  <c r="S247" i="3" s="1"/>
  <c r="N297" i="3"/>
  <c r="W315" i="3"/>
  <c r="W53" i="3"/>
  <c r="U90" i="3"/>
  <c r="R6" i="3"/>
  <c r="R76" i="3"/>
  <c r="R108" i="3"/>
  <c r="S108" i="3" s="1"/>
  <c r="R122" i="3"/>
  <c r="R103" i="3"/>
  <c r="S103" i="3" s="1"/>
  <c r="R94" i="3"/>
  <c r="R118" i="3"/>
  <c r="P113" i="3"/>
  <c r="Q113" i="3"/>
  <c r="R155" i="3"/>
  <c r="R173" i="3"/>
  <c r="R203" i="3"/>
  <c r="S203" i="3" s="1"/>
  <c r="R200" i="3"/>
  <c r="Q215" i="3"/>
  <c r="O215" i="3"/>
  <c r="P215" i="3"/>
  <c r="V250" i="3"/>
  <c r="N224" i="3"/>
  <c r="R236" i="3"/>
  <c r="R290" i="3"/>
  <c r="O336" i="3"/>
  <c r="P336" i="3"/>
  <c r="Q336" i="3"/>
  <c r="R225" i="3"/>
  <c r="R191" i="3"/>
  <c r="K230" i="3"/>
  <c r="N184" i="3"/>
  <c r="P230" i="3"/>
  <c r="O230" i="3"/>
  <c r="R260" i="3"/>
  <c r="R304" i="3"/>
  <c r="S304" i="3" s="1"/>
  <c r="R276" i="3"/>
  <c r="S276" i="3" s="1"/>
  <c r="R65" i="4"/>
  <c r="W65" i="4"/>
  <c r="R52" i="4"/>
  <c r="P27" i="4"/>
  <c r="N27" i="4"/>
  <c r="O27" i="4"/>
  <c r="R152" i="4"/>
  <c r="W152" i="4"/>
  <c r="W147" i="4"/>
  <c r="R147" i="4"/>
  <c r="N184" i="4"/>
  <c r="O184" i="4"/>
  <c r="P184" i="4"/>
  <c r="W274" i="4"/>
  <c r="P215" i="4"/>
  <c r="O215" i="4"/>
  <c r="N215" i="4"/>
  <c r="R316" i="4"/>
  <c r="W316" i="4"/>
  <c r="Q12" i="4"/>
  <c r="W12" i="4" s="1"/>
  <c r="Q34" i="4"/>
  <c r="Q30" i="4"/>
  <c r="Q42" i="4"/>
  <c r="Q55" i="4"/>
  <c r="Q18" i="4"/>
  <c r="Q48" i="4"/>
  <c r="Q53" i="4"/>
  <c r="W53" i="4" s="1"/>
  <c r="D113" i="4"/>
  <c r="H113" i="4"/>
  <c r="Q153" i="4"/>
  <c r="W153" i="4" s="1"/>
  <c r="N105" i="4"/>
  <c r="P105" i="4"/>
  <c r="O105" i="4"/>
  <c r="V144" i="4"/>
  <c r="P163" i="4"/>
  <c r="O163" i="4"/>
  <c r="N163" i="4"/>
  <c r="P175" i="4"/>
  <c r="N175" i="4"/>
  <c r="O175" i="4"/>
  <c r="Q236" i="4"/>
  <c r="O289" i="4"/>
  <c r="P289" i="4"/>
  <c r="N289" i="4"/>
  <c r="D144" i="4"/>
  <c r="H144" i="4"/>
  <c r="Q189" i="4"/>
  <c r="Q280" i="4"/>
  <c r="Q263" i="4"/>
  <c r="W263" i="4" s="1"/>
  <c r="Q271" i="4"/>
  <c r="Q290" i="4"/>
  <c r="N206" i="4"/>
  <c r="O206" i="4"/>
  <c r="P206" i="4"/>
  <c r="W298" i="4"/>
  <c r="R298" i="4"/>
  <c r="Q284" i="4"/>
  <c r="U208" i="4"/>
  <c r="Q181" i="4"/>
  <c r="Q119" i="4"/>
  <c r="N240" i="4"/>
  <c r="O240" i="4"/>
  <c r="P240" i="4"/>
  <c r="R272" i="4"/>
  <c r="W272" i="4"/>
  <c r="O309" i="4"/>
  <c r="P309" i="4"/>
  <c r="N309" i="4"/>
  <c r="N143" i="4"/>
  <c r="P143" i="4"/>
  <c r="O143" i="4"/>
  <c r="Q150" i="4"/>
  <c r="Q200" i="4"/>
  <c r="Q219" i="4"/>
  <c r="Q243" i="4"/>
  <c r="Q209" i="4"/>
  <c r="Q232" i="4"/>
  <c r="Q253" i="4"/>
  <c r="D278" i="4"/>
  <c r="H278" i="4"/>
  <c r="Q321" i="4"/>
  <c r="D337" i="4"/>
  <c r="H337" i="4"/>
  <c r="Q312" i="4"/>
  <c r="I37" i="4"/>
  <c r="I114" i="4"/>
  <c r="Q108" i="4"/>
  <c r="I207" i="4"/>
  <c r="I208" i="4"/>
  <c r="N336" i="4"/>
  <c r="P336" i="4"/>
  <c r="O336" i="4"/>
  <c r="D207" i="4"/>
  <c r="H207" i="4"/>
  <c r="Q24" i="4"/>
  <c r="D37" i="4"/>
  <c r="H37" i="4"/>
  <c r="Q8" i="4"/>
  <c r="Q14" i="4"/>
  <c r="W133" i="4"/>
  <c r="R133" i="4"/>
  <c r="Q159" i="4"/>
  <c r="Q101" i="4"/>
  <c r="Q140" i="4"/>
  <c r="Q157" i="4"/>
  <c r="Q196" i="4"/>
  <c r="Q203" i="4"/>
  <c r="H310" i="4"/>
  <c r="D310" i="4"/>
  <c r="Q213" i="4"/>
  <c r="Q225" i="4"/>
  <c r="N315" i="4"/>
  <c r="P315" i="4"/>
  <c r="O315" i="4"/>
  <c r="Q269" i="4"/>
  <c r="P277" i="4"/>
  <c r="N277" i="4"/>
  <c r="O277" i="4"/>
  <c r="Q288" i="4"/>
  <c r="Q300" i="4"/>
  <c r="Q233" i="4"/>
  <c r="D230" i="4"/>
  <c r="H230" i="4"/>
  <c r="H37" i="3"/>
  <c r="L37" i="3"/>
  <c r="Q53" i="3"/>
  <c r="O53" i="3"/>
  <c r="P53" i="3"/>
  <c r="Q62" i="3"/>
  <c r="O62" i="3"/>
  <c r="P62" i="3"/>
  <c r="K63" i="3"/>
  <c r="H207" i="3"/>
  <c r="F208" i="3"/>
  <c r="O153" i="3"/>
  <c r="Q153" i="3"/>
  <c r="P153" i="3"/>
  <c r="G175" i="3"/>
  <c r="H175" i="3"/>
  <c r="L250" i="3"/>
  <c r="N240" i="3"/>
  <c r="W229" i="3"/>
  <c r="X229" i="3" s="1"/>
  <c r="W249" i="3"/>
  <c r="W240" i="3"/>
  <c r="U250" i="3"/>
  <c r="Q263" i="3"/>
  <c r="O263" i="3"/>
  <c r="P263" i="3"/>
  <c r="W277" i="3"/>
  <c r="P36" i="3"/>
  <c r="Q36" i="3"/>
  <c r="O36" i="3"/>
  <c r="R47" i="3"/>
  <c r="R73" i="3"/>
  <c r="W89" i="3"/>
  <c r="W224" i="3"/>
  <c r="W197" i="3"/>
  <c r="W309" i="3"/>
  <c r="I337" i="3"/>
  <c r="G337" i="3"/>
  <c r="E338" i="3"/>
  <c r="N336" i="3"/>
  <c r="S9" i="3"/>
  <c r="X9" i="3"/>
  <c r="R20" i="3"/>
  <c r="K37" i="3"/>
  <c r="N36" i="3"/>
  <c r="R23" i="3"/>
  <c r="I90" i="3"/>
  <c r="H144" i="3"/>
  <c r="G144" i="3"/>
  <c r="W105" i="3"/>
  <c r="K175" i="3"/>
  <c r="N153" i="3"/>
  <c r="N143" i="3"/>
  <c r="R174" i="3"/>
  <c r="N229" i="3"/>
  <c r="N174" i="3"/>
  <c r="R239" i="3"/>
  <c r="G278" i="3"/>
  <c r="H278" i="3"/>
  <c r="G310" i="3"/>
  <c r="H310" i="3"/>
  <c r="S261" i="3"/>
  <c r="X261" i="3"/>
  <c r="W20" i="3"/>
  <c r="S13" i="3"/>
  <c r="X13" i="3"/>
  <c r="N27" i="3"/>
  <c r="G63" i="3"/>
  <c r="H63" i="3"/>
  <c r="L90" i="3"/>
  <c r="N62" i="3"/>
  <c r="L113" i="3"/>
  <c r="T113" i="3"/>
  <c r="T144" i="3"/>
  <c r="N191" i="3"/>
  <c r="K207" i="3"/>
  <c r="R143" i="3"/>
  <c r="S243" i="3"/>
  <c r="R245" i="3"/>
  <c r="K250" i="3"/>
  <c r="N249" i="3"/>
  <c r="K278" i="3"/>
  <c r="N257" i="3"/>
  <c r="E279" i="3"/>
  <c r="I279" i="3" s="1"/>
  <c r="I278" i="3"/>
  <c r="Q249" i="3"/>
  <c r="O249" i="3"/>
  <c r="P249" i="3"/>
  <c r="L310" i="3"/>
  <c r="P309" i="3"/>
  <c r="F338" i="3"/>
  <c r="W291" i="4" l="1"/>
  <c r="W11" i="4"/>
  <c r="W302" i="4"/>
  <c r="W61" i="4"/>
  <c r="Q229" i="4"/>
  <c r="W229" i="4" s="1"/>
  <c r="W72" i="4"/>
  <c r="R116" i="4"/>
  <c r="R103" i="4"/>
  <c r="W317" i="4"/>
  <c r="R129" i="4"/>
  <c r="W267" i="4"/>
  <c r="W307" i="4"/>
  <c r="W84" i="4"/>
  <c r="W165" i="4"/>
  <c r="W88" i="4"/>
  <c r="W172" i="4"/>
  <c r="R231" i="4"/>
  <c r="W158" i="4"/>
  <c r="W239" i="4"/>
  <c r="W246" i="4"/>
  <c r="R22" i="4"/>
  <c r="R33" i="4"/>
  <c r="W226" i="4"/>
  <c r="R50" i="4"/>
  <c r="W58" i="4"/>
  <c r="W139" i="4"/>
  <c r="R91" i="4"/>
  <c r="Q297" i="4"/>
  <c r="W297" i="4" s="1"/>
  <c r="R247" i="4"/>
  <c r="W148" i="4"/>
  <c r="R142" i="4"/>
  <c r="W273" i="4"/>
  <c r="W80" i="4"/>
  <c r="R126" i="4"/>
  <c r="R132" i="4"/>
  <c r="R201" i="4"/>
  <c r="W7" i="4"/>
  <c r="R176" i="4"/>
  <c r="R6" i="4"/>
  <c r="R228" i="4"/>
  <c r="R51" i="4"/>
  <c r="R245" i="4"/>
  <c r="W96" i="4"/>
  <c r="R252" i="4"/>
  <c r="R95" i="4"/>
  <c r="R319" i="4"/>
  <c r="R17" i="4"/>
  <c r="R306" i="4"/>
  <c r="W43" i="4"/>
  <c r="W29" i="4"/>
  <c r="W138" i="4"/>
  <c r="W130" i="4"/>
  <c r="R205" i="4"/>
  <c r="R183" i="4"/>
  <c r="R326" i="4"/>
  <c r="R74" i="4"/>
  <c r="W241" i="4"/>
  <c r="R217" i="4"/>
  <c r="W70" i="4"/>
  <c r="R164" i="4"/>
  <c r="Q63" i="4"/>
  <c r="W63" i="4" s="1"/>
  <c r="R221" i="4"/>
  <c r="Q62" i="4"/>
  <c r="W62" i="4" s="1"/>
  <c r="W92" i="4"/>
  <c r="R268" i="4"/>
  <c r="R173" i="4"/>
  <c r="W146" i="4"/>
  <c r="Q249" i="4"/>
  <c r="W249" i="4" s="1"/>
  <c r="R57" i="4"/>
  <c r="W57" i="4"/>
  <c r="W330" i="4"/>
  <c r="R123" i="4"/>
  <c r="W305" i="4"/>
  <c r="R121" i="4"/>
  <c r="R81" i="4"/>
  <c r="W248" i="4"/>
  <c r="R77" i="4"/>
  <c r="W131" i="4"/>
  <c r="R242" i="4"/>
  <c r="R23" i="4"/>
  <c r="R76" i="4"/>
  <c r="W47" i="4"/>
  <c r="R100" i="4"/>
  <c r="R93" i="4"/>
  <c r="R301" i="4"/>
  <c r="W322" i="4"/>
  <c r="R162" i="4"/>
  <c r="R194" i="4"/>
  <c r="W151" i="4"/>
  <c r="R282" i="4"/>
  <c r="R204" i="4"/>
  <c r="W49" i="4"/>
  <c r="R26" i="4"/>
  <c r="R331" i="4"/>
  <c r="R210" i="4"/>
  <c r="R182" i="4"/>
  <c r="R94" i="4"/>
  <c r="W41" i="4"/>
  <c r="W223" i="4"/>
  <c r="W329" i="4"/>
  <c r="R39" i="4"/>
  <c r="V279" i="4"/>
  <c r="R261" i="4"/>
  <c r="W13" i="4"/>
  <c r="R179" i="4"/>
  <c r="W314" i="4"/>
  <c r="W46" i="4"/>
  <c r="R222" i="4"/>
  <c r="W222" i="4"/>
  <c r="Q125" i="4"/>
  <c r="W125" i="4" s="1"/>
  <c r="R40" i="4"/>
  <c r="W327" i="4"/>
  <c r="R327" i="4"/>
  <c r="R227" i="4"/>
  <c r="R320" i="4"/>
  <c r="W287" i="4"/>
  <c r="W186" i="4"/>
  <c r="R79" i="4"/>
  <c r="R220" i="4"/>
  <c r="R168" i="4"/>
  <c r="R190" i="4"/>
  <c r="W262" i="4"/>
  <c r="R104" i="4"/>
  <c r="R59" i="4"/>
  <c r="R328" i="4"/>
  <c r="W255" i="4"/>
  <c r="R115" i="4"/>
  <c r="W107" i="4"/>
  <c r="W54" i="4"/>
  <c r="R259" i="4"/>
  <c r="W299" i="4"/>
  <c r="W202" i="4"/>
  <c r="W323" i="4"/>
  <c r="R160" i="4"/>
  <c r="W311" i="4"/>
  <c r="R193" i="4"/>
  <c r="R260" i="4"/>
  <c r="R156" i="4"/>
  <c r="W45" i="4"/>
  <c r="V338" i="4"/>
  <c r="R120" i="4"/>
  <c r="R10" i="4"/>
  <c r="W265" i="4"/>
  <c r="R136" i="4"/>
  <c r="R303" i="4"/>
  <c r="U339" i="4"/>
  <c r="Q112" i="4"/>
  <c r="W112" i="4" s="1"/>
  <c r="W211" i="4"/>
  <c r="W296" i="4"/>
  <c r="R335" i="4"/>
  <c r="W66" i="4"/>
  <c r="Q135" i="4"/>
  <c r="W135" i="4" s="1"/>
  <c r="W237" i="4"/>
  <c r="W293" i="4"/>
  <c r="W292" i="4"/>
  <c r="R110" i="4"/>
  <c r="R294" i="4"/>
  <c r="W124" i="4"/>
  <c r="R258" i="4"/>
  <c r="Q174" i="4"/>
  <c r="W174" i="4" s="1"/>
  <c r="O250" i="4"/>
  <c r="W192" i="4"/>
  <c r="R106" i="4"/>
  <c r="W99" i="4"/>
  <c r="W98" i="4"/>
  <c r="W334" i="4"/>
  <c r="W69" i="4"/>
  <c r="R324" i="4"/>
  <c r="R78" i="4"/>
  <c r="W214" i="4"/>
  <c r="W216" i="4"/>
  <c r="W5" i="4"/>
  <c r="W266" i="4"/>
  <c r="T339" i="4"/>
  <c r="W137" i="4"/>
  <c r="R32" i="4"/>
  <c r="V208" i="4"/>
  <c r="R185" i="4"/>
  <c r="R35" i="4"/>
  <c r="W109" i="4"/>
  <c r="R109" i="4"/>
  <c r="N250" i="4"/>
  <c r="R38" i="4"/>
  <c r="S339" i="4"/>
  <c r="W235" i="4"/>
  <c r="W264" i="4"/>
  <c r="W75" i="4"/>
  <c r="R21" i="4"/>
  <c r="W21" i="4"/>
  <c r="W154" i="4"/>
  <c r="W169" i="4"/>
  <c r="W64" i="4"/>
  <c r="W286" i="4"/>
  <c r="R286" i="4"/>
  <c r="R283" i="4"/>
  <c r="W283" i="4"/>
  <c r="W86" i="4"/>
  <c r="R86" i="4"/>
  <c r="W313" i="4"/>
  <c r="R313" i="4"/>
  <c r="W141" i="4"/>
  <c r="R85" i="4"/>
  <c r="W85" i="4"/>
  <c r="W170" i="4"/>
  <c r="W102" i="4"/>
  <c r="W256" i="4"/>
  <c r="R127" i="4"/>
  <c r="R199" i="4"/>
  <c r="W212" i="4"/>
  <c r="W9" i="4"/>
  <c r="W167" i="4"/>
  <c r="Q289" i="4"/>
  <c r="W289" i="4" s="1"/>
  <c r="R308" i="4"/>
  <c r="W295" i="4"/>
  <c r="R295" i="4"/>
  <c r="R206" i="3"/>
  <c r="S19" i="3"/>
  <c r="S272" i="3"/>
  <c r="X180" i="3"/>
  <c r="S294" i="3"/>
  <c r="S121" i="3"/>
  <c r="X34" i="3"/>
  <c r="R125" i="3"/>
  <c r="S117" i="3"/>
  <c r="S61" i="3"/>
  <c r="X212" i="3"/>
  <c r="X158" i="3"/>
  <c r="X286" i="3"/>
  <c r="X51" i="3"/>
  <c r="S60" i="3"/>
  <c r="X312" i="3"/>
  <c r="X15" i="3"/>
  <c r="X181" i="3"/>
  <c r="S283" i="3"/>
  <c r="S148" i="3"/>
  <c r="S58" i="3"/>
  <c r="X134" i="3"/>
  <c r="X28" i="3"/>
  <c r="S233" i="3"/>
  <c r="X313" i="3"/>
  <c r="X296" i="3"/>
  <c r="S21" i="3"/>
  <c r="S213" i="3"/>
  <c r="S32" i="3"/>
  <c r="S220" i="3"/>
  <c r="X79" i="3"/>
  <c r="X295" i="3"/>
  <c r="S161" i="3"/>
  <c r="X54" i="3"/>
  <c r="X167" i="3"/>
  <c r="R179" i="3"/>
  <c r="X179" i="3" s="1"/>
  <c r="R14" i="3"/>
  <c r="X14" i="3" s="1"/>
  <c r="S7" i="3"/>
  <c r="S189" i="3"/>
  <c r="S8" i="3"/>
  <c r="S176" i="3"/>
  <c r="X11" i="3"/>
  <c r="X48" i="3"/>
  <c r="S74" i="3"/>
  <c r="X182" i="3"/>
  <c r="S242" i="3"/>
  <c r="X251" i="3"/>
  <c r="S145" i="3"/>
  <c r="X299" i="3"/>
  <c r="S169" i="3"/>
  <c r="X234" i="3"/>
  <c r="S75" i="3"/>
  <c r="D90" i="3"/>
  <c r="S314" i="3"/>
  <c r="G207" i="3"/>
  <c r="O309" i="3"/>
  <c r="X174" i="3"/>
  <c r="X17" i="3"/>
  <c r="E208" i="3"/>
  <c r="I208" i="3" s="1"/>
  <c r="G37" i="3"/>
  <c r="X255" i="3"/>
  <c r="X168" i="3"/>
  <c r="X246" i="3"/>
  <c r="X328" i="3"/>
  <c r="X131" i="3"/>
  <c r="X280" i="3"/>
  <c r="S67" i="3"/>
  <c r="X307" i="3"/>
  <c r="X171" i="3"/>
  <c r="E114" i="3"/>
  <c r="I114" i="3" s="1"/>
  <c r="X98" i="3"/>
  <c r="S140" i="3"/>
  <c r="X267" i="3"/>
  <c r="X333" i="3"/>
  <c r="X281" i="3"/>
  <c r="D113" i="3"/>
  <c r="G250" i="3"/>
  <c r="S50" i="3"/>
  <c r="X327" i="3"/>
  <c r="S265" i="3"/>
  <c r="S335" i="3"/>
  <c r="X237" i="3"/>
  <c r="X214" i="3"/>
  <c r="S183" i="3"/>
  <c r="S123" i="3"/>
  <c r="S142" i="3"/>
  <c r="X81" i="3"/>
  <c r="S22" i="3"/>
  <c r="C208" i="3"/>
  <c r="T338" i="3"/>
  <c r="X46" i="3"/>
  <c r="X127" i="3"/>
  <c r="S223" i="3"/>
  <c r="S162" i="3"/>
  <c r="X84" i="3"/>
  <c r="S84" i="3"/>
  <c r="O90" i="3"/>
  <c r="P90" i="3"/>
  <c r="Q90" i="3"/>
  <c r="S193" i="3"/>
  <c r="S322" i="3"/>
  <c r="X306" i="3"/>
  <c r="X16" i="3"/>
  <c r="G90" i="3"/>
  <c r="X241" i="3"/>
  <c r="X119" i="3"/>
  <c r="H250" i="3"/>
  <c r="O250" i="3" s="1"/>
  <c r="F114" i="3"/>
  <c r="X178" i="3"/>
  <c r="S302" i="3"/>
  <c r="X195" i="3"/>
  <c r="X91" i="3"/>
  <c r="S188" i="3"/>
  <c r="X232" i="3"/>
  <c r="S293" i="3"/>
  <c r="X101" i="3"/>
  <c r="R184" i="3"/>
  <c r="X184" i="3" s="1"/>
  <c r="F279" i="3"/>
  <c r="H279" i="3" s="1"/>
  <c r="X240" i="3"/>
  <c r="X25" i="3"/>
  <c r="S282" i="3"/>
  <c r="R224" i="3"/>
  <c r="X224" i="3" s="1"/>
  <c r="S177" i="3"/>
  <c r="S329" i="3"/>
  <c r="X10" i="3"/>
  <c r="S298" i="3"/>
  <c r="S5" i="3"/>
  <c r="S253" i="3"/>
  <c r="X85" i="3"/>
  <c r="S59" i="3"/>
  <c r="X27" i="3"/>
  <c r="X88" i="3"/>
  <c r="X318" i="3"/>
  <c r="X55" i="3"/>
  <c r="X92" i="3"/>
  <c r="M208" i="3"/>
  <c r="D278" i="3"/>
  <c r="S116" i="3"/>
  <c r="S199" i="3"/>
  <c r="S303" i="3"/>
  <c r="S190" i="3"/>
  <c r="X49" i="3"/>
  <c r="X165" i="3"/>
  <c r="D337" i="3"/>
  <c r="X247" i="3"/>
  <c r="X301" i="3"/>
  <c r="S187" i="3"/>
  <c r="S166" i="3"/>
  <c r="X135" i="3"/>
  <c r="S268" i="3"/>
  <c r="M279" i="3"/>
  <c r="S198" i="3"/>
  <c r="S287" i="3"/>
  <c r="S69" i="3"/>
  <c r="X270" i="3"/>
  <c r="R89" i="3"/>
  <c r="X89" i="3" s="1"/>
  <c r="V208" i="3"/>
  <c r="C279" i="3"/>
  <c r="C339" i="3" s="1"/>
  <c r="X228" i="3"/>
  <c r="S152" i="3"/>
  <c r="S154" i="3"/>
  <c r="X185" i="3"/>
  <c r="N230" i="3"/>
  <c r="W63" i="3"/>
  <c r="X325" i="3"/>
  <c r="X334" i="3"/>
  <c r="S96" i="3"/>
  <c r="S40" i="3"/>
  <c r="B338" i="3"/>
  <c r="D338" i="3" s="1"/>
  <c r="R337" i="3"/>
  <c r="X143" i="3"/>
  <c r="S31" i="3"/>
  <c r="X238" i="3"/>
  <c r="X172" i="3"/>
  <c r="X42" i="3"/>
  <c r="X146" i="3"/>
  <c r="D230" i="3"/>
  <c r="X125" i="3"/>
  <c r="X129" i="3"/>
  <c r="X83" i="3"/>
  <c r="S259" i="3"/>
  <c r="U279" i="3"/>
  <c r="S64" i="3"/>
  <c r="T279" i="3"/>
  <c r="X44" i="3"/>
  <c r="X65" i="3"/>
  <c r="X317" i="3"/>
  <c r="X308" i="3"/>
  <c r="W171" i="4"/>
  <c r="R171" i="4"/>
  <c r="W304" i="4"/>
  <c r="W281" i="4"/>
  <c r="W218" i="4"/>
  <c r="R276" i="4"/>
  <c r="R333" i="4"/>
  <c r="W285" i="4"/>
  <c r="W155" i="4"/>
  <c r="R187" i="4"/>
  <c r="R128" i="4"/>
  <c r="R122" i="4"/>
  <c r="R234" i="4"/>
  <c r="W234" i="4"/>
  <c r="W56" i="4"/>
  <c r="R56" i="4"/>
  <c r="W19" i="4"/>
  <c r="R19" i="4"/>
  <c r="W28" i="4"/>
  <c r="R28" i="4"/>
  <c r="W238" i="4"/>
  <c r="R238" i="4"/>
  <c r="R177" i="4"/>
  <c r="W177" i="4"/>
  <c r="R117" i="4"/>
  <c r="W117" i="4"/>
  <c r="W251" i="4"/>
  <c r="R251" i="4"/>
  <c r="W318" i="4"/>
  <c r="R318" i="4"/>
  <c r="Q90" i="4"/>
  <c r="W90" i="4" s="1"/>
  <c r="V114" i="4"/>
  <c r="R31" i="4"/>
  <c r="W31" i="4"/>
  <c r="R188" i="4"/>
  <c r="W188" i="4"/>
  <c r="W180" i="4"/>
  <c r="R180" i="4"/>
  <c r="W16" i="4"/>
  <c r="R16" i="4"/>
  <c r="R83" i="4"/>
  <c r="W83" i="4"/>
  <c r="W71" i="4"/>
  <c r="R71" i="4"/>
  <c r="R134" i="4"/>
  <c r="W134" i="4"/>
  <c r="R161" i="4"/>
  <c r="W161" i="4"/>
  <c r="W178" i="4"/>
  <c r="R178" i="4"/>
  <c r="R15" i="4"/>
  <c r="W15" i="4"/>
  <c r="W254" i="4"/>
  <c r="R254" i="4"/>
  <c r="W275" i="4"/>
  <c r="W118" i="4"/>
  <c r="Q89" i="4"/>
  <c r="W89" i="4" s="1"/>
  <c r="W67" i="4"/>
  <c r="R67" i="4"/>
  <c r="W145" i="4"/>
  <c r="Q175" i="4"/>
  <c r="W175" i="4" s="1"/>
  <c r="Q163" i="4"/>
  <c r="W163" i="4" s="1"/>
  <c r="Q105" i="4"/>
  <c r="W105" i="4" s="1"/>
  <c r="W60" i="4"/>
  <c r="R60" i="4"/>
  <c r="W68" i="4"/>
  <c r="R68" i="4"/>
  <c r="R166" i="4"/>
  <c r="W166" i="4"/>
  <c r="W87" i="4"/>
  <c r="R87" i="4"/>
  <c r="B114" i="3"/>
  <c r="N175" i="3"/>
  <c r="X231" i="3"/>
  <c r="J339" i="3"/>
  <c r="S86" i="3"/>
  <c r="X97" i="3"/>
  <c r="X316" i="3"/>
  <c r="S39" i="3"/>
  <c r="S136" i="3"/>
  <c r="X289" i="3"/>
  <c r="X160" i="3"/>
  <c r="X332" i="3"/>
  <c r="N90" i="3"/>
  <c r="W113" i="3"/>
  <c r="X73" i="3"/>
  <c r="X103" i="3"/>
  <c r="X120" i="3"/>
  <c r="X126" i="3"/>
  <c r="S300" i="3"/>
  <c r="X66" i="3"/>
  <c r="X257" i="3"/>
  <c r="W37" i="3"/>
  <c r="S56" i="3"/>
  <c r="X227" i="3"/>
  <c r="X106" i="3"/>
  <c r="D63" i="3"/>
  <c r="X107" i="3"/>
  <c r="X95" i="3"/>
  <c r="S274" i="3"/>
  <c r="T208" i="3"/>
  <c r="X35" i="3"/>
  <c r="X297" i="3"/>
  <c r="N337" i="3"/>
  <c r="S24" i="3"/>
  <c r="X203" i="3"/>
  <c r="L279" i="3"/>
  <c r="S33" i="3"/>
  <c r="X288" i="3"/>
  <c r="X323" i="3"/>
  <c r="S271" i="3"/>
  <c r="R163" i="3"/>
  <c r="X163" i="3" s="1"/>
  <c r="X277" i="3"/>
  <c r="R230" i="3"/>
  <c r="M114" i="3"/>
  <c r="V114" i="3"/>
  <c r="L208" i="3"/>
  <c r="S128" i="3"/>
  <c r="R315" i="3"/>
  <c r="X315" i="3" s="1"/>
  <c r="S78" i="3"/>
  <c r="X78" i="3"/>
  <c r="W310" i="3"/>
  <c r="N37" i="3"/>
  <c r="X41" i="3"/>
  <c r="X164" i="3"/>
  <c r="X150" i="3"/>
  <c r="R112" i="3"/>
  <c r="X112" i="3" s="1"/>
  <c r="S26" i="3"/>
  <c r="S141" i="3"/>
  <c r="X141" i="3"/>
  <c r="S324" i="3"/>
  <c r="S29" i="3"/>
  <c r="X156" i="3"/>
  <c r="W144" i="3"/>
  <c r="X105" i="3"/>
  <c r="W337" i="3"/>
  <c r="X197" i="3"/>
  <c r="W90" i="3"/>
  <c r="S285" i="3"/>
  <c r="R113" i="3"/>
  <c r="X206" i="3"/>
  <c r="X82" i="3"/>
  <c r="X194" i="3"/>
  <c r="X77" i="3"/>
  <c r="X100" i="3"/>
  <c r="S151" i="3"/>
  <c r="X87" i="3"/>
  <c r="X109" i="3"/>
  <c r="X191" i="3"/>
  <c r="V279" i="3"/>
  <c r="U114" i="3"/>
  <c r="X221" i="3"/>
  <c r="X12" i="3"/>
  <c r="X157" i="3"/>
  <c r="S132" i="3"/>
  <c r="X132" i="3"/>
  <c r="S14" i="3"/>
  <c r="S326" i="3"/>
  <c r="X326" i="3"/>
  <c r="S226" i="3"/>
  <c r="X226" i="3"/>
  <c r="X273" i="3"/>
  <c r="S38" i="3"/>
  <c r="X38" i="3"/>
  <c r="X218" i="3"/>
  <c r="S218" i="3"/>
  <c r="S258" i="3"/>
  <c r="X211" i="3"/>
  <c r="S235" i="3"/>
  <c r="X52" i="3"/>
  <c r="X45" i="3"/>
  <c r="X276" i="3"/>
  <c r="U208" i="3"/>
  <c r="W175" i="3"/>
  <c r="S256" i="3"/>
  <c r="X256" i="3"/>
  <c r="X192" i="3"/>
  <c r="S192" i="3"/>
  <c r="S170" i="3"/>
  <c r="S264" i="3"/>
  <c r="X264" i="3"/>
  <c r="S138" i="3"/>
  <c r="X138" i="3"/>
  <c r="S124" i="3"/>
  <c r="X68" i="3"/>
  <c r="X254" i="3"/>
  <c r="S254" i="3"/>
  <c r="T114" i="3"/>
  <c r="X99" i="3"/>
  <c r="N144" i="3"/>
  <c r="X269" i="3"/>
  <c r="X80" i="3"/>
  <c r="S80" i="3"/>
  <c r="X111" i="3"/>
  <c r="S130" i="3"/>
  <c r="S320" i="3"/>
  <c r="B279" i="3"/>
  <c r="D279" i="3" s="1"/>
  <c r="B208" i="3"/>
  <c r="D208" i="3" s="1"/>
  <c r="D207" i="3"/>
  <c r="X260" i="3"/>
  <c r="S260" i="3"/>
  <c r="S122" i="3"/>
  <c r="X122" i="3"/>
  <c r="R53" i="3"/>
  <c r="X53" i="3" s="1"/>
  <c r="R336" i="3"/>
  <c r="X336" i="3" s="1"/>
  <c r="X200" i="3"/>
  <c r="S200" i="3"/>
  <c r="S155" i="3"/>
  <c r="X155" i="3"/>
  <c r="X118" i="3"/>
  <c r="S118" i="3"/>
  <c r="S284" i="3"/>
  <c r="X284" i="3"/>
  <c r="X147" i="3"/>
  <c r="S147" i="3"/>
  <c r="X108" i="3"/>
  <c r="K338" i="3"/>
  <c r="X266" i="3"/>
  <c r="S266" i="3"/>
  <c r="S6" i="3"/>
  <c r="X6" i="3"/>
  <c r="S204" i="3"/>
  <c r="N310" i="3"/>
  <c r="W278" i="3"/>
  <c r="S225" i="3"/>
  <c r="X225" i="3"/>
  <c r="S290" i="3"/>
  <c r="X290" i="3"/>
  <c r="S94" i="3"/>
  <c r="X94" i="3"/>
  <c r="S76" i="3"/>
  <c r="X76" i="3"/>
  <c r="X304" i="3"/>
  <c r="S291" i="3"/>
  <c r="X291" i="3"/>
  <c r="S275" i="3"/>
  <c r="X275" i="3"/>
  <c r="S137" i="3"/>
  <c r="X137" i="3"/>
  <c r="S30" i="3"/>
  <c r="S311" i="3"/>
  <c r="X311" i="3"/>
  <c r="S219" i="3"/>
  <c r="X219" i="3"/>
  <c r="X70" i="3"/>
  <c r="S70" i="3"/>
  <c r="S110" i="3"/>
  <c r="X110" i="3"/>
  <c r="X186" i="3"/>
  <c r="S186" i="3"/>
  <c r="X305" i="3"/>
  <c r="N250" i="3"/>
  <c r="X43" i="3"/>
  <c r="D114" i="3"/>
  <c r="R153" i="3"/>
  <c r="X153" i="3" s="1"/>
  <c r="R62" i="3"/>
  <c r="X62" i="3" s="1"/>
  <c r="S236" i="3"/>
  <c r="X236" i="3"/>
  <c r="R215" i="3"/>
  <c r="X215" i="3" s="1"/>
  <c r="X173" i="3"/>
  <c r="S173" i="3"/>
  <c r="X222" i="3"/>
  <c r="S222" i="3"/>
  <c r="X319" i="3"/>
  <c r="S319" i="3"/>
  <c r="X217" i="3"/>
  <c r="S217" i="3"/>
  <c r="S330" i="3"/>
  <c r="X330" i="3"/>
  <c r="S57" i="3"/>
  <c r="X57" i="3"/>
  <c r="S18" i="3"/>
  <c r="X18" i="3"/>
  <c r="R300" i="4"/>
  <c r="W300" i="4"/>
  <c r="R225" i="4"/>
  <c r="W225" i="4"/>
  <c r="N337" i="4"/>
  <c r="P337" i="4"/>
  <c r="O337" i="4"/>
  <c r="R119" i="4"/>
  <c r="W119" i="4"/>
  <c r="R18" i="4"/>
  <c r="W18" i="4"/>
  <c r="R288" i="4"/>
  <c r="W288" i="4"/>
  <c r="N310" i="4"/>
  <c r="O310" i="4"/>
  <c r="P310" i="4"/>
  <c r="R140" i="4"/>
  <c r="W140" i="4"/>
  <c r="N37" i="4"/>
  <c r="O37" i="4"/>
  <c r="P37" i="4"/>
  <c r="D208" i="4"/>
  <c r="H208" i="4"/>
  <c r="O278" i="4"/>
  <c r="P278" i="4"/>
  <c r="N278" i="4"/>
  <c r="W181" i="4"/>
  <c r="R181" i="4"/>
  <c r="R55" i="4"/>
  <c r="W55" i="4"/>
  <c r="R30" i="4"/>
  <c r="W30" i="4"/>
  <c r="I339" i="4"/>
  <c r="I338" i="4"/>
  <c r="R200" i="4"/>
  <c r="W200" i="4"/>
  <c r="R34" i="4"/>
  <c r="W34" i="4"/>
  <c r="R269" i="4"/>
  <c r="W269" i="4"/>
  <c r="R14" i="4"/>
  <c r="W14" i="4"/>
  <c r="R209" i="4"/>
  <c r="W209" i="4"/>
  <c r="R290" i="4"/>
  <c r="W290" i="4"/>
  <c r="Q184" i="4"/>
  <c r="W184" i="4" s="1"/>
  <c r="N230" i="4"/>
  <c r="O230" i="4"/>
  <c r="P230" i="4"/>
  <c r="R213" i="4"/>
  <c r="W213" i="4"/>
  <c r="R203" i="4"/>
  <c r="W203" i="4"/>
  <c r="R8" i="4"/>
  <c r="W8" i="4"/>
  <c r="P207" i="4"/>
  <c r="O207" i="4"/>
  <c r="N207" i="4"/>
  <c r="Q336" i="4"/>
  <c r="W336" i="4" s="1"/>
  <c r="W312" i="4"/>
  <c r="R312" i="4"/>
  <c r="Q143" i="4"/>
  <c r="W143" i="4" s="1"/>
  <c r="Q240" i="4"/>
  <c r="W240" i="4" s="1"/>
  <c r="Q206" i="4"/>
  <c r="W206" i="4" s="1"/>
  <c r="R271" i="4"/>
  <c r="W271" i="4"/>
  <c r="W189" i="4"/>
  <c r="R189" i="4"/>
  <c r="R236" i="4"/>
  <c r="W236" i="4"/>
  <c r="D114" i="4"/>
  <c r="H114" i="4"/>
  <c r="Q215" i="4"/>
  <c r="W215" i="4" s="1"/>
  <c r="R157" i="4"/>
  <c r="W157" i="4"/>
  <c r="W159" i="4"/>
  <c r="R159" i="4"/>
  <c r="D279" i="4"/>
  <c r="H279" i="4"/>
  <c r="R232" i="4"/>
  <c r="W232" i="4"/>
  <c r="R243" i="4"/>
  <c r="W243" i="4"/>
  <c r="R42" i="4"/>
  <c r="W42" i="4"/>
  <c r="Q315" i="4"/>
  <c r="W315" i="4" s="1"/>
  <c r="R24" i="4"/>
  <c r="W24" i="4"/>
  <c r="R233" i="4"/>
  <c r="W233" i="4"/>
  <c r="Q277" i="4"/>
  <c r="W277" i="4" s="1"/>
  <c r="R196" i="4"/>
  <c r="W196" i="4"/>
  <c r="W101" i="4"/>
  <c r="R101" i="4"/>
  <c r="R108" i="4"/>
  <c r="W108" i="4"/>
  <c r="D338" i="4"/>
  <c r="H338" i="4"/>
  <c r="R321" i="4"/>
  <c r="W321" i="4"/>
  <c r="R253" i="4"/>
  <c r="W253" i="4"/>
  <c r="R219" i="4"/>
  <c r="W219" i="4"/>
  <c r="R150" i="4"/>
  <c r="W150" i="4"/>
  <c r="Q309" i="4"/>
  <c r="W309" i="4" s="1"/>
  <c r="R284" i="4"/>
  <c r="W284" i="4"/>
  <c r="R280" i="4"/>
  <c r="W280" i="4"/>
  <c r="P144" i="4"/>
  <c r="O144" i="4"/>
  <c r="N144" i="4"/>
  <c r="N113" i="4"/>
  <c r="P113" i="4"/>
  <c r="O113" i="4"/>
  <c r="R48" i="4"/>
  <c r="W48" i="4"/>
  <c r="Q27" i="4"/>
  <c r="W27" i="4" s="1"/>
  <c r="K208" i="3"/>
  <c r="N207" i="3"/>
  <c r="P310" i="3"/>
  <c r="Q310" i="3"/>
  <c r="O310" i="3"/>
  <c r="G338" i="3"/>
  <c r="H338" i="3"/>
  <c r="O63" i="3"/>
  <c r="P63" i="3"/>
  <c r="Q63" i="3"/>
  <c r="L338" i="3"/>
  <c r="G208" i="3"/>
  <c r="H208" i="3"/>
  <c r="N63" i="3"/>
  <c r="K114" i="3"/>
  <c r="R309" i="3"/>
  <c r="X309" i="3" s="1"/>
  <c r="S245" i="3"/>
  <c r="X245" i="3"/>
  <c r="L114" i="3"/>
  <c r="N113" i="3"/>
  <c r="G279" i="3"/>
  <c r="X20" i="3"/>
  <c r="H114" i="3"/>
  <c r="G114" i="3"/>
  <c r="R36" i="3"/>
  <c r="X36" i="3" s="1"/>
  <c r="R263" i="3"/>
  <c r="X263" i="3" s="1"/>
  <c r="W250" i="3"/>
  <c r="Q207" i="3"/>
  <c r="O207" i="3"/>
  <c r="P207" i="3"/>
  <c r="P37" i="3"/>
  <c r="Q37" i="3"/>
  <c r="O37" i="3"/>
  <c r="W207" i="3"/>
  <c r="R249" i="3"/>
  <c r="X249" i="3" s="1"/>
  <c r="K279" i="3"/>
  <c r="N278" i="3"/>
  <c r="O278" i="3"/>
  <c r="P278" i="3"/>
  <c r="Q278" i="3"/>
  <c r="S239" i="3"/>
  <c r="X239" i="3"/>
  <c r="P144" i="3"/>
  <c r="Q144" i="3"/>
  <c r="O144" i="3"/>
  <c r="X23" i="3"/>
  <c r="S23" i="3"/>
  <c r="E339" i="3"/>
  <c r="I339" i="3" s="1"/>
  <c r="I338" i="3"/>
  <c r="S47" i="3"/>
  <c r="X47" i="3"/>
  <c r="W230" i="3"/>
  <c r="O175" i="3"/>
  <c r="P175" i="3"/>
  <c r="Q175" i="3"/>
  <c r="N208" i="3" l="1"/>
  <c r="V339" i="4"/>
  <c r="Q250" i="4"/>
  <c r="W250" i="4" s="1"/>
  <c r="S179" i="3"/>
  <c r="Q250" i="3"/>
  <c r="W338" i="3"/>
  <c r="P250" i="3"/>
  <c r="R250" i="3" s="1"/>
  <c r="X250" i="3" s="1"/>
  <c r="X230" i="3"/>
  <c r="W114" i="3"/>
  <c r="X337" i="3"/>
  <c r="R90" i="3"/>
  <c r="X90" i="3" s="1"/>
  <c r="F339" i="3"/>
  <c r="H339" i="3" s="1"/>
  <c r="T339" i="3"/>
  <c r="X113" i="3"/>
  <c r="M339" i="3"/>
  <c r="Q113" i="4"/>
  <c r="W113" i="4" s="1"/>
  <c r="Q337" i="4"/>
  <c r="W337" i="4" s="1"/>
  <c r="Q144" i="4"/>
  <c r="W144" i="4" s="1"/>
  <c r="V339" i="3"/>
  <c r="W208" i="3"/>
  <c r="U339" i="3"/>
  <c r="B339" i="3"/>
  <c r="D339" i="3" s="1"/>
  <c r="W279" i="3"/>
  <c r="R175" i="3"/>
  <c r="X175" i="3" s="1"/>
  <c r="R144" i="3"/>
  <c r="X144" i="3" s="1"/>
  <c r="R37" i="3"/>
  <c r="X37" i="3" s="1"/>
  <c r="R63" i="3"/>
  <c r="X63" i="3" s="1"/>
  <c r="P338" i="4"/>
  <c r="O338" i="4"/>
  <c r="N338" i="4"/>
  <c r="N279" i="4"/>
  <c r="O279" i="4"/>
  <c r="P279" i="4"/>
  <c r="O208" i="4"/>
  <c r="P208" i="4"/>
  <c r="N208" i="4"/>
  <c r="Q37" i="4"/>
  <c r="W37" i="4" s="1"/>
  <c r="P114" i="4"/>
  <c r="O114" i="4"/>
  <c r="N114" i="4"/>
  <c r="Q207" i="4"/>
  <c r="W207" i="4" s="1"/>
  <c r="Q230" i="4"/>
  <c r="W230" i="4" s="1"/>
  <c r="Q278" i="4"/>
  <c r="W278" i="4" s="1"/>
  <c r="Q310" i="4"/>
  <c r="W310" i="4" s="1"/>
  <c r="D339" i="4"/>
  <c r="H339" i="4"/>
  <c r="R278" i="3"/>
  <c r="X278" i="3" s="1"/>
  <c r="O208" i="3"/>
  <c r="P208" i="3"/>
  <c r="Q208" i="3"/>
  <c r="L339" i="3"/>
  <c r="N338" i="3"/>
  <c r="G339" i="3"/>
  <c r="R310" i="3"/>
  <c r="X310" i="3" s="1"/>
  <c r="R207" i="3"/>
  <c r="X207" i="3" s="1"/>
  <c r="Q279" i="3"/>
  <c r="O279" i="3"/>
  <c r="P279" i="3"/>
  <c r="O338" i="3"/>
  <c r="P338" i="3"/>
  <c r="Q338" i="3"/>
  <c r="N279" i="3"/>
  <c r="K339" i="3"/>
  <c r="N114" i="3"/>
  <c r="P114" i="3"/>
  <c r="Q114" i="3"/>
  <c r="O114" i="3"/>
  <c r="Q338" i="4" l="1"/>
  <c r="W338" i="4" s="1"/>
  <c r="Q279" i="4"/>
  <c r="W279" i="4" s="1"/>
  <c r="W339" i="3"/>
  <c r="R114" i="3"/>
  <c r="X114" i="3" s="1"/>
  <c r="R338" i="3"/>
  <c r="X338" i="3" s="1"/>
  <c r="N339" i="3"/>
  <c r="R208" i="3"/>
  <c r="X208" i="3" s="1"/>
  <c r="O339" i="4"/>
  <c r="P339" i="4"/>
  <c r="N339" i="4"/>
  <c r="Q114" i="4"/>
  <c r="W114" i="4" s="1"/>
  <c r="Q208" i="4"/>
  <c r="W208" i="4" s="1"/>
  <c r="P339" i="3"/>
  <c r="Q339" i="3"/>
  <c r="O339" i="3"/>
  <c r="R279" i="3"/>
  <c r="X279" i="3" s="1"/>
  <c r="Q339" i="4" l="1"/>
  <c r="W339" i="4" s="1"/>
  <c r="R339" i="3"/>
  <c r="X339" i="3" s="1"/>
</calcChain>
</file>

<file path=xl/sharedStrings.xml><?xml version="1.0" encoding="utf-8"?>
<sst xmlns="http://schemas.openxmlformats.org/spreadsheetml/2006/main" count="1076" uniqueCount="356">
  <si>
    <t>National Total</t>
  </si>
  <si>
    <t>East Total</t>
  </si>
  <si>
    <t>Noakhali Zone</t>
  </si>
  <si>
    <t>CTG Area</t>
  </si>
  <si>
    <t>Cox's Bazar</t>
  </si>
  <si>
    <t xml:space="preserve">Ukhia </t>
  </si>
  <si>
    <t>Lohagara_CTG</t>
  </si>
  <si>
    <t>Chattogram Metro</t>
  </si>
  <si>
    <t>Mirsharai</t>
  </si>
  <si>
    <t>Raozan</t>
  </si>
  <si>
    <t>Hathazari</t>
  </si>
  <si>
    <t>Banshkhali</t>
  </si>
  <si>
    <t>Anwara</t>
  </si>
  <si>
    <t>Chakaria</t>
  </si>
  <si>
    <t>Noakhali Area</t>
  </si>
  <si>
    <t>Raipur</t>
  </si>
  <si>
    <t>Lakshmipur Sadar</t>
  </si>
  <si>
    <t>Companiganj_Noakhali</t>
  </si>
  <si>
    <t>Kabirhat</t>
  </si>
  <si>
    <t xml:space="preserve"> Senbag </t>
  </si>
  <si>
    <t>Begumganj</t>
  </si>
  <si>
    <t>Noakhali</t>
  </si>
  <si>
    <t>Sonaimuri</t>
  </si>
  <si>
    <t>Subarnachar</t>
  </si>
  <si>
    <t>Feni Area</t>
  </si>
  <si>
    <t>Sonagazi</t>
  </si>
  <si>
    <t>Parshuram</t>
  </si>
  <si>
    <t>Daganbhuiyan</t>
  </si>
  <si>
    <t>Feni Sadar</t>
  </si>
  <si>
    <t>Cumilla Zone</t>
  </si>
  <si>
    <t>Sylhet Area</t>
  </si>
  <si>
    <t>Sunamganj</t>
  </si>
  <si>
    <t>Jauwabazar</t>
  </si>
  <si>
    <t xml:space="preserve">Golapganj </t>
  </si>
  <si>
    <t>Sylhet sadar</t>
  </si>
  <si>
    <t>Maulvibazar</t>
  </si>
  <si>
    <t>Kulaura</t>
  </si>
  <si>
    <t>Nabiganj</t>
  </si>
  <si>
    <t>Habiganj</t>
  </si>
  <si>
    <t>Kasba</t>
  </si>
  <si>
    <t>Sarail</t>
  </si>
  <si>
    <t>Brahamanbaria</t>
  </si>
  <si>
    <t>Cumilla Area</t>
  </si>
  <si>
    <t>Muradnagar</t>
  </si>
  <si>
    <t>Daudkandi</t>
  </si>
  <si>
    <t>Brahmanpara</t>
  </si>
  <si>
    <t>Burichang</t>
  </si>
  <si>
    <t>Debidwar</t>
  </si>
  <si>
    <t>Chandina</t>
  </si>
  <si>
    <t>Chauddagram</t>
  </si>
  <si>
    <t>Chandpur Area</t>
  </si>
  <si>
    <t>Laksam</t>
  </si>
  <si>
    <t>Monohorgonj</t>
  </si>
  <si>
    <t>Nangalkot</t>
  </si>
  <si>
    <t>Lalmai</t>
  </si>
  <si>
    <t>Barura</t>
  </si>
  <si>
    <t>Matlab</t>
  </si>
  <si>
    <t>Chandpur</t>
  </si>
  <si>
    <t>Hajiganj</t>
  </si>
  <si>
    <t>Kachua_Chandpur</t>
  </si>
  <si>
    <t>West Division</t>
  </si>
  <si>
    <t>Dhaka Zone</t>
  </si>
  <si>
    <t>Narsingdi Area</t>
  </si>
  <si>
    <t>Narayanganj Sadar</t>
  </si>
  <si>
    <t>Bandar</t>
  </si>
  <si>
    <t>Rupganj</t>
  </si>
  <si>
    <t>Narsingdi Sadar</t>
  </si>
  <si>
    <t>Belabo</t>
  </si>
  <si>
    <t>Shibpur</t>
  </si>
  <si>
    <t>Manikganj Area</t>
  </si>
  <si>
    <t>Ghior</t>
  </si>
  <si>
    <t>Manikganj Sadar</t>
  </si>
  <si>
    <t xml:space="preserve"> Saturia</t>
  </si>
  <si>
    <t>Savar</t>
  </si>
  <si>
    <t>Dhamrai</t>
  </si>
  <si>
    <t>Singair</t>
  </si>
  <si>
    <t>Gazipur Area</t>
  </si>
  <si>
    <t>Kaliakair</t>
  </si>
  <si>
    <t>Sreepur</t>
  </si>
  <si>
    <t>Kaliganj_Gazipur</t>
  </si>
  <si>
    <t>Kapasia</t>
  </si>
  <si>
    <t>Gazipur Sadar</t>
  </si>
  <si>
    <t>Dhaka Area</t>
  </si>
  <si>
    <t>Tongibari</t>
  </si>
  <si>
    <t>Munshiganj Sadar</t>
  </si>
  <si>
    <t>Shirajdikhan</t>
  </si>
  <si>
    <t>Dhaka</t>
  </si>
  <si>
    <t>Nawbabganj</t>
  </si>
  <si>
    <t>Dohar</t>
  </si>
  <si>
    <t>Sherpur Zone</t>
  </si>
  <si>
    <t>Netrokona Area</t>
  </si>
  <si>
    <t>Mohanganj</t>
  </si>
  <si>
    <t>Durgapur</t>
  </si>
  <si>
    <t>Netrokona Sadar</t>
  </si>
  <si>
    <t>Tarakanda</t>
  </si>
  <si>
    <t>Mymensingh</t>
  </si>
  <si>
    <t>Haluaghat</t>
  </si>
  <si>
    <t>Gouripur</t>
  </si>
  <si>
    <t>Ishwarganj</t>
  </si>
  <si>
    <t>Sherpur  Area</t>
  </si>
  <si>
    <t>Jhenaigati</t>
  </si>
  <si>
    <t>Nakla</t>
  </si>
  <si>
    <t>Sherpur</t>
  </si>
  <si>
    <t>Rowmari</t>
  </si>
  <si>
    <t>Bakshiganj</t>
  </si>
  <si>
    <t>Dewanganj</t>
  </si>
  <si>
    <t>Madarganj</t>
  </si>
  <si>
    <t>Sarishabari</t>
  </si>
  <si>
    <t>Jamalpur Sadar</t>
  </si>
  <si>
    <t>Mymensingh Zone</t>
  </si>
  <si>
    <t>Kishorganj  Area</t>
  </si>
  <si>
    <t>Karimganj</t>
  </si>
  <si>
    <t>Kishoreganj Sadar</t>
  </si>
  <si>
    <t>Katiadi</t>
  </si>
  <si>
    <t>Bhairab</t>
  </si>
  <si>
    <t>Mymensingh Area</t>
  </si>
  <si>
    <t>Fulbaria-2</t>
  </si>
  <si>
    <t>Fulbaria</t>
  </si>
  <si>
    <t>Bhaluka</t>
  </si>
  <si>
    <t>Gafargaon</t>
  </si>
  <si>
    <t>Trishal</t>
  </si>
  <si>
    <t>Muktagacha</t>
  </si>
  <si>
    <t>Madhupur</t>
  </si>
  <si>
    <t>Dhanbari</t>
  </si>
  <si>
    <t>Tangail Area</t>
  </si>
  <si>
    <t>Sakhipur</t>
  </si>
  <si>
    <t>Mirzapur</t>
  </si>
  <si>
    <t>Delduar</t>
  </si>
  <si>
    <t>Tangail Sadar</t>
  </si>
  <si>
    <t>Kalihati</t>
  </si>
  <si>
    <t>Ghatail</t>
  </si>
  <si>
    <t>South Division</t>
  </si>
  <si>
    <t>Narail Zone</t>
  </si>
  <si>
    <t>Kushtia Area</t>
  </si>
  <si>
    <t>Gangni</t>
  </si>
  <si>
    <t>Meherpur Sadar</t>
  </si>
  <si>
    <t>Damurhuda</t>
  </si>
  <si>
    <t xml:space="preserve">Chuadanga Sadar </t>
  </si>
  <si>
    <t>Daulatpur</t>
  </si>
  <si>
    <t>Mirpur</t>
  </si>
  <si>
    <t>Kumarkhali</t>
  </si>
  <si>
    <t xml:space="preserve">Kushtia Sadar </t>
  </si>
  <si>
    <t xml:space="preserve">Jhenaidah Area </t>
  </si>
  <si>
    <t>Kotchandpur</t>
  </si>
  <si>
    <t>Jhenaidah Sadar</t>
  </si>
  <si>
    <t>Shailkupa</t>
  </si>
  <si>
    <t>Mohammadpur</t>
  </si>
  <si>
    <t>Magura</t>
  </si>
  <si>
    <t xml:space="preserve">Faridpur Area </t>
  </si>
  <si>
    <t>Rajbari</t>
  </si>
  <si>
    <t>Pangsha</t>
  </si>
  <si>
    <t>Faridpur Sadar</t>
  </si>
  <si>
    <t>Bhanga</t>
  </si>
  <si>
    <t>Alfadanga</t>
  </si>
  <si>
    <t>Madhukhali</t>
  </si>
  <si>
    <t>Jashore Area</t>
  </si>
  <si>
    <t>Chaugachha</t>
  </si>
  <si>
    <t>Jashore Sadar</t>
  </si>
  <si>
    <t>Sharsha</t>
  </si>
  <si>
    <t>Keshabpur</t>
  </si>
  <si>
    <t>Monirampur</t>
  </si>
  <si>
    <t>Narail Sadar</t>
  </si>
  <si>
    <t>Bagherpara</t>
  </si>
  <si>
    <t>Kalia</t>
  </si>
  <si>
    <t>Barishal Zone</t>
  </si>
  <si>
    <t>Barguna Area</t>
  </si>
  <si>
    <t>Dashmina</t>
  </si>
  <si>
    <t>Patuakhali</t>
  </si>
  <si>
    <t>Kalapara</t>
  </si>
  <si>
    <t>Amtali</t>
  </si>
  <si>
    <t>Galachipa</t>
  </si>
  <si>
    <t>Patharghata</t>
  </si>
  <si>
    <t xml:space="preserve">Barguna Sadar </t>
  </si>
  <si>
    <t>Taltali</t>
  </si>
  <si>
    <t>Bamna</t>
  </si>
  <si>
    <t>Betagi</t>
  </si>
  <si>
    <t>Barisal Area</t>
  </si>
  <si>
    <t>Charfassion</t>
  </si>
  <si>
    <t>Lalmohan</t>
  </si>
  <si>
    <t>Bhola Sadar</t>
  </si>
  <si>
    <t>Rajapur</t>
  </si>
  <si>
    <t>Jhalokati Sadar</t>
  </si>
  <si>
    <t>Muladi</t>
  </si>
  <si>
    <t>Barishal Sadar</t>
  </si>
  <si>
    <t>Uzirpur</t>
  </si>
  <si>
    <t>Gaurnadi</t>
  </si>
  <si>
    <t>Madaripur Area</t>
  </si>
  <si>
    <t>Muksudpur</t>
  </si>
  <si>
    <t>Kotalipara</t>
  </si>
  <si>
    <t>Gopalganj Sadar</t>
  </si>
  <si>
    <t>Janjira</t>
  </si>
  <si>
    <t>Shariatpur Sadar</t>
  </si>
  <si>
    <t>Damuddya</t>
  </si>
  <si>
    <t>Tekerhat</t>
  </si>
  <si>
    <t>Madaripur Sadar</t>
  </si>
  <si>
    <t>Satkhira Zone</t>
  </si>
  <si>
    <t>Bagerhat Area</t>
  </si>
  <si>
    <t>Mathbaria</t>
  </si>
  <si>
    <t>Pirojpur Sadar</t>
  </si>
  <si>
    <t>Chitalmari</t>
  </si>
  <si>
    <t>Kachua_Bagerhat</t>
  </si>
  <si>
    <t>Morrelganj</t>
  </si>
  <si>
    <t>Fakirhat</t>
  </si>
  <si>
    <t>Bagerhat Sadar</t>
  </si>
  <si>
    <t>Khulna Area</t>
  </si>
  <si>
    <t>Dumuria</t>
  </si>
  <si>
    <t>Phultala</t>
  </si>
  <si>
    <t>Paikgacha</t>
  </si>
  <si>
    <t>Assasuni</t>
  </si>
  <si>
    <t>Koyra-2</t>
  </si>
  <si>
    <t>Koyra-1</t>
  </si>
  <si>
    <t>Dacope</t>
  </si>
  <si>
    <t>Khulna Sadar</t>
  </si>
  <si>
    <t>Terokhada</t>
  </si>
  <si>
    <t xml:space="preserve">Satkhira Area </t>
  </si>
  <si>
    <t>Tala</t>
  </si>
  <si>
    <t>Patkelgata</t>
  </si>
  <si>
    <t>Kalaroa</t>
  </si>
  <si>
    <t>Satkhira-2</t>
  </si>
  <si>
    <t>Satkhira-1</t>
  </si>
  <si>
    <t>Debhata-2</t>
  </si>
  <si>
    <t>Debhata</t>
  </si>
  <si>
    <t>Kaliganj_Satkhira</t>
  </si>
  <si>
    <t>Shyamnagar-2</t>
  </si>
  <si>
    <t>Shyamnagar-1</t>
  </si>
  <si>
    <t>North Division</t>
  </si>
  <si>
    <t>Rajshahi Zone</t>
  </si>
  <si>
    <t>Chapainawabganj Area</t>
  </si>
  <si>
    <t>Gomastapur</t>
  </si>
  <si>
    <t>Chapai Sadar</t>
  </si>
  <si>
    <t>Godagari</t>
  </si>
  <si>
    <t>Shibganj_Chapai</t>
  </si>
  <si>
    <t>Mohanpur</t>
  </si>
  <si>
    <t>Rajshahi Sadar</t>
  </si>
  <si>
    <t>Rajshahi Area</t>
  </si>
  <si>
    <t>Bagha</t>
  </si>
  <si>
    <t>Puthia</t>
  </si>
  <si>
    <t>Manda</t>
  </si>
  <si>
    <t>Niamatpur</t>
  </si>
  <si>
    <t>Bagmara</t>
  </si>
  <si>
    <t>Singra</t>
  </si>
  <si>
    <t>Natore</t>
  </si>
  <si>
    <t>Pabna Area</t>
  </si>
  <si>
    <t>Chatmohar</t>
  </si>
  <si>
    <t>Ishwardi</t>
  </si>
  <si>
    <t>Bhangura</t>
  </si>
  <si>
    <t>Lalpur</t>
  </si>
  <si>
    <t>Pabna Sadar</t>
  </si>
  <si>
    <t>Sujanagar</t>
  </si>
  <si>
    <t>Bogura Zone</t>
  </si>
  <si>
    <t>Sirajgonj Area</t>
  </si>
  <si>
    <t>Tarash</t>
  </si>
  <si>
    <t>Ullapara</t>
  </si>
  <si>
    <t>Bera</t>
  </si>
  <si>
    <t>Kazipur</t>
  </si>
  <si>
    <t>Belkuchi</t>
  </si>
  <si>
    <t>Sirajganj Sadar</t>
  </si>
  <si>
    <t>Bogura  Area</t>
  </si>
  <si>
    <t>Kalai</t>
  </si>
  <si>
    <t>Akkelpur</t>
  </si>
  <si>
    <t>Kahaloo</t>
  </si>
  <si>
    <t>Dupchanchia</t>
  </si>
  <si>
    <t>Sherpur_Bogura</t>
  </si>
  <si>
    <t>Shibganj_Bogura</t>
  </si>
  <si>
    <t>Sonatala</t>
  </si>
  <si>
    <t>Bogura Sadar</t>
  </si>
  <si>
    <t>Naogaon Area</t>
  </si>
  <si>
    <t>Sapahar</t>
  </si>
  <si>
    <t>Porsha</t>
  </si>
  <si>
    <t>Mohadevpur</t>
  </si>
  <si>
    <t>Patnitala</t>
  </si>
  <si>
    <t>Raninagar</t>
  </si>
  <si>
    <t xml:space="preserve">Naogaon Sadar </t>
  </si>
  <si>
    <t>Dhamoirhat</t>
  </si>
  <si>
    <t>Jaypurhat</t>
  </si>
  <si>
    <t>Panchbibi</t>
  </si>
  <si>
    <t>Rangpur Zone</t>
  </si>
  <si>
    <t>Gaibandha Area</t>
  </si>
  <si>
    <t>Piganj_Rangpur</t>
  </si>
  <si>
    <t>Mithapukur</t>
  </si>
  <si>
    <t>Sadullapur</t>
  </si>
  <si>
    <t>Saghata</t>
  </si>
  <si>
    <t>Gaibandha sadar</t>
  </si>
  <si>
    <t>Sundarganj</t>
  </si>
  <si>
    <t>Palashbari</t>
  </si>
  <si>
    <t>Gobindaganj</t>
  </si>
  <si>
    <t>Lalmonirhat Area</t>
  </si>
  <si>
    <t>Lalmonirhat Sadar</t>
  </si>
  <si>
    <t>Kaliganj_Lalmonirhat</t>
  </si>
  <si>
    <t>Aditmari</t>
  </si>
  <si>
    <t>Patgram</t>
  </si>
  <si>
    <t>Hatibandha</t>
  </si>
  <si>
    <t>Nageshwari</t>
  </si>
  <si>
    <t>Fulbari_Kurigram</t>
  </si>
  <si>
    <t>Bhrungamari</t>
  </si>
  <si>
    <t>Rangpur Area</t>
  </si>
  <si>
    <t>Kurigram Sadar</t>
  </si>
  <si>
    <t>Ulipur</t>
  </si>
  <si>
    <t>Pirgacha</t>
  </si>
  <si>
    <t>Gangachara</t>
  </si>
  <si>
    <t>Badarganj</t>
  </si>
  <si>
    <t>Rangpur Sadar</t>
  </si>
  <si>
    <t>Dinajpur Zone</t>
  </si>
  <si>
    <t>Dinajpur Area</t>
  </si>
  <si>
    <t>Nawabganj_Dinajpur</t>
  </si>
  <si>
    <t>Birampur</t>
  </si>
  <si>
    <t>Hakimpur</t>
  </si>
  <si>
    <t>Fulbari_Dinajpur</t>
  </si>
  <si>
    <t>Parbatipur</t>
  </si>
  <si>
    <t>Dinajpur Sadar</t>
  </si>
  <si>
    <t>Chirirbandar</t>
  </si>
  <si>
    <t>Birol</t>
  </si>
  <si>
    <t>Nilphamari Area</t>
  </si>
  <si>
    <t>Kishoreganj_Nilphamari</t>
  </si>
  <si>
    <t>Dimla</t>
  </si>
  <si>
    <t>Sayedpur</t>
  </si>
  <si>
    <t>Nilphamari Sadar</t>
  </si>
  <si>
    <t>Jaldhaka</t>
  </si>
  <si>
    <t>Domar</t>
  </si>
  <si>
    <t>Thakurgaon Area</t>
  </si>
  <si>
    <t>Bochaganj</t>
  </si>
  <si>
    <t>Kaharole</t>
  </si>
  <si>
    <t>Khansama</t>
  </si>
  <si>
    <t>Birganj</t>
  </si>
  <si>
    <t>Thakurgaon Sadar</t>
  </si>
  <si>
    <t>Ranisankail</t>
  </si>
  <si>
    <t>Pirganj_Thakurgaon</t>
  </si>
  <si>
    <t>Panchagarh Area</t>
  </si>
  <si>
    <t>Ruhia</t>
  </si>
  <si>
    <t>Baliadangi</t>
  </si>
  <si>
    <t>Atwari</t>
  </si>
  <si>
    <t>Panchagarh Sadar</t>
  </si>
  <si>
    <t>Tetulia</t>
  </si>
  <si>
    <t>Boda</t>
  </si>
  <si>
    <t>Debiganj</t>
  </si>
  <si>
    <t>total</t>
  </si>
  <si>
    <t>Jun</t>
  </si>
  <si>
    <t>May</t>
  </si>
  <si>
    <t>Apr</t>
  </si>
  <si>
    <t>Contribution 2025</t>
  </si>
  <si>
    <t>Contribution 2026</t>
  </si>
  <si>
    <t>Growth</t>
  </si>
  <si>
    <t>Total</t>
  </si>
  <si>
    <t>Target</t>
  </si>
  <si>
    <t>Collection</t>
  </si>
  <si>
    <t xml:space="preserve">DN </t>
  </si>
  <si>
    <t>April - Jun (Q2)</t>
  </si>
  <si>
    <r>
      <t>Jan - Mar (Q</t>
    </r>
    <r>
      <rPr>
        <b/>
        <vertAlign val="subscript"/>
        <sz val="14"/>
        <color theme="1"/>
        <rFont val="Aptos Narrow"/>
        <family val="2"/>
        <scheme val="minor"/>
      </rPr>
      <t>1</t>
    </r>
    <r>
      <rPr>
        <b/>
        <sz val="14"/>
        <color theme="1"/>
        <rFont val="Aptos Narrow"/>
        <family val="2"/>
        <scheme val="minor"/>
      </rPr>
      <t>)</t>
    </r>
  </si>
  <si>
    <t>Territory</t>
  </si>
  <si>
    <t>East Division</t>
  </si>
  <si>
    <t>Khulna Zone</t>
  </si>
  <si>
    <t>Variance
TOC - TP</t>
  </si>
  <si>
    <t>April - Jun (Q2 - 2025)</t>
  </si>
  <si>
    <t>Target on 2026 Contribution - TOC</t>
  </si>
  <si>
    <t>Target Projected - TP</t>
  </si>
  <si>
    <t>April - Jun (Q2 - 2026)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</si>
</sst>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%"/>
    <numFmt numFmtId="165" formatCode="00000000000"/>
    <numFmt numFmtId="166" formatCode="_(* #,##0_);_(* \(#,##0\);_(* &quot;-&quot;??_);_(@_)"/>
    <numFmt numFmtId="167" formatCode="0.0%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2"/>
      <name val="Arial Narrow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b/>
      <sz val="14"/>
      <color theme="1"/>
      <name val="Aptos Narrow"/>
      <family val="2"/>
      <scheme val="minor"/>
    </font>
    <font>
      <b/>
      <sz val="14"/>
      <color theme="4" tint="-0.249977111117893"/>
      <name val="Arial Narrow"/>
      <family val="2"/>
    </font>
    <font>
      <b/>
      <sz val="14"/>
      <color theme="8" tint="-0.249977111117893"/>
      <name val="Aptos Narrow"/>
      <family val="2"/>
      <scheme val="minor"/>
    </font>
    <font>
      <b/>
      <sz val="14"/>
      <color theme="5" tint="-0.249977111117893"/>
      <name val="Aptos Narrow"/>
      <family val="2"/>
      <scheme val="minor"/>
    </font>
    <font>
      <b/>
      <sz val="14"/>
      <color theme="7" tint="-0.249977111117893"/>
      <name val="Aptos Narrow"/>
      <family val="2"/>
      <scheme val="minor"/>
    </font>
    <font>
      <b/>
      <vertAlign val="subscript"/>
      <sz val="14"/>
      <color theme="1"/>
      <name val="Aptos Narrow"/>
      <family val="2"/>
      <scheme val="minor"/>
    </font>
    <font>
      <sz val="14"/>
      <color rgb="FF000000"/>
      <name val="Arial Narrow"/>
      <family val="2"/>
    </font>
    <font>
      <sz val="12"/>
      <color rgb="FF0070C0"/>
      <name val="Arial Narrow"/>
      <family val="2"/>
    </font>
    <font>
      <sz val="11"/>
      <color rgb="FF0070C0"/>
      <name val="Arial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theme="3" tint="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5" fillId="0" borderId="0">
      <protection locked="0"/>
    </xf>
  </cellStyleXfs>
  <cellXfs count="239">
    <xf numFmtId="0" fontId="0" fillId="0" borderId="0" xfId="0"/>
    <xf numFmtId="1" fontId="0" fillId="0" borderId="0" xfId="2" applyNumberFormat="1" applyFont="1"/>
    <xf numFmtId="10" fontId="0" fillId="0" borderId="0" xfId="2" applyNumberFormat="1" applyFont="1"/>
    <xf numFmtId="9" fontId="0" fillId="0" borderId="0" xfId="2" applyFont="1"/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2" applyNumberFormat="1" applyFont="1"/>
    <xf numFmtId="1" fontId="0" fillId="0" borderId="0" xfId="0" applyNumberFormat="1"/>
    <xf numFmtId="9" fontId="2" fillId="0" borderId="0" xfId="2" applyFont="1"/>
    <xf numFmtId="3" fontId="2" fillId="0" borderId="0" xfId="0" applyNumberFormat="1" applyFont="1"/>
    <xf numFmtId="1" fontId="2" fillId="2" borderId="1" xfId="2" applyNumberFormat="1" applyFont="1" applyFill="1" applyBorder="1" applyAlignment="1">
      <alignment horizontal="center"/>
    </xf>
    <xf numFmtId="9" fontId="2" fillId="2" borderId="2" xfId="2" applyFont="1" applyFill="1" applyBorder="1" applyAlignment="1">
      <alignment horizontal="center"/>
    </xf>
    <xf numFmtId="9" fontId="2" fillId="2" borderId="3" xfId="2" applyFont="1" applyFill="1" applyBorder="1" applyAlignment="1">
      <alignment horizontal="center"/>
    </xf>
    <xf numFmtId="9" fontId="2" fillId="2" borderId="4" xfId="2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 vertical="center"/>
    </xf>
    <xf numFmtId="9" fontId="2" fillId="2" borderId="5" xfId="2" applyFont="1" applyFill="1" applyBorder="1" applyAlignment="1">
      <alignment horizontal="center"/>
    </xf>
    <xf numFmtId="3" fontId="0" fillId="2" borderId="5" xfId="0" applyNumberFormat="1" applyFill="1" applyBorder="1" applyAlignment="1">
      <alignment horizontal="center" vertical="center"/>
    </xf>
    <xf numFmtId="3" fontId="0" fillId="2" borderId="6" xfId="0" applyNumberForma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/>
    </xf>
    <xf numFmtId="1" fontId="2" fillId="3" borderId="1" xfId="2" applyNumberFormat="1" applyFont="1" applyFill="1" applyBorder="1" applyAlignment="1">
      <alignment horizontal="center"/>
    </xf>
    <xf numFmtId="164" fontId="2" fillId="3" borderId="0" xfId="2" applyNumberFormat="1" applyFont="1" applyFill="1" applyBorder="1" applyAlignment="1">
      <alignment horizontal="center"/>
    </xf>
    <xf numFmtId="164" fontId="2" fillId="3" borderId="8" xfId="2" applyNumberFormat="1" applyFont="1" applyFill="1" applyBorder="1" applyAlignment="1">
      <alignment horizontal="center"/>
    </xf>
    <xf numFmtId="9" fontId="2" fillId="3" borderId="9" xfId="2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/>
    </xf>
    <xf numFmtId="3" fontId="2" fillId="3" borderId="10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1" fontId="2" fillId="4" borderId="1" xfId="2" applyNumberFormat="1" applyFont="1" applyFill="1" applyBorder="1" applyAlignment="1">
      <alignment horizontal="center"/>
    </xf>
    <xf numFmtId="164" fontId="2" fillId="4" borderId="0" xfId="2" applyNumberFormat="1" applyFont="1" applyFill="1" applyBorder="1" applyAlignment="1">
      <alignment horizontal="center"/>
    </xf>
    <xf numFmtId="164" fontId="2" fillId="4" borderId="8" xfId="2" applyNumberFormat="1" applyFont="1" applyFill="1" applyBorder="1" applyAlignment="1">
      <alignment horizontal="center"/>
    </xf>
    <xf numFmtId="9" fontId="2" fillId="4" borderId="9" xfId="2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 vertical="center"/>
    </xf>
    <xf numFmtId="9" fontId="2" fillId="4" borderId="1" xfId="2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1" fontId="2" fillId="5" borderId="1" xfId="2" applyNumberFormat="1" applyFont="1" applyFill="1" applyBorder="1" applyAlignment="1">
      <alignment horizontal="center"/>
    </xf>
    <xf numFmtId="10" fontId="2" fillId="5" borderId="0" xfId="2" applyNumberFormat="1" applyFont="1" applyFill="1" applyBorder="1" applyAlignment="1">
      <alignment horizontal="center"/>
    </xf>
    <xf numFmtId="10" fontId="2" fillId="5" borderId="8" xfId="2" applyNumberFormat="1" applyFont="1" applyFill="1" applyBorder="1" applyAlignment="1">
      <alignment horizontal="center"/>
    </xf>
    <xf numFmtId="9" fontId="2" fillId="5" borderId="9" xfId="2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 vertical="center"/>
    </xf>
    <xf numFmtId="9" fontId="2" fillId="5" borderId="1" xfId="2" applyFont="1" applyFill="1" applyBorder="1" applyAlignment="1">
      <alignment horizontal="center"/>
    </xf>
    <xf numFmtId="3" fontId="2" fillId="5" borderId="10" xfId="0" applyNumberFormat="1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1" fontId="1" fillId="0" borderId="8" xfId="2" applyNumberFormat="1" applyFont="1" applyBorder="1" applyAlignment="1">
      <alignment horizontal="center"/>
    </xf>
    <xf numFmtId="1" fontId="1" fillId="0" borderId="13" xfId="2" applyNumberFormat="1" applyFont="1" applyBorder="1" applyAlignment="1">
      <alignment horizontal="center"/>
    </xf>
    <xf numFmtId="164" fontId="1" fillId="0" borderId="0" xfId="2" applyNumberFormat="1" applyFont="1" applyBorder="1" applyAlignment="1">
      <alignment horizontal="center"/>
    </xf>
    <xf numFmtId="164" fontId="1" fillId="0" borderId="8" xfId="2" applyNumberFormat="1" applyFont="1" applyBorder="1" applyAlignment="1">
      <alignment horizontal="center"/>
    </xf>
    <xf numFmtId="9" fontId="0" fillId="0" borderId="14" xfId="2" applyFont="1" applyBorder="1" applyAlignment="1">
      <alignment horizontal="center"/>
    </xf>
    <xf numFmtId="3" fontId="0" fillId="0" borderId="15" xfId="0" applyNumberFormat="1" applyBorder="1" applyAlignment="1">
      <alignment horizontal="center" vertical="center"/>
    </xf>
    <xf numFmtId="9" fontId="0" fillId="0" borderId="0" xfId="2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2" fillId="3" borderId="16" xfId="0" applyFont="1" applyFill="1" applyBorder="1" applyAlignment="1">
      <alignment horizontal="center"/>
    </xf>
    <xf numFmtId="49" fontId="5" fillId="0" borderId="16" xfId="0" quotePrefix="1" applyNumberFormat="1" applyFont="1" applyBorder="1" applyAlignment="1">
      <alignment horizontal="center" vertical="center"/>
    </xf>
    <xf numFmtId="49" fontId="5" fillId="0" borderId="17" xfId="0" quotePrefix="1" applyNumberFormat="1" applyFont="1" applyBorder="1" applyAlignment="1">
      <alignment horizontal="center" vertical="center"/>
    </xf>
    <xf numFmtId="49" fontId="5" fillId="0" borderId="18" xfId="0" quotePrefix="1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1" fontId="4" fillId="4" borderId="19" xfId="0" quotePrefix="1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/>
    </xf>
    <xf numFmtId="0" fontId="9" fillId="4" borderId="11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/>
    </xf>
    <xf numFmtId="0" fontId="10" fillId="0" borderId="16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top"/>
    </xf>
    <xf numFmtId="0" fontId="12" fillId="6" borderId="12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 vertical="top"/>
    </xf>
    <xf numFmtId="0" fontId="12" fillId="4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top"/>
    </xf>
    <xf numFmtId="165" fontId="5" fillId="0" borderId="17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5" fillId="0" borderId="18" xfId="3" applyFont="1" applyBorder="1" applyAlignment="1" applyProtection="1">
      <alignment horizontal="center"/>
    </xf>
    <xf numFmtId="0" fontId="4" fillId="4" borderId="19" xfId="0" applyFont="1" applyFill="1" applyBorder="1" applyAlignment="1">
      <alignment horizontal="center" vertical="center"/>
    </xf>
    <xf numFmtId="1" fontId="1" fillId="0" borderId="20" xfId="2" applyNumberFormat="1" applyFont="1" applyBorder="1" applyAlignment="1">
      <alignment horizontal="center"/>
    </xf>
    <xf numFmtId="1" fontId="1" fillId="0" borderId="16" xfId="2" applyNumberFormat="1" applyFont="1" applyBorder="1" applyAlignment="1">
      <alignment horizontal="center"/>
    </xf>
    <xf numFmtId="164" fontId="1" fillId="0" borderId="15" xfId="2" applyNumberFormat="1" applyFont="1" applyBorder="1" applyAlignment="1">
      <alignment horizontal="center"/>
    </xf>
    <xf numFmtId="164" fontId="1" fillId="0" borderId="20" xfId="2" applyNumberFormat="1" applyFont="1" applyBorder="1" applyAlignment="1">
      <alignment horizontal="center"/>
    </xf>
    <xf numFmtId="9" fontId="0" fillId="0" borderId="21" xfId="2" applyFont="1" applyBorder="1" applyAlignment="1">
      <alignment horizontal="center"/>
    </xf>
    <xf numFmtId="9" fontId="0" fillId="0" borderId="15" xfId="2" applyFont="1" applyBorder="1" applyAlignment="1">
      <alignment horizont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1" fontId="16" fillId="0" borderId="14" xfId="2" applyNumberFormat="1" applyFont="1" applyBorder="1" applyAlignment="1">
      <alignment horizontal="center" vertical="center"/>
    </xf>
    <xf numFmtId="1" fontId="16" fillId="0" borderId="8" xfId="2" applyNumberFormat="1" applyFont="1" applyBorder="1" applyAlignment="1">
      <alignment horizontal="center" vertical="center"/>
    </xf>
    <xf numFmtId="10" fontId="16" fillId="0" borderId="22" xfId="2" applyNumberFormat="1" applyFont="1" applyBorder="1" applyAlignment="1">
      <alignment horizontal="center" vertical="center"/>
    </xf>
    <xf numFmtId="10" fontId="16" fillId="0" borderId="23" xfId="2" applyNumberFormat="1" applyFont="1" applyBorder="1" applyAlignment="1">
      <alignment horizontal="center" vertical="center"/>
    </xf>
    <xf numFmtId="9" fontId="16" fillId="0" borderId="24" xfId="2" applyFont="1" applyBorder="1" applyAlignment="1">
      <alignment horizontal="center" vertical="center"/>
    </xf>
    <xf numFmtId="1" fontId="16" fillId="0" borderId="25" xfId="0" applyNumberFormat="1" applyFont="1" applyBorder="1" applyAlignment="1">
      <alignment horizontal="center" vertical="center"/>
    </xf>
    <xf numFmtId="9" fontId="16" fillId="0" borderId="25" xfId="2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0" borderId="1" xfId="2" applyNumberFormat="1" applyFont="1" applyBorder="1" applyAlignment="1">
      <alignment horizontal="center" vertical="center"/>
    </xf>
    <xf numFmtId="10" fontId="18" fillId="0" borderId="0" xfId="2" applyNumberFormat="1" applyFont="1" applyBorder="1" applyAlignment="1">
      <alignment vertical="center"/>
    </xf>
    <xf numFmtId="9" fontId="18" fillId="0" borderId="1" xfId="2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vertical="center"/>
    </xf>
    <xf numFmtId="10" fontId="16" fillId="0" borderId="0" xfId="2" applyNumberFormat="1" applyFont="1" applyAlignment="1">
      <alignment vertical="center"/>
    </xf>
    <xf numFmtId="1" fontId="16" fillId="0" borderId="0" xfId="0" applyNumberFormat="1" applyFont="1" applyAlignment="1">
      <alignment vertical="center"/>
    </xf>
    <xf numFmtId="166" fontId="5" fillId="0" borderId="0" xfId="1" applyNumberFormat="1" applyFont="1" applyFill="1" applyBorder="1" applyAlignment="1">
      <alignment vertical="center"/>
    </xf>
    <xf numFmtId="166" fontId="22" fillId="0" borderId="0" xfId="1" applyNumberFormat="1" applyFont="1" applyFill="1" applyBorder="1" applyAlignment="1">
      <alignment vertical="center"/>
    </xf>
    <xf numFmtId="0" fontId="4" fillId="0" borderId="0" xfId="0" applyFont="1"/>
    <xf numFmtId="3" fontId="2" fillId="2" borderId="27" xfId="0" applyNumberFormat="1" applyFont="1" applyFill="1" applyBorder="1" applyAlignment="1">
      <alignment horizontal="center" vertical="center"/>
    </xf>
    <xf numFmtId="3" fontId="2" fillId="2" borderId="6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1" fontId="2" fillId="2" borderId="12" xfId="2" applyNumberFormat="1" applyFont="1" applyFill="1" applyBorder="1" applyAlignment="1">
      <alignment horizontal="center"/>
    </xf>
    <xf numFmtId="1" fontId="2" fillId="2" borderId="0" xfId="2" applyNumberFormat="1" applyFont="1" applyFill="1" applyBorder="1" applyAlignment="1">
      <alignment horizontal="center"/>
    </xf>
    <xf numFmtId="9" fontId="2" fillId="2" borderId="1" xfId="2" applyFont="1" applyFill="1" applyBorder="1" applyAlignment="1">
      <alignment horizontal="center"/>
    </xf>
    <xf numFmtId="9" fontId="2" fillId="2" borderId="28" xfId="2" applyFont="1" applyFill="1" applyBorder="1" applyAlignment="1">
      <alignment horizontal="center"/>
    </xf>
    <xf numFmtId="9" fontId="2" fillId="3" borderId="8" xfId="2" applyFont="1" applyFill="1" applyBorder="1" applyAlignment="1">
      <alignment horizontal="center"/>
    </xf>
    <xf numFmtId="3" fontId="2" fillId="3" borderId="7" xfId="0" applyNumberFormat="1" applyFont="1" applyFill="1" applyBorder="1" applyAlignment="1">
      <alignment horizontal="center" vertical="center"/>
    </xf>
    <xf numFmtId="9" fontId="0" fillId="3" borderId="1" xfId="2" applyFont="1" applyFill="1" applyBorder="1" applyAlignment="1">
      <alignment horizontal="center"/>
    </xf>
    <xf numFmtId="1" fontId="2" fillId="3" borderId="12" xfId="2" applyNumberFormat="1" applyFont="1" applyFill="1" applyBorder="1" applyAlignment="1">
      <alignment horizontal="center"/>
    </xf>
    <xf numFmtId="10" fontId="2" fillId="3" borderId="1" xfId="2" applyNumberFormat="1" applyFont="1" applyFill="1" applyBorder="1" applyAlignment="1">
      <alignment horizontal="center"/>
    </xf>
    <xf numFmtId="9" fontId="2" fillId="3" borderId="12" xfId="2" applyFont="1" applyFill="1" applyBorder="1" applyAlignment="1">
      <alignment horizontal="center"/>
    </xf>
    <xf numFmtId="9" fontId="2" fillId="4" borderId="8" xfId="2" applyFont="1" applyFill="1" applyBorder="1" applyAlignment="1">
      <alignment horizontal="center"/>
    </xf>
    <xf numFmtId="3" fontId="2" fillId="4" borderId="7" xfId="0" applyNumberFormat="1" applyFont="1" applyFill="1" applyBorder="1" applyAlignment="1">
      <alignment horizontal="center" vertical="center"/>
    </xf>
    <xf numFmtId="9" fontId="2" fillId="4" borderId="29" xfId="2" applyFont="1" applyFill="1" applyBorder="1" applyAlignment="1">
      <alignment horizontal="center"/>
    </xf>
    <xf numFmtId="1" fontId="2" fillId="4" borderId="12" xfId="2" applyNumberFormat="1" applyFont="1" applyFill="1" applyBorder="1" applyAlignment="1">
      <alignment horizontal="center"/>
    </xf>
    <xf numFmtId="10" fontId="2" fillId="4" borderId="1" xfId="2" applyNumberFormat="1" applyFont="1" applyFill="1" applyBorder="1" applyAlignment="1">
      <alignment horizontal="center"/>
    </xf>
    <xf numFmtId="9" fontId="2" fillId="4" borderId="12" xfId="2" applyFont="1" applyFill="1" applyBorder="1" applyAlignment="1">
      <alignment horizontal="center"/>
    </xf>
    <xf numFmtId="9" fontId="2" fillId="5" borderId="8" xfId="2" applyFont="1" applyFill="1" applyBorder="1" applyAlignment="1">
      <alignment horizontal="center"/>
    </xf>
    <xf numFmtId="3" fontId="2" fillId="5" borderId="7" xfId="0" applyNumberFormat="1" applyFont="1" applyFill="1" applyBorder="1" applyAlignment="1">
      <alignment horizontal="center" vertical="center"/>
    </xf>
    <xf numFmtId="1" fontId="2" fillId="5" borderId="12" xfId="2" applyNumberFormat="1" applyFont="1" applyFill="1" applyBorder="1" applyAlignment="1">
      <alignment horizontal="center"/>
    </xf>
    <xf numFmtId="3" fontId="2" fillId="5" borderId="30" xfId="0" applyNumberFormat="1" applyFont="1" applyFill="1" applyBorder="1" applyAlignment="1">
      <alignment horizontal="center" vertical="center"/>
    </xf>
    <xf numFmtId="10" fontId="2" fillId="5" borderId="1" xfId="2" applyNumberFormat="1" applyFont="1" applyFill="1" applyBorder="1" applyAlignment="1">
      <alignment horizontal="center"/>
    </xf>
    <xf numFmtId="9" fontId="2" fillId="5" borderId="12" xfId="2" applyFont="1" applyFill="1" applyBorder="1" applyAlignment="1">
      <alignment horizontal="center"/>
    </xf>
    <xf numFmtId="9" fontId="0" fillId="0" borderId="8" xfId="2" applyFont="1" applyBorder="1" applyAlignment="1">
      <alignment horizontal="center"/>
    </xf>
    <xf numFmtId="167" fontId="0" fillId="0" borderId="8" xfId="2" applyNumberFormat="1" applyFont="1" applyBorder="1" applyAlignment="1">
      <alignment horizontal="center"/>
    </xf>
    <xf numFmtId="1" fontId="1" fillId="0" borderId="0" xfId="2" applyNumberFormat="1" applyFont="1" applyBorder="1" applyAlignment="1">
      <alignment horizontal="center"/>
    </xf>
    <xf numFmtId="1" fontId="1" fillId="0" borderId="31" xfId="2" applyNumberFormat="1" applyFont="1" applyBorder="1" applyAlignment="1">
      <alignment horizontal="center"/>
    </xf>
    <xf numFmtId="1" fontId="1" fillId="0" borderId="29" xfId="2" applyNumberFormat="1" applyFont="1" applyBorder="1" applyAlignment="1">
      <alignment horizontal="center"/>
    </xf>
    <xf numFmtId="3" fontId="0" fillId="0" borderId="13" xfId="0" applyNumberFormat="1" applyBorder="1" applyAlignment="1">
      <alignment horizontal="center" vertical="center"/>
    </xf>
    <xf numFmtId="164" fontId="1" fillId="0" borderId="32" xfId="2" applyNumberFormat="1" applyFont="1" applyBorder="1" applyAlignment="1">
      <alignment horizontal="center"/>
    </xf>
    <xf numFmtId="164" fontId="1" fillId="0" borderId="33" xfId="2" applyNumberFormat="1" applyFont="1" applyBorder="1" applyAlignment="1">
      <alignment horizontal="center"/>
    </xf>
    <xf numFmtId="0" fontId="23" fillId="0" borderId="16" xfId="0" applyFont="1" applyBorder="1" applyAlignment="1">
      <alignment horizontal="center" vertical="center"/>
    </xf>
    <xf numFmtId="1" fontId="1" fillId="0" borderId="32" xfId="2" applyNumberFormat="1" applyFont="1" applyBorder="1" applyAlignment="1">
      <alignment horizontal="center"/>
    </xf>
    <xf numFmtId="1" fontId="1" fillId="0" borderId="33" xfId="2" applyNumberFormat="1" applyFont="1" applyBorder="1" applyAlignment="1">
      <alignment horizontal="center"/>
    </xf>
    <xf numFmtId="1" fontId="1" fillId="0" borderId="26" xfId="2" applyNumberFormat="1" applyFont="1" applyBorder="1" applyAlignment="1">
      <alignment horizontal="center"/>
    </xf>
    <xf numFmtId="1" fontId="1" fillId="0" borderId="25" xfId="2" applyNumberFormat="1" applyFont="1" applyBorder="1" applyAlignment="1">
      <alignment horizontal="center"/>
    </xf>
    <xf numFmtId="3" fontId="2" fillId="5" borderId="34" xfId="0" applyNumberFormat="1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3" fontId="2" fillId="4" borderId="35" xfId="0" applyNumberFormat="1" applyFont="1" applyFill="1" applyBorder="1" applyAlignment="1">
      <alignment horizontal="center" vertical="center"/>
    </xf>
    <xf numFmtId="3" fontId="2" fillId="3" borderId="35" xfId="0" applyNumberFormat="1" applyFont="1" applyFill="1" applyBorder="1" applyAlignment="1">
      <alignment horizontal="center" vertical="center"/>
    </xf>
    <xf numFmtId="49" fontId="23" fillId="0" borderId="17" xfId="0" quotePrefix="1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/>
    </xf>
    <xf numFmtId="3" fontId="2" fillId="4" borderId="36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24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/>
    </xf>
    <xf numFmtId="3" fontId="2" fillId="4" borderId="26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0" fontId="26" fillId="0" borderId="17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/>
    </xf>
    <xf numFmtId="0" fontId="13" fillId="0" borderId="0" xfId="0" applyFont="1"/>
    <xf numFmtId="9" fontId="13" fillId="0" borderId="8" xfId="2" applyFont="1" applyFill="1" applyBorder="1" applyAlignment="1">
      <alignment horizontal="center"/>
    </xf>
    <xf numFmtId="167" fontId="13" fillId="0" borderId="8" xfId="2" applyNumberFormat="1" applyFont="1" applyFill="1" applyBorder="1" applyAlignment="1">
      <alignment horizontal="center"/>
    </xf>
    <xf numFmtId="1" fontId="13" fillId="0" borderId="13" xfId="2" applyNumberFormat="1" applyFont="1" applyFill="1" applyBorder="1" applyAlignment="1">
      <alignment horizontal="center"/>
    </xf>
    <xf numFmtId="3" fontId="13" fillId="0" borderId="13" xfId="0" applyNumberFormat="1" applyFont="1" applyBorder="1" applyAlignment="1">
      <alignment horizontal="center" vertical="center"/>
    </xf>
    <xf numFmtId="9" fontId="13" fillId="0" borderId="0" xfId="2" applyFont="1" applyFill="1" applyBorder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9" fontId="0" fillId="0" borderId="20" xfId="2" applyFont="1" applyBorder="1" applyAlignment="1">
      <alignment horizontal="center"/>
    </xf>
    <xf numFmtId="3" fontId="0" fillId="0" borderId="16" xfId="0" applyNumberFormat="1" applyBorder="1" applyAlignment="1">
      <alignment horizontal="center" vertical="center"/>
    </xf>
    <xf numFmtId="164" fontId="1" fillId="0" borderId="26" xfId="2" applyNumberFormat="1" applyFont="1" applyBorder="1" applyAlignment="1">
      <alignment horizontal="center"/>
    </xf>
    <xf numFmtId="164" fontId="1" fillId="0" borderId="25" xfId="2" applyNumberFormat="1" applyFont="1" applyBorder="1" applyAlignment="1">
      <alignment horizontal="center"/>
    </xf>
    <xf numFmtId="1" fontId="16" fillId="0" borderId="23" xfId="2" applyNumberFormat="1" applyFont="1" applyBorder="1" applyAlignment="1">
      <alignment vertical="center"/>
    </xf>
    <xf numFmtId="1" fontId="16" fillId="0" borderId="12" xfId="2" applyNumberFormat="1" applyFont="1" applyBorder="1" applyAlignment="1">
      <alignment horizontal="center" vertical="center"/>
    </xf>
    <xf numFmtId="1" fontId="16" fillId="0" borderId="0" xfId="2" applyNumberFormat="1" applyFont="1" applyBorder="1" applyAlignment="1">
      <alignment horizontal="center" vertical="center"/>
    </xf>
    <xf numFmtId="10" fontId="16" fillId="0" borderId="0" xfId="2" applyNumberFormat="1" applyFont="1" applyBorder="1" applyAlignment="1">
      <alignment horizontal="center" vertical="center"/>
    </xf>
    <xf numFmtId="10" fontId="16" fillId="0" borderId="8" xfId="2" applyNumberFormat="1" applyFont="1" applyBorder="1" applyAlignment="1">
      <alignment horizontal="center" vertical="center"/>
    </xf>
    <xf numFmtId="9" fontId="27" fillId="0" borderId="0" xfId="2" applyFont="1" applyBorder="1" applyAlignment="1">
      <alignment horizontal="center"/>
    </xf>
    <xf numFmtId="10" fontId="18" fillId="0" borderId="1" xfId="2" applyNumberFormat="1" applyFont="1" applyBorder="1" applyAlignment="1">
      <alignment horizontal="center" vertical="center"/>
    </xf>
    <xf numFmtId="1" fontId="2" fillId="2" borderId="38" xfId="2" applyNumberFormat="1" applyFont="1" applyFill="1" applyBorder="1" applyAlignment="1">
      <alignment horizontal="center"/>
    </xf>
    <xf numFmtId="1" fontId="2" fillId="3" borderId="29" xfId="2" applyNumberFormat="1" applyFont="1" applyFill="1" applyBorder="1" applyAlignment="1">
      <alignment horizontal="center"/>
    </xf>
    <xf numFmtId="1" fontId="2" fillId="3" borderId="31" xfId="2" applyNumberFormat="1" applyFont="1" applyFill="1" applyBorder="1" applyAlignment="1">
      <alignment horizontal="center"/>
    </xf>
    <xf numFmtId="1" fontId="2" fillId="4" borderId="29" xfId="2" applyNumberFormat="1" applyFont="1" applyFill="1" applyBorder="1" applyAlignment="1">
      <alignment horizontal="center"/>
    </xf>
    <xf numFmtId="1" fontId="2" fillId="4" borderId="31" xfId="2" applyNumberFormat="1" applyFont="1" applyFill="1" applyBorder="1" applyAlignment="1">
      <alignment horizontal="center"/>
    </xf>
    <xf numFmtId="1" fontId="2" fillId="5" borderId="36" xfId="2" applyNumberFormat="1" applyFont="1" applyFill="1" applyBorder="1" applyAlignment="1">
      <alignment horizontal="center"/>
    </xf>
    <xf numFmtId="1" fontId="1" fillId="0" borderId="14" xfId="2" applyNumberFormat="1" applyFont="1" applyBorder="1" applyAlignment="1">
      <alignment horizontal="center"/>
    </xf>
    <xf numFmtId="164" fontId="1" fillId="0" borderId="14" xfId="2" applyNumberFormat="1" applyFont="1" applyBorder="1" applyAlignment="1">
      <alignment horizontal="center"/>
    </xf>
    <xf numFmtId="164" fontId="1" fillId="0" borderId="13" xfId="2" applyNumberFormat="1" applyFont="1" applyBorder="1" applyAlignment="1">
      <alignment horizontal="center"/>
    </xf>
    <xf numFmtId="1" fontId="13" fillId="0" borderId="0" xfId="2" applyNumberFormat="1" applyFont="1" applyFill="1" applyBorder="1" applyAlignment="1">
      <alignment horizontal="center"/>
    </xf>
    <xf numFmtId="1" fontId="13" fillId="0" borderId="14" xfId="2" applyNumberFormat="1" applyFont="1" applyFill="1" applyBorder="1" applyAlignment="1">
      <alignment horizontal="center"/>
    </xf>
    <xf numFmtId="164" fontId="13" fillId="0" borderId="14" xfId="2" applyNumberFormat="1" applyFont="1" applyFill="1" applyBorder="1" applyAlignment="1">
      <alignment horizontal="center"/>
    </xf>
    <xf numFmtId="164" fontId="13" fillId="0" borderId="13" xfId="2" applyNumberFormat="1" applyFont="1" applyFill="1" applyBorder="1" applyAlignment="1">
      <alignment horizontal="center"/>
    </xf>
    <xf numFmtId="1" fontId="1" fillId="0" borderId="21" xfId="2" applyNumberFormat="1" applyFont="1" applyBorder="1" applyAlignment="1">
      <alignment horizontal="center"/>
    </xf>
    <xf numFmtId="164" fontId="1" fillId="0" borderId="21" xfId="2" applyNumberFormat="1" applyFont="1" applyBorder="1" applyAlignment="1">
      <alignment horizontal="center"/>
    </xf>
    <xf numFmtId="164" fontId="1" fillId="0" borderId="16" xfId="2" applyNumberFormat="1" applyFont="1" applyBorder="1" applyAlignment="1">
      <alignment horizontal="center"/>
    </xf>
    <xf numFmtId="1" fontId="18" fillId="0" borderId="12" xfId="2" applyNumberFormat="1" applyFont="1" applyBorder="1" applyAlignment="1">
      <alignment horizontal="center" vertical="center"/>
    </xf>
    <xf numFmtId="1" fontId="16" fillId="0" borderId="0" xfId="2" applyNumberFormat="1" applyFont="1" applyAlignment="1">
      <alignment vertical="center"/>
    </xf>
    <xf numFmtId="2" fontId="16" fillId="0" borderId="0" xfId="2" applyNumberFormat="1" applyFont="1" applyAlignment="1">
      <alignment vertical="center"/>
    </xf>
    <xf numFmtId="3" fontId="28" fillId="0" borderId="1" xfId="0" applyNumberFormat="1" applyFont="1" applyBorder="1" applyAlignment="1">
      <alignment horizontal="center" vertical="center"/>
    </xf>
    <xf numFmtId="9" fontId="28" fillId="0" borderId="1" xfId="2" applyFont="1" applyBorder="1" applyAlignment="1">
      <alignment horizontal="center" vertical="center"/>
    </xf>
    <xf numFmtId="10" fontId="28" fillId="0" borderId="26" xfId="2" applyNumberFormat="1" applyFont="1" applyBorder="1" applyAlignment="1">
      <alignment vertical="center"/>
    </xf>
    <xf numFmtId="1" fontId="28" fillId="0" borderId="1" xfId="2" applyNumberFormat="1" applyFont="1" applyBorder="1" applyAlignment="1">
      <alignment horizontal="center" vertical="center"/>
    </xf>
    <xf numFmtId="1" fontId="16" fillId="8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" fontId="20" fillId="0" borderId="37" xfId="0" applyNumberFormat="1" applyFont="1" applyBorder="1" applyAlignment="1">
      <alignment horizontal="center" vertical="center"/>
    </xf>
    <xf numFmtId="1" fontId="20" fillId="0" borderId="36" xfId="0" applyNumberFormat="1" applyFont="1" applyBorder="1" applyAlignment="1">
      <alignment horizontal="center" vertical="center"/>
    </xf>
    <xf numFmtId="1" fontId="16" fillId="7" borderId="12" xfId="0" applyNumberFormat="1" applyFont="1" applyFill="1" applyBorder="1" applyAlignment="1">
      <alignment horizontal="center" vertical="center"/>
    </xf>
    <xf numFmtId="1" fontId="16" fillId="7" borderId="37" xfId="0" applyNumberFormat="1" applyFont="1" applyFill="1" applyBorder="1" applyAlignment="1">
      <alignment horizontal="center" vertical="center"/>
    </xf>
    <xf numFmtId="1" fontId="16" fillId="7" borderId="36" xfId="0" applyNumberFormat="1" applyFont="1" applyFill="1" applyBorder="1" applyAlignment="1">
      <alignment horizontal="center" vertical="center"/>
    </xf>
    <xf numFmtId="10" fontId="18" fillId="0" borderId="1" xfId="2" applyNumberFormat="1" applyFont="1" applyBorder="1" applyAlignment="1">
      <alignment horizontal="center" vertical="center"/>
    </xf>
    <xf numFmtId="1" fontId="16" fillId="0" borderId="1" xfId="2" applyNumberFormat="1" applyFont="1" applyBorder="1" applyAlignment="1">
      <alignment horizontal="center" vertical="center" wrapText="1"/>
    </xf>
    <xf numFmtId="1" fontId="16" fillId="0" borderId="1" xfId="2" applyNumberFormat="1" applyFont="1" applyBorder="1" applyAlignment="1">
      <alignment horizontal="center" vertical="center"/>
    </xf>
    <xf numFmtId="1" fontId="16" fillId="7" borderId="1" xfId="0" applyNumberFormat="1" applyFont="1" applyFill="1" applyBorder="1" applyAlignment="1">
      <alignment horizontal="center" vertical="center"/>
    </xf>
    <xf numFmtId="3" fontId="20" fillId="0" borderId="1" xfId="0" applyNumberFormat="1" applyFont="1" applyBorder="1" applyAlignment="1">
      <alignment horizontal="center" vertical="center"/>
    </xf>
    <xf numFmtId="9" fontId="20" fillId="0" borderId="1" xfId="2" applyFont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 2 2" xfId="3" xr:uid="{9F81C5C7-77BC-49C4-9679-FE23B31739FE}"/>
    <cellStyle name="Percent" xfId="2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KE\Downloads\Compiled%20-%20Growth%20Analysis%20and%20Forecasting%202026.xlsx" TargetMode="External"/><Relationship Id="rId1" Type="http://schemas.openxmlformats.org/officeDocument/2006/relationships/externalLinkPath" Target="Compiled%20-%20Growth%20Analysis%20and%20Forecasting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cuments\Downloads\Target-25.xlsx" TargetMode="External"/><Relationship Id="rId1" Type="http://schemas.openxmlformats.org/officeDocument/2006/relationships/externalLinkPath" Target="file:///D:\Documents\Downloads\Target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aler wise target-March'26 (2)"/>
      <sheetName val="Jan'26 (3)"/>
      <sheetName val="Feb'26 (2)"/>
      <sheetName val="March-26 (2)"/>
      <sheetName val="Compiled"/>
      <sheetName val="Compiled Final Q1 2026"/>
      <sheetName val="Growth Analysis"/>
      <sheetName val="April - Jun (Q2) COL"/>
      <sheetName val="April - Jun (Q2) DN"/>
      <sheetName val="Notes"/>
      <sheetName val="Jan to Mar 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Territory</v>
          </cell>
        </row>
        <row r="2">
          <cell r="A2"/>
          <cell r="C2" t="str">
            <v>MRT</v>
          </cell>
          <cell r="D2">
            <v>36800</v>
          </cell>
        </row>
        <row r="3">
          <cell r="A3"/>
        </row>
        <row r="4">
          <cell r="A4"/>
          <cell r="B4" t="str">
            <v>April</v>
          </cell>
          <cell r="C4" t="str">
            <v>April AMT</v>
          </cell>
          <cell r="D4" t="str">
            <v>May</v>
          </cell>
          <cell r="E4" t="str">
            <v>May AMT</v>
          </cell>
          <cell r="F4" t="str">
            <v>June</v>
          </cell>
          <cell r="G4" t="str">
            <v>Jun AMT</v>
          </cell>
        </row>
        <row r="5">
          <cell r="A5" t="str">
            <v>Debiganj</v>
          </cell>
          <cell r="B5">
            <v>222.222222222222</v>
          </cell>
          <cell r="C5">
            <v>8177777.7777777696</v>
          </cell>
          <cell r="D5">
            <v>133.33333333333334</v>
          </cell>
          <cell r="E5">
            <v>4906666.666666667</v>
          </cell>
          <cell r="F5">
            <v>142.22222222222223</v>
          </cell>
          <cell r="G5">
            <v>5233777.777777778</v>
          </cell>
        </row>
        <row r="6">
          <cell r="A6" t="str">
            <v>Boda</v>
          </cell>
          <cell r="B6">
            <v>218.25396825396828</v>
          </cell>
          <cell r="C6">
            <v>8031746.0317460326</v>
          </cell>
          <cell r="D6">
            <v>130.95238095238096</v>
          </cell>
          <cell r="E6">
            <v>4819047.6190476194</v>
          </cell>
          <cell r="F6">
            <v>139.6825396825397</v>
          </cell>
          <cell r="G6">
            <v>5140317.4603174608</v>
          </cell>
        </row>
        <row r="7">
          <cell r="A7" t="str">
            <v>Tetulia</v>
          </cell>
          <cell r="B7">
            <v>79.365079365079353</v>
          </cell>
          <cell r="C7">
            <v>2920634.9206349202</v>
          </cell>
          <cell r="D7">
            <v>47.619047619047613</v>
          </cell>
          <cell r="E7">
            <v>1752380.9523809522</v>
          </cell>
          <cell r="F7">
            <v>50.793650793650784</v>
          </cell>
          <cell r="G7">
            <v>1869206.3492063489</v>
          </cell>
        </row>
        <row r="8">
          <cell r="A8" t="str">
            <v>Panchagarh Sadar</v>
          </cell>
          <cell r="B8">
            <v>192.46031746031747</v>
          </cell>
          <cell r="C8">
            <v>7082539.6825396828</v>
          </cell>
          <cell r="D8">
            <v>115.47619047619047</v>
          </cell>
          <cell r="E8">
            <v>4249523.8095238088</v>
          </cell>
          <cell r="F8">
            <v>123.17460317460318</v>
          </cell>
          <cell r="G8">
            <v>4532825.3968253974</v>
          </cell>
        </row>
        <row r="9">
          <cell r="A9" t="str">
            <v>Atwari</v>
          </cell>
          <cell r="B9">
            <v>144.84126984126979</v>
          </cell>
          <cell r="C9">
            <v>5330158.7301587285</v>
          </cell>
          <cell r="D9">
            <v>86.90476190476187</v>
          </cell>
          <cell r="E9">
            <v>3198095.2380952369</v>
          </cell>
          <cell r="F9">
            <v>92.698412698412668</v>
          </cell>
          <cell r="G9">
            <v>3411301.5873015863</v>
          </cell>
        </row>
        <row r="10">
          <cell r="A10" t="str">
            <v>Baliadangi</v>
          </cell>
          <cell r="B10">
            <v>105.15873015873012</v>
          </cell>
          <cell r="C10">
            <v>3869841.2698412687</v>
          </cell>
          <cell r="D10">
            <v>63.095238095238081</v>
          </cell>
          <cell r="E10">
            <v>2321904.7619047612</v>
          </cell>
          <cell r="F10">
            <v>67.301587301587276</v>
          </cell>
          <cell r="G10">
            <v>2476698.4126984118</v>
          </cell>
        </row>
        <row r="11">
          <cell r="A11" t="str">
            <v>Ruhia</v>
          </cell>
          <cell r="B11">
            <v>162.69841269841268</v>
          </cell>
          <cell r="C11">
            <v>5987301.5873015868</v>
          </cell>
          <cell r="D11">
            <v>97.619047619047606</v>
          </cell>
          <cell r="E11">
            <v>3592380.952380952</v>
          </cell>
          <cell r="F11">
            <v>104.12698412698411</v>
          </cell>
          <cell r="G11">
            <v>3831873.0158730154</v>
          </cell>
        </row>
        <row r="12">
          <cell r="A12" t="str">
            <v>Panchagarh Area</v>
          </cell>
          <cell r="B12">
            <v>1125</v>
          </cell>
          <cell r="C12">
            <v>41400000</v>
          </cell>
          <cell r="D12">
            <v>674.99999999999989</v>
          </cell>
          <cell r="E12">
            <v>24839999.999999996</v>
          </cell>
          <cell r="F12">
            <v>719.99999999999989</v>
          </cell>
          <cell r="G12">
            <v>26495999.999999996</v>
          </cell>
        </row>
        <row r="13">
          <cell r="A13" t="str">
            <v>Pirganj_Thakurgaon</v>
          </cell>
          <cell r="B13">
            <v>135</v>
          </cell>
          <cell r="C13">
            <v>4968000</v>
          </cell>
          <cell r="D13">
            <v>81</v>
          </cell>
          <cell r="E13">
            <v>2980800</v>
          </cell>
          <cell r="F13">
            <v>86.399999999999991</v>
          </cell>
          <cell r="G13">
            <v>3179519.9999999995</v>
          </cell>
        </row>
        <row r="14">
          <cell r="A14" t="str">
            <v>Ranisankail</v>
          </cell>
          <cell r="B14">
            <v>207</v>
          </cell>
          <cell r="C14">
            <v>7617600</v>
          </cell>
          <cell r="D14">
            <v>124.19999999999999</v>
          </cell>
          <cell r="E14">
            <v>4570560</v>
          </cell>
          <cell r="F14">
            <v>132.47999999999999</v>
          </cell>
          <cell r="G14">
            <v>4875264</v>
          </cell>
        </row>
        <row r="15">
          <cell r="A15" t="str">
            <v>Thakurgaon Sadar</v>
          </cell>
          <cell r="B15">
            <v>215.99999999999994</v>
          </cell>
          <cell r="C15">
            <v>7948799.9999999981</v>
          </cell>
          <cell r="D15">
            <v>129.59999999999997</v>
          </cell>
          <cell r="E15">
            <v>4769279.9999999991</v>
          </cell>
          <cell r="F15">
            <v>138.23999999999998</v>
          </cell>
          <cell r="G15">
            <v>5087231.9999999991</v>
          </cell>
        </row>
        <row r="16">
          <cell r="A16" t="str">
            <v>Birganj</v>
          </cell>
          <cell r="B16">
            <v>135</v>
          </cell>
          <cell r="C16">
            <v>4968000</v>
          </cell>
          <cell r="D16">
            <v>81</v>
          </cell>
          <cell r="E16">
            <v>2980800</v>
          </cell>
          <cell r="F16">
            <v>86.399999999999991</v>
          </cell>
          <cell r="G16">
            <v>3179519.9999999995</v>
          </cell>
        </row>
        <row r="17">
          <cell r="A17" t="str">
            <v>Khansama</v>
          </cell>
          <cell r="B17">
            <v>135</v>
          </cell>
          <cell r="C17">
            <v>4968000</v>
          </cell>
          <cell r="D17">
            <v>81</v>
          </cell>
          <cell r="E17">
            <v>2980800</v>
          </cell>
          <cell r="F17">
            <v>86.399999999999991</v>
          </cell>
          <cell r="G17">
            <v>3179519.9999999995</v>
          </cell>
        </row>
        <row r="18">
          <cell r="A18" t="str">
            <v>Kaharole</v>
          </cell>
          <cell r="B18">
            <v>135</v>
          </cell>
          <cell r="C18">
            <v>4968000</v>
          </cell>
          <cell r="D18">
            <v>81</v>
          </cell>
          <cell r="E18">
            <v>2980800</v>
          </cell>
          <cell r="F18">
            <v>86.399999999999991</v>
          </cell>
          <cell r="G18">
            <v>3179519.9999999995</v>
          </cell>
        </row>
        <row r="19">
          <cell r="A19" t="str">
            <v>Bochaganj</v>
          </cell>
          <cell r="B19">
            <v>162.00000000000003</v>
          </cell>
          <cell r="C19">
            <v>5961600.0000000009</v>
          </cell>
          <cell r="D19">
            <v>97.200000000000017</v>
          </cell>
          <cell r="E19">
            <v>3576960.0000000005</v>
          </cell>
          <cell r="F19">
            <v>103.68000000000002</v>
          </cell>
          <cell r="G19">
            <v>3815424.0000000009</v>
          </cell>
        </row>
        <row r="20">
          <cell r="A20" t="str">
            <v>Thakurgaon Area</v>
          </cell>
          <cell r="B20">
            <v>1125</v>
          </cell>
          <cell r="C20">
            <v>41400000</v>
          </cell>
          <cell r="D20">
            <v>675</v>
          </cell>
          <cell r="E20">
            <v>24840000</v>
          </cell>
          <cell r="F20">
            <v>720</v>
          </cell>
          <cell r="G20">
            <v>26496000</v>
          </cell>
        </row>
        <row r="21">
          <cell r="A21" t="str">
            <v>Domar</v>
          </cell>
          <cell r="B21">
            <v>121.62162162162164</v>
          </cell>
          <cell r="C21">
            <v>4475675.6756756762</v>
          </cell>
          <cell r="D21">
            <v>72.972972972972983</v>
          </cell>
          <cell r="E21">
            <v>2685405.4054054059</v>
          </cell>
          <cell r="F21">
            <v>77.837837837837853</v>
          </cell>
          <cell r="G21">
            <v>2864432.4324324331</v>
          </cell>
        </row>
        <row r="22">
          <cell r="A22" t="str">
            <v>Jaldhaka</v>
          </cell>
          <cell r="B22">
            <v>162.16216216216213</v>
          </cell>
          <cell r="C22">
            <v>5967567.5675675664</v>
          </cell>
          <cell r="D22">
            <v>97.297297297297277</v>
          </cell>
          <cell r="E22">
            <v>3580540.5405405397</v>
          </cell>
          <cell r="F22">
            <v>103.78378378378376</v>
          </cell>
          <cell r="G22">
            <v>3819243.2432432426</v>
          </cell>
        </row>
        <row r="23">
          <cell r="A23" t="str">
            <v>Nilphamari Sadar</v>
          </cell>
          <cell r="B23">
            <v>141.89189189189185</v>
          </cell>
          <cell r="C23">
            <v>5221621.6216216199</v>
          </cell>
          <cell r="D23">
            <v>85.135135135135116</v>
          </cell>
          <cell r="E23">
            <v>3132972.9729729723</v>
          </cell>
          <cell r="F23">
            <v>90.810810810810793</v>
          </cell>
          <cell r="G23">
            <v>3341837.8378378372</v>
          </cell>
        </row>
        <row r="24">
          <cell r="A24" t="str">
            <v>Sayedpur</v>
          </cell>
          <cell r="B24">
            <v>101.35135135135134</v>
          </cell>
          <cell r="C24">
            <v>3729729.7297297292</v>
          </cell>
          <cell r="D24">
            <v>60.810810810810807</v>
          </cell>
          <cell r="E24">
            <v>2237837.8378378376</v>
          </cell>
          <cell r="F24">
            <v>64.864864864864856</v>
          </cell>
          <cell r="G24">
            <v>2387027.0270270268</v>
          </cell>
        </row>
        <row r="25">
          <cell r="A25" t="str">
            <v>Dimla</v>
          </cell>
          <cell r="B25">
            <v>162.16216216216213</v>
          </cell>
          <cell r="C25">
            <v>5967567.5675675664</v>
          </cell>
          <cell r="D25">
            <v>97.297297297297277</v>
          </cell>
          <cell r="E25">
            <v>3580540.5405405397</v>
          </cell>
          <cell r="F25">
            <v>103.78378378378376</v>
          </cell>
          <cell r="G25">
            <v>3819243.2432432426</v>
          </cell>
        </row>
        <row r="26">
          <cell r="A26" t="str">
            <v>Kishoreganj_Nilphamari</v>
          </cell>
          <cell r="B26">
            <v>60.810810810810821</v>
          </cell>
          <cell r="C26">
            <v>2237837.8378378381</v>
          </cell>
          <cell r="D26">
            <v>36.486486486486491</v>
          </cell>
          <cell r="E26">
            <v>1342702.702702703</v>
          </cell>
          <cell r="F26">
            <v>38.918918918918926</v>
          </cell>
          <cell r="G26">
            <v>1432216.2162162166</v>
          </cell>
        </row>
        <row r="27">
          <cell r="A27" t="str">
            <v>Nilphamari Area</v>
          </cell>
          <cell r="B27">
            <v>750</v>
          </cell>
          <cell r="C27">
            <v>27600000</v>
          </cell>
          <cell r="D27">
            <v>449.99999999999994</v>
          </cell>
          <cell r="E27">
            <v>16559999.999999998</v>
          </cell>
          <cell r="F27">
            <v>479.99999999999989</v>
          </cell>
          <cell r="G27">
            <v>17663999.999999996</v>
          </cell>
        </row>
        <row r="28">
          <cell r="A28" t="str">
            <v>Birol</v>
          </cell>
          <cell r="B28">
            <v>284.41596945576504</v>
          </cell>
          <cell r="C28">
            <v>10466507.675972153</v>
          </cell>
          <cell r="D28">
            <v>170.64958167345901</v>
          </cell>
          <cell r="E28">
            <v>6279904.6055832915</v>
          </cell>
          <cell r="F28">
            <v>182.02622045168962</v>
          </cell>
          <cell r="G28">
            <v>6698564.912622178</v>
          </cell>
        </row>
        <row r="29">
          <cell r="A29" t="str">
            <v>Chirirbandar</v>
          </cell>
          <cell r="B29">
            <v>284.41596945576504</v>
          </cell>
          <cell r="C29">
            <v>10466507.675972153</v>
          </cell>
          <cell r="D29">
            <v>170.64958167345901</v>
          </cell>
          <cell r="E29">
            <v>6279904.6055832915</v>
          </cell>
          <cell r="F29">
            <v>182.02622045168962</v>
          </cell>
          <cell r="G29">
            <v>6698564.912622178</v>
          </cell>
        </row>
        <row r="30">
          <cell r="A30" t="str">
            <v>Dinajpur Sadar</v>
          </cell>
          <cell r="B30">
            <v>255.97437251018852</v>
          </cell>
          <cell r="C30">
            <v>9419856.9083749373</v>
          </cell>
          <cell r="D30">
            <v>153.5846235061131</v>
          </cell>
          <cell r="E30">
            <v>5651914.1450249618</v>
          </cell>
          <cell r="F30">
            <v>163.82359840652063</v>
          </cell>
          <cell r="G30">
            <v>6028708.4213599591</v>
          </cell>
        </row>
        <row r="31">
          <cell r="A31" t="str">
            <v>Parbatipur</v>
          </cell>
          <cell r="B31">
            <v>170.64958167345904</v>
          </cell>
          <cell r="C31">
            <v>6279904.6055832924</v>
          </cell>
          <cell r="D31">
            <v>102.38974900407543</v>
          </cell>
          <cell r="E31">
            <v>3767942.7633499755</v>
          </cell>
          <cell r="F31">
            <v>109.21573227101378</v>
          </cell>
          <cell r="G31">
            <v>4019138.947573307</v>
          </cell>
        </row>
        <row r="32">
          <cell r="A32" t="str">
            <v>Fulbari_Dinajpur</v>
          </cell>
          <cell r="B32">
            <v>170.64958167345904</v>
          </cell>
          <cell r="C32">
            <v>6279904.6055832924</v>
          </cell>
          <cell r="D32">
            <v>102.38974900407543</v>
          </cell>
          <cell r="E32">
            <v>3767942.7633499755</v>
          </cell>
          <cell r="F32">
            <v>109.21573227101378</v>
          </cell>
          <cell r="G32">
            <v>4019138.947573307</v>
          </cell>
        </row>
        <row r="33">
          <cell r="A33" t="str">
            <v>Hakimpur</v>
          </cell>
          <cell r="B33">
            <v>85.32479083672952</v>
          </cell>
          <cell r="C33">
            <v>3139952.3027916462</v>
          </cell>
          <cell r="D33">
            <v>51.194874502037713</v>
          </cell>
          <cell r="E33">
            <v>1883971.3816749877</v>
          </cell>
          <cell r="F33">
            <v>54.607866135506889</v>
          </cell>
          <cell r="G33">
            <v>2009569.4737866535</v>
          </cell>
        </row>
        <row r="34">
          <cell r="A34" t="str">
            <v>Birampur</v>
          </cell>
          <cell r="B34">
            <v>94.805323151921669</v>
          </cell>
          <cell r="C34">
            <v>3488835.8919907175</v>
          </cell>
          <cell r="D34">
            <v>56.883193891153006</v>
          </cell>
          <cell r="E34">
            <v>2093301.5351944307</v>
          </cell>
          <cell r="F34">
            <v>60.67540681722987</v>
          </cell>
          <cell r="G34">
            <v>2232854.970874059</v>
          </cell>
        </row>
        <row r="35">
          <cell r="A35" t="str">
            <v>Nawabganj_Dinajpur</v>
          </cell>
          <cell r="B35">
            <v>228.76441124271196</v>
          </cell>
          <cell r="C35">
            <v>8418530.3337318003</v>
          </cell>
          <cell r="D35">
            <v>137.25864674562717</v>
          </cell>
          <cell r="E35">
            <v>5051118.20023908</v>
          </cell>
          <cell r="F35">
            <v>146.40922319533564</v>
          </cell>
          <cell r="G35">
            <v>5387859.4135883516</v>
          </cell>
        </row>
        <row r="36">
          <cell r="A36" t="str">
            <v>Dinajpur Area</v>
          </cell>
          <cell r="B36">
            <v>1574.9999999999998</v>
          </cell>
          <cell r="C36">
            <v>57959999.999999993</v>
          </cell>
          <cell r="D36">
            <v>944.99999999999977</v>
          </cell>
          <cell r="E36">
            <v>34775999.999999993</v>
          </cell>
          <cell r="F36">
            <v>1007.9999999999998</v>
          </cell>
          <cell r="G36">
            <v>37094399.999999993</v>
          </cell>
        </row>
        <row r="37">
          <cell r="A37" t="str">
            <v>Dinajpur Zone</v>
          </cell>
          <cell r="B37">
            <v>4575</v>
          </cell>
          <cell r="C37">
            <v>168360000</v>
          </cell>
          <cell r="D37">
            <v>2745</v>
          </cell>
          <cell r="E37">
            <v>101016000</v>
          </cell>
          <cell r="F37">
            <v>2927.9999999999995</v>
          </cell>
          <cell r="G37">
            <v>107750399.99999999</v>
          </cell>
        </row>
        <row r="38">
          <cell r="A38" t="str">
            <v>Rangpur Sadar</v>
          </cell>
          <cell r="B38">
            <v>136.32180676918037</v>
          </cell>
          <cell r="C38">
            <v>5016642.4891058374</v>
          </cell>
          <cell r="D38">
            <v>81.79308406150821</v>
          </cell>
          <cell r="E38">
            <v>3009985.4934635023</v>
          </cell>
          <cell r="F38">
            <v>87.245956332275426</v>
          </cell>
          <cell r="G38">
            <v>3210651.1930277357</v>
          </cell>
        </row>
        <row r="39">
          <cell r="A39" t="str">
            <v>Badarganj</v>
          </cell>
          <cell r="B39">
            <v>136.32180676918037</v>
          </cell>
          <cell r="C39">
            <v>5016642.4891058374</v>
          </cell>
          <cell r="D39">
            <v>81.79308406150821</v>
          </cell>
          <cell r="E39">
            <v>3009985.4934635023</v>
          </cell>
          <cell r="F39">
            <v>87.245956332275426</v>
          </cell>
          <cell r="G39">
            <v>3210651.1930277357</v>
          </cell>
        </row>
        <row r="40">
          <cell r="A40" t="str">
            <v>Gangachara</v>
          </cell>
          <cell r="B40">
            <v>136.32180676918037</v>
          </cell>
          <cell r="C40">
            <v>5016642.4891058374</v>
          </cell>
          <cell r="D40">
            <v>81.79308406150821</v>
          </cell>
          <cell r="E40">
            <v>3009985.4934635023</v>
          </cell>
          <cell r="F40">
            <v>87.245956332275426</v>
          </cell>
          <cell r="G40">
            <v>3210651.1930277357</v>
          </cell>
        </row>
        <row r="41">
          <cell r="A41" t="str">
            <v>Pirgacha</v>
          </cell>
          <cell r="B41">
            <v>136.32180676918037</v>
          </cell>
          <cell r="C41">
            <v>5016642.4891058374</v>
          </cell>
          <cell r="D41">
            <v>81.79308406150821</v>
          </cell>
          <cell r="E41">
            <v>3009985.4934635023</v>
          </cell>
          <cell r="F41">
            <v>87.245956332275426</v>
          </cell>
          <cell r="G41">
            <v>3210651.1930277357</v>
          </cell>
        </row>
        <row r="42">
          <cell r="A42" t="str">
            <v>Ulipur</v>
          </cell>
          <cell r="B42">
            <v>118.44353702895997</v>
          </cell>
          <cell r="C42">
            <v>4358722.1626657266</v>
          </cell>
          <cell r="D42">
            <v>71.066122217375977</v>
          </cell>
          <cell r="E42">
            <v>2615233.2975994358</v>
          </cell>
          <cell r="F42">
            <v>75.803863698534386</v>
          </cell>
          <cell r="G42">
            <v>2789582.1841060654</v>
          </cell>
        </row>
        <row r="43">
          <cell r="A43" t="str">
            <v>Kurigram Sadar</v>
          </cell>
          <cell r="B43">
            <v>197.2692358943186</v>
          </cell>
          <cell r="C43">
            <v>7259507.8809109246</v>
          </cell>
          <cell r="D43">
            <v>118.36154153659116</v>
          </cell>
          <cell r="E43">
            <v>4355704.7285465552</v>
          </cell>
          <cell r="F43">
            <v>126.25231097236392</v>
          </cell>
          <cell r="G43">
            <v>4646085.0437829923</v>
          </cell>
        </row>
        <row r="44">
          <cell r="A44" t="str">
            <v>Rangpur Area</v>
          </cell>
          <cell r="B44">
            <v>724.67819323081972</v>
          </cell>
          <cell r="C44">
            <v>26668157.510894164</v>
          </cell>
          <cell r="D44">
            <v>434.80691593849178</v>
          </cell>
          <cell r="E44">
            <v>16000894.506536497</v>
          </cell>
          <cell r="F44">
            <v>463.79404366772451</v>
          </cell>
          <cell r="G44">
            <v>17067620.806972262</v>
          </cell>
        </row>
        <row r="45">
          <cell r="A45" t="str">
            <v>Bhrungamari</v>
          </cell>
          <cell r="B45">
            <v>162</v>
          </cell>
          <cell r="C45">
            <v>5961600</v>
          </cell>
          <cell r="D45">
            <v>97.2</v>
          </cell>
          <cell r="E45">
            <v>3576960</v>
          </cell>
          <cell r="F45">
            <v>103.68</v>
          </cell>
          <cell r="G45">
            <v>3815424.0000000005</v>
          </cell>
        </row>
        <row r="46">
          <cell r="A46" t="str">
            <v>Fulbari_Kurigram</v>
          </cell>
          <cell r="B46">
            <v>162</v>
          </cell>
          <cell r="C46">
            <v>5961600</v>
          </cell>
          <cell r="D46">
            <v>97.2</v>
          </cell>
          <cell r="E46">
            <v>3576960</v>
          </cell>
          <cell r="F46">
            <v>103.68</v>
          </cell>
          <cell r="G46">
            <v>3815424.0000000005</v>
          </cell>
        </row>
        <row r="47">
          <cell r="A47" t="str">
            <v>Nageshwari</v>
          </cell>
          <cell r="B47">
            <v>177</v>
          </cell>
          <cell r="C47">
            <v>6513600</v>
          </cell>
          <cell r="D47">
            <v>106.2</v>
          </cell>
          <cell r="E47">
            <v>3908160</v>
          </cell>
          <cell r="F47">
            <v>113.28</v>
          </cell>
          <cell r="G47">
            <v>4168704</v>
          </cell>
        </row>
        <row r="48">
          <cell r="A48" t="str">
            <v>Hatibandha</v>
          </cell>
          <cell r="B48">
            <v>89.999999999999986</v>
          </cell>
          <cell r="C48">
            <v>3311999.9999999995</v>
          </cell>
          <cell r="D48">
            <v>53.999999999999993</v>
          </cell>
          <cell r="E48">
            <v>1987199.9999999998</v>
          </cell>
          <cell r="F48">
            <v>57.599999999999994</v>
          </cell>
          <cell r="G48">
            <v>2119680</v>
          </cell>
        </row>
        <row r="49">
          <cell r="A49" t="str">
            <v>Patgram</v>
          </cell>
          <cell r="B49">
            <v>138</v>
          </cell>
          <cell r="C49">
            <v>5078400</v>
          </cell>
          <cell r="D49">
            <v>82.8</v>
          </cell>
          <cell r="E49">
            <v>3047040</v>
          </cell>
          <cell r="F49">
            <v>88.320000000000007</v>
          </cell>
          <cell r="G49">
            <v>3250176.0000000005</v>
          </cell>
        </row>
        <row r="50">
          <cell r="A50" t="str">
            <v>Aditmari</v>
          </cell>
          <cell r="B50">
            <v>108</v>
          </cell>
          <cell r="C50">
            <v>3974400</v>
          </cell>
          <cell r="D50">
            <v>64.8</v>
          </cell>
          <cell r="E50">
            <v>2384640</v>
          </cell>
          <cell r="F50">
            <v>69.12</v>
          </cell>
          <cell r="G50">
            <v>2543616</v>
          </cell>
        </row>
        <row r="51">
          <cell r="A51" t="str">
            <v>Kaliganj_Lalmonirhat</v>
          </cell>
          <cell r="B51">
            <v>162</v>
          </cell>
          <cell r="C51">
            <v>5961600</v>
          </cell>
          <cell r="D51">
            <v>97.2</v>
          </cell>
          <cell r="E51">
            <v>3576960</v>
          </cell>
          <cell r="F51">
            <v>103.68</v>
          </cell>
          <cell r="G51">
            <v>3815424.0000000005</v>
          </cell>
        </row>
        <row r="52">
          <cell r="A52" t="str">
            <v>Lalmonirhat Sadar</v>
          </cell>
          <cell r="B52">
            <v>126</v>
          </cell>
          <cell r="C52">
            <v>4636800</v>
          </cell>
          <cell r="D52">
            <v>75.600000000000009</v>
          </cell>
          <cell r="E52">
            <v>2782080.0000000005</v>
          </cell>
          <cell r="F52">
            <v>80.64</v>
          </cell>
          <cell r="G52">
            <v>2967552</v>
          </cell>
        </row>
        <row r="53">
          <cell r="A53" t="str">
            <v>Lalmonirhat Area</v>
          </cell>
          <cell r="B53">
            <v>1125</v>
          </cell>
          <cell r="C53">
            <v>41400000</v>
          </cell>
          <cell r="D53">
            <v>675.00000000000011</v>
          </cell>
          <cell r="E53">
            <v>24840000.000000004</v>
          </cell>
          <cell r="F53">
            <v>720.00000000000011</v>
          </cell>
          <cell r="G53">
            <v>26496000.000000004</v>
          </cell>
        </row>
        <row r="54">
          <cell r="A54" t="str">
            <v>Gobindaganj</v>
          </cell>
          <cell r="B54">
            <v>351.36258952231771</v>
          </cell>
          <cell r="C54">
            <v>12930143.294421291</v>
          </cell>
          <cell r="D54">
            <v>210.81755371339062</v>
          </cell>
          <cell r="E54">
            <v>7758085.976652775</v>
          </cell>
          <cell r="F54">
            <v>224.87205729428331</v>
          </cell>
          <cell r="G54">
            <v>8275291.7084296262</v>
          </cell>
        </row>
        <row r="55">
          <cell r="A55" t="str">
            <v>Palashbari</v>
          </cell>
          <cell r="B55">
            <v>210.81755371339065</v>
          </cell>
          <cell r="C55">
            <v>7758085.9766527759</v>
          </cell>
          <cell r="D55">
            <v>126.4905322280344</v>
          </cell>
          <cell r="E55">
            <v>4654851.5859916657</v>
          </cell>
          <cell r="F55">
            <v>134.92323437657001</v>
          </cell>
          <cell r="G55">
            <v>4965175.0250577759</v>
          </cell>
        </row>
        <row r="56">
          <cell r="A56" t="str">
            <v>Sundarganj</v>
          </cell>
          <cell r="B56">
            <v>105.40877685669533</v>
          </cell>
          <cell r="C56">
            <v>3879042.9883263879</v>
          </cell>
          <cell r="D56">
            <v>63.245266114017198</v>
          </cell>
          <cell r="E56">
            <v>2327425.7929958329</v>
          </cell>
          <cell r="F56">
            <v>67.461617188285004</v>
          </cell>
          <cell r="G56">
            <v>2482587.5125288879</v>
          </cell>
        </row>
        <row r="57">
          <cell r="A57" t="str">
            <v>Gaibandha sadar</v>
          </cell>
          <cell r="B57">
            <v>456.77136637901299</v>
          </cell>
          <cell r="C57">
            <v>16809186.282747678</v>
          </cell>
          <cell r="D57">
            <v>274.06281982740779</v>
          </cell>
          <cell r="E57">
            <v>10085511.769648606</v>
          </cell>
          <cell r="F57">
            <v>292.33367448256831</v>
          </cell>
          <cell r="G57">
            <v>10757879.220958514</v>
          </cell>
        </row>
        <row r="58">
          <cell r="A58" t="str">
            <v>Saghata</v>
          </cell>
          <cell r="B58">
            <v>176.01206951808271</v>
          </cell>
          <cell r="C58">
            <v>6477244.1582654435</v>
          </cell>
          <cell r="D58">
            <v>105.60724171084964</v>
          </cell>
          <cell r="E58">
            <v>3886346.4949592664</v>
          </cell>
          <cell r="F58">
            <v>112.64772449157294</v>
          </cell>
          <cell r="G58">
            <v>4145436.2612898843</v>
          </cell>
        </row>
        <row r="59">
          <cell r="A59" t="str">
            <v>Sadullapur</v>
          </cell>
          <cell r="B59">
            <v>211.5529681707724</v>
          </cell>
          <cell r="C59">
            <v>7785149.2286844244</v>
          </cell>
          <cell r="D59">
            <v>126.93178090246344</v>
          </cell>
          <cell r="E59">
            <v>4671089.5372106545</v>
          </cell>
          <cell r="F59">
            <v>135.39389962929434</v>
          </cell>
          <cell r="G59">
            <v>4982495.5063580321</v>
          </cell>
        </row>
        <row r="60">
          <cell r="A60" t="str">
            <v>Mithapukur</v>
          </cell>
          <cell r="B60">
            <v>210.81755371339065</v>
          </cell>
          <cell r="C60">
            <v>7758085.9766527759</v>
          </cell>
          <cell r="D60">
            <v>126.4905322280344</v>
          </cell>
          <cell r="E60">
            <v>4654851.5859916657</v>
          </cell>
          <cell r="F60">
            <v>134.92323437657001</v>
          </cell>
          <cell r="G60">
            <v>4965175.0250577759</v>
          </cell>
        </row>
        <row r="61">
          <cell r="A61" t="str">
            <v>Piganj_Rangpur</v>
          </cell>
          <cell r="B61">
            <v>152.25712212633769</v>
          </cell>
          <cell r="C61">
            <v>5603062.0942492271</v>
          </cell>
          <cell r="D61">
            <v>91.354273275802612</v>
          </cell>
          <cell r="E61">
            <v>3361837.2565495363</v>
          </cell>
          <cell r="F61">
            <v>97.444558160856118</v>
          </cell>
          <cell r="G61">
            <v>3585959.7403195053</v>
          </cell>
        </row>
        <row r="62">
          <cell r="A62" t="str">
            <v>Gaibandha Area</v>
          </cell>
          <cell r="B62">
            <v>2011.3218067691805</v>
          </cell>
          <cell r="C62">
            <v>74016642.489105836</v>
          </cell>
          <cell r="D62">
            <v>1206.7930840615081</v>
          </cell>
          <cell r="E62">
            <v>44409985.493463501</v>
          </cell>
          <cell r="F62">
            <v>1287.2459563322755</v>
          </cell>
          <cell r="G62">
            <v>47370651.193027735</v>
          </cell>
        </row>
        <row r="63">
          <cell r="A63" t="str">
            <v>Rangpur Zone</v>
          </cell>
          <cell r="B63">
            <v>3861</v>
          </cell>
          <cell r="C63">
            <v>142084800</v>
          </cell>
          <cell r="D63">
            <v>2316.6</v>
          </cell>
          <cell r="E63">
            <v>85250880</v>
          </cell>
          <cell r="F63">
            <v>2471.04</v>
          </cell>
          <cell r="G63">
            <v>90934272</v>
          </cell>
        </row>
        <row r="64">
          <cell r="A64" t="str">
            <v>Panchbibi</v>
          </cell>
          <cell r="B64">
            <v>226.19047619047618</v>
          </cell>
          <cell r="C64">
            <v>8323809.5238095233</v>
          </cell>
          <cell r="D64">
            <v>135.71428571428569</v>
          </cell>
          <cell r="E64">
            <v>4994285.7142857136</v>
          </cell>
          <cell r="F64">
            <v>144.76190476190476</v>
          </cell>
          <cell r="G64">
            <v>5327238.0952380951</v>
          </cell>
        </row>
        <row r="65">
          <cell r="A65" t="str">
            <v>Jaypurhat</v>
          </cell>
          <cell r="B65">
            <v>107.14285714285714</v>
          </cell>
          <cell r="C65">
            <v>3942857.1428571427</v>
          </cell>
          <cell r="D65">
            <v>64.285714285714292</v>
          </cell>
          <cell r="E65">
            <v>2365714.2857142859</v>
          </cell>
          <cell r="F65">
            <v>68.571428571428569</v>
          </cell>
          <cell r="G65">
            <v>2523428.5714285714</v>
          </cell>
        </row>
        <row r="66">
          <cell r="A66" t="str">
            <v>Dhamoirhat</v>
          </cell>
          <cell r="B66">
            <v>150.79365079365078</v>
          </cell>
          <cell r="C66">
            <v>5549206.3492063489</v>
          </cell>
          <cell r="D66">
            <v>90.476190476190467</v>
          </cell>
          <cell r="E66">
            <v>3329523.8095238092</v>
          </cell>
          <cell r="F66">
            <v>96.507936507936506</v>
          </cell>
          <cell r="G66">
            <v>3551492.0634920634</v>
          </cell>
        </row>
        <row r="67">
          <cell r="A67" t="str">
            <v xml:space="preserve">Naogaon Sadar </v>
          </cell>
          <cell r="B67">
            <v>119.04761904761908</v>
          </cell>
          <cell r="C67">
            <v>4380952.3809523825</v>
          </cell>
          <cell r="D67">
            <v>71.428571428571445</v>
          </cell>
          <cell r="E67">
            <v>2628571.4285714291</v>
          </cell>
          <cell r="F67">
            <v>76.190476190476218</v>
          </cell>
          <cell r="G67">
            <v>2803809.5238095247</v>
          </cell>
        </row>
        <row r="68">
          <cell r="A68" t="str">
            <v>Raninagar</v>
          </cell>
          <cell r="B68">
            <v>190.47619047619048</v>
          </cell>
          <cell r="C68">
            <v>7009523.8095238097</v>
          </cell>
          <cell r="D68">
            <v>114.28571428571429</v>
          </cell>
          <cell r="E68">
            <v>4205714.2857142864</v>
          </cell>
          <cell r="F68">
            <v>121.9047619047619</v>
          </cell>
          <cell r="G68">
            <v>4486095.2380952379</v>
          </cell>
        </row>
        <row r="69">
          <cell r="A69" t="str">
            <v>Patnitala</v>
          </cell>
          <cell r="B69">
            <v>198.41269841269843</v>
          </cell>
          <cell r="C69">
            <v>7301587.3015873022</v>
          </cell>
          <cell r="D69">
            <v>119.04761904761907</v>
          </cell>
          <cell r="E69">
            <v>4380952.3809523815</v>
          </cell>
          <cell r="F69">
            <v>126.984126984127</v>
          </cell>
          <cell r="G69">
            <v>4673015.8730158741</v>
          </cell>
        </row>
        <row r="70">
          <cell r="A70" t="str">
            <v>Mohadevpur</v>
          </cell>
          <cell r="B70">
            <v>277.77777777777777</v>
          </cell>
          <cell r="C70">
            <v>10222222.222222222</v>
          </cell>
          <cell r="D70">
            <v>166.66666666666666</v>
          </cell>
          <cell r="E70">
            <v>6133333.333333333</v>
          </cell>
          <cell r="F70">
            <v>177.77777777777777</v>
          </cell>
          <cell r="G70">
            <v>6542222.222222222</v>
          </cell>
        </row>
        <row r="71">
          <cell r="A71" t="str">
            <v>Porsha</v>
          </cell>
          <cell r="B71">
            <v>103.17460317460319</v>
          </cell>
          <cell r="C71">
            <v>3796825.3968253974</v>
          </cell>
          <cell r="D71">
            <v>61.904761904761919</v>
          </cell>
          <cell r="E71">
            <v>2278095.2380952388</v>
          </cell>
          <cell r="F71">
            <v>66.031746031746039</v>
          </cell>
          <cell r="G71">
            <v>2429968.2539682542</v>
          </cell>
        </row>
        <row r="72">
          <cell r="A72" t="str">
            <v>Sapahar</v>
          </cell>
          <cell r="B72">
            <v>126.98412698412699</v>
          </cell>
          <cell r="C72">
            <v>4673015.8730158731</v>
          </cell>
          <cell r="D72">
            <v>76.19047619047619</v>
          </cell>
          <cell r="E72">
            <v>2803809.5238095238</v>
          </cell>
          <cell r="F72">
            <v>81.26984126984128</v>
          </cell>
          <cell r="G72">
            <v>2990730.158730159</v>
          </cell>
        </row>
        <row r="73">
          <cell r="A73" t="str">
            <v>Naogaon Area</v>
          </cell>
          <cell r="B73">
            <v>1500</v>
          </cell>
          <cell r="C73">
            <v>55200000</v>
          </cell>
          <cell r="D73">
            <v>900</v>
          </cell>
          <cell r="E73">
            <v>33120000</v>
          </cell>
          <cell r="F73">
            <v>960.00000000000011</v>
          </cell>
          <cell r="G73">
            <v>35328000.000000007</v>
          </cell>
        </row>
        <row r="74">
          <cell r="A74" t="str">
            <v>Bogura Sadar</v>
          </cell>
          <cell r="B74">
            <v>146.86092715231791</v>
          </cell>
          <cell r="C74">
            <v>5404482.1192052988</v>
          </cell>
          <cell r="D74">
            <v>88.116556291390751</v>
          </cell>
          <cell r="E74">
            <v>3242689.2715231795</v>
          </cell>
          <cell r="F74">
            <v>93.990993377483477</v>
          </cell>
          <cell r="G74">
            <v>3458868.5562913921</v>
          </cell>
        </row>
        <row r="75">
          <cell r="A75" t="str">
            <v>Sonatala</v>
          </cell>
          <cell r="B75">
            <v>91.788079470198682</v>
          </cell>
          <cell r="C75">
            <v>3377801.3245033114</v>
          </cell>
          <cell r="D75">
            <v>55.072847682119203</v>
          </cell>
          <cell r="E75">
            <v>2026680.7947019867</v>
          </cell>
          <cell r="F75">
            <v>58.744370860927155</v>
          </cell>
          <cell r="G75">
            <v>2161792.8476821193</v>
          </cell>
        </row>
        <row r="76">
          <cell r="A76" t="str">
            <v>Shibganj_Bogura</v>
          </cell>
          <cell r="B76">
            <v>219</v>
          </cell>
          <cell r="C76">
            <v>8059200</v>
          </cell>
          <cell r="D76">
            <v>131.4</v>
          </cell>
          <cell r="E76">
            <v>4835520</v>
          </cell>
          <cell r="F76">
            <v>140.16</v>
          </cell>
          <cell r="G76">
            <v>5157888</v>
          </cell>
        </row>
        <row r="77">
          <cell r="A77" t="str">
            <v>Sherpur_Bogura</v>
          </cell>
          <cell r="B77">
            <v>238.64900662251651</v>
          </cell>
          <cell r="C77">
            <v>8782283.4437086079</v>
          </cell>
          <cell r="D77">
            <v>143.18940397350991</v>
          </cell>
          <cell r="E77">
            <v>5269370.0662251646</v>
          </cell>
          <cell r="F77">
            <v>152.73536423841057</v>
          </cell>
          <cell r="G77">
            <v>5620661.4039735086</v>
          </cell>
        </row>
        <row r="78">
          <cell r="A78" t="str">
            <v>Dupchanchia</v>
          </cell>
          <cell r="B78">
            <v>267</v>
          </cell>
          <cell r="C78">
            <v>9825600</v>
          </cell>
          <cell r="D78">
            <v>160.19999999999999</v>
          </cell>
          <cell r="E78">
            <v>5895360</v>
          </cell>
          <cell r="F78">
            <v>170.88</v>
          </cell>
          <cell r="G78">
            <v>6288384</v>
          </cell>
        </row>
        <row r="79">
          <cell r="A79" t="str">
            <v>Kahaloo</v>
          </cell>
          <cell r="B79">
            <v>211.11258278145709</v>
          </cell>
          <cell r="C79">
            <v>7768943.0463576214</v>
          </cell>
          <cell r="D79">
            <v>126.66754966887426</v>
          </cell>
          <cell r="E79">
            <v>4661365.8278145725</v>
          </cell>
          <cell r="F79">
            <v>135.11205298013255</v>
          </cell>
          <cell r="G79">
            <v>4972123.5496688774</v>
          </cell>
        </row>
        <row r="80">
          <cell r="A80" t="str">
            <v>Akkelpur</v>
          </cell>
          <cell r="B80">
            <v>91.788079470198682</v>
          </cell>
          <cell r="C80">
            <v>3377801.3245033114</v>
          </cell>
          <cell r="D80">
            <v>55.072847682119203</v>
          </cell>
          <cell r="E80">
            <v>2026680.7947019867</v>
          </cell>
          <cell r="F80">
            <v>58.744370860927155</v>
          </cell>
          <cell r="G80">
            <v>2161792.8476821193</v>
          </cell>
        </row>
        <row r="81">
          <cell r="A81" t="str">
            <v>Kalai</v>
          </cell>
          <cell r="B81">
            <v>119.3245033112583</v>
          </cell>
          <cell r="C81">
            <v>4391141.7218543049</v>
          </cell>
          <cell r="D81">
            <v>71.594701986754984</v>
          </cell>
          <cell r="E81">
            <v>2634685.0331125832</v>
          </cell>
          <cell r="F81">
            <v>76.367682119205313</v>
          </cell>
          <cell r="G81">
            <v>2810330.7019867557</v>
          </cell>
        </row>
        <row r="82">
          <cell r="A82" t="str">
            <v>Bogura  Area</v>
          </cell>
          <cell r="B82">
            <v>1385.523178807947</v>
          </cell>
          <cell r="C82">
            <v>50987252.980132453</v>
          </cell>
          <cell r="D82">
            <v>831.31390728476845</v>
          </cell>
          <cell r="E82">
            <v>30592351.788079478</v>
          </cell>
          <cell r="F82">
            <v>886.73483443708619</v>
          </cell>
          <cell r="G82">
            <v>32631841.90728477</v>
          </cell>
        </row>
        <row r="83">
          <cell r="A83" t="str">
            <v>Sirajganj Sadar</v>
          </cell>
          <cell r="B83">
            <v>162.96296296296299</v>
          </cell>
          <cell r="C83">
            <v>5997037.0370370382</v>
          </cell>
          <cell r="D83">
            <v>97.7777777777778</v>
          </cell>
          <cell r="E83">
            <v>3598222.2222222229</v>
          </cell>
          <cell r="F83">
            <v>104.29629629629632</v>
          </cell>
          <cell r="G83">
            <v>3838103.7037037048</v>
          </cell>
        </row>
        <row r="84">
          <cell r="A84" t="str">
            <v>Belkuchi</v>
          </cell>
          <cell r="B84">
            <v>71.296296296296291</v>
          </cell>
          <cell r="C84">
            <v>2623703.7037037034</v>
          </cell>
          <cell r="D84">
            <v>42.777777777777771</v>
          </cell>
          <cell r="E84">
            <v>1574222.222222222</v>
          </cell>
          <cell r="F84">
            <v>45.629629629629626</v>
          </cell>
          <cell r="G84">
            <v>1679170.3703703703</v>
          </cell>
        </row>
        <row r="85">
          <cell r="A85" t="str">
            <v>Kazipur</v>
          </cell>
          <cell r="B85">
            <v>101.85185185185186</v>
          </cell>
          <cell r="C85">
            <v>3748148.1481481483</v>
          </cell>
          <cell r="D85">
            <v>61.111111111111121</v>
          </cell>
          <cell r="E85">
            <v>2248888.8888888895</v>
          </cell>
          <cell r="F85">
            <v>65.18518518518519</v>
          </cell>
          <cell r="G85">
            <v>2398814.8148148148</v>
          </cell>
        </row>
        <row r="86">
          <cell r="A86" t="str">
            <v>Bera</v>
          </cell>
          <cell r="B86">
            <v>132.40740740740742</v>
          </cell>
          <cell r="C86">
            <v>4872592.5925925933</v>
          </cell>
          <cell r="D86">
            <v>79.444444444444457</v>
          </cell>
          <cell r="E86">
            <v>2923555.555555556</v>
          </cell>
          <cell r="F86">
            <v>84.740740740740762</v>
          </cell>
          <cell r="G86">
            <v>3118459.2592592603</v>
          </cell>
        </row>
        <row r="87">
          <cell r="A87" t="str">
            <v>Ullapara</v>
          </cell>
          <cell r="B87">
            <v>162.96296296296299</v>
          </cell>
          <cell r="C87">
            <v>5997037.0370370382</v>
          </cell>
          <cell r="D87">
            <v>97.7777777777778</v>
          </cell>
          <cell r="E87">
            <v>3598222.2222222229</v>
          </cell>
          <cell r="F87">
            <v>104.29629629629632</v>
          </cell>
          <cell r="G87">
            <v>3838103.7037037048</v>
          </cell>
        </row>
        <row r="88">
          <cell r="A88" t="str">
            <v>Tarash</v>
          </cell>
          <cell r="B88">
            <v>193.51851851851853</v>
          </cell>
          <cell r="C88">
            <v>7121481.4814814823</v>
          </cell>
          <cell r="D88">
            <v>116.11111111111111</v>
          </cell>
          <cell r="E88">
            <v>4272888.888888889</v>
          </cell>
          <cell r="F88">
            <v>123.85185185185186</v>
          </cell>
          <cell r="G88">
            <v>4557748.1481481483</v>
          </cell>
        </row>
        <row r="89">
          <cell r="A89" t="str">
            <v>Sirajgonj Area</v>
          </cell>
          <cell r="B89">
            <v>825</v>
          </cell>
          <cell r="C89">
            <v>30360000</v>
          </cell>
          <cell r="D89">
            <v>495</v>
          </cell>
          <cell r="E89">
            <v>18216000</v>
          </cell>
          <cell r="F89">
            <v>528.00000000000011</v>
          </cell>
          <cell r="G89">
            <v>19430400.000000004</v>
          </cell>
        </row>
        <row r="90">
          <cell r="A90" t="str">
            <v>Bogura Zone</v>
          </cell>
          <cell r="B90">
            <v>3710.5231788079473</v>
          </cell>
          <cell r="C90">
            <v>136547252.98013246</v>
          </cell>
          <cell r="D90">
            <v>2226.3139072847684</v>
          </cell>
          <cell r="E90">
            <v>81928351.788079485</v>
          </cell>
          <cell r="F90">
            <v>2374.7348344370862</v>
          </cell>
          <cell r="G90">
            <v>87390241.907284766</v>
          </cell>
        </row>
        <row r="91">
          <cell r="A91" t="str">
            <v>Sujanagar</v>
          </cell>
          <cell r="B91">
            <v>142.22665148063783</v>
          </cell>
          <cell r="C91">
            <v>5233940.7744874721</v>
          </cell>
          <cell r="D91">
            <v>85.335990888382682</v>
          </cell>
          <cell r="E91">
            <v>3140364.4646924827</v>
          </cell>
          <cell r="F91">
            <v>91.025056947608206</v>
          </cell>
          <cell r="G91">
            <v>3349722.095671982</v>
          </cell>
        </row>
        <row r="92">
          <cell r="A92" t="str">
            <v>Pabna Sadar</v>
          </cell>
          <cell r="B92">
            <v>142.22665148063783</v>
          </cell>
          <cell r="C92">
            <v>5233940.7744874721</v>
          </cell>
          <cell r="D92">
            <v>85.335990888382682</v>
          </cell>
          <cell r="E92">
            <v>3140364.4646924827</v>
          </cell>
          <cell r="F92">
            <v>91.025056947608206</v>
          </cell>
          <cell r="G92">
            <v>3349722.095671982</v>
          </cell>
        </row>
        <row r="93">
          <cell r="A93" t="str">
            <v>Lalpur</v>
          </cell>
          <cell r="B93">
            <v>324.17425968109336</v>
          </cell>
          <cell r="C93">
            <v>11929612.756264236</v>
          </cell>
          <cell r="D93">
            <v>194.50455580865602</v>
          </cell>
          <cell r="E93">
            <v>7157767.6537585417</v>
          </cell>
          <cell r="F93">
            <v>207.47152619589977</v>
          </cell>
          <cell r="G93">
            <v>7634952.1640091119</v>
          </cell>
        </row>
        <row r="94">
          <cell r="A94" t="str">
            <v>Bhangura</v>
          </cell>
          <cell r="B94">
            <v>102.50569476082006</v>
          </cell>
          <cell r="C94">
            <v>3772209.5671981783</v>
          </cell>
          <cell r="D94">
            <v>61.503416856492038</v>
          </cell>
          <cell r="E94">
            <v>2263325.740318907</v>
          </cell>
          <cell r="F94">
            <v>65.603644646924849</v>
          </cell>
          <cell r="G94">
            <v>2414214.1230068346</v>
          </cell>
        </row>
        <row r="95">
          <cell r="A95" t="str">
            <v>Ishwardi</v>
          </cell>
          <cell r="B95">
            <v>142.22665148063783</v>
          </cell>
          <cell r="C95">
            <v>5233940.7744874721</v>
          </cell>
          <cell r="D95">
            <v>85.335990888382682</v>
          </cell>
          <cell r="E95">
            <v>3140364.4646924827</v>
          </cell>
          <cell r="F95">
            <v>91.025056947608206</v>
          </cell>
          <cell r="G95">
            <v>3349722.095671982</v>
          </cell>
        </row>
        <row r="96">
          <cell r="A96" t="str">
            <v>Chatmohar</v>
          </cell>
          <cell r="B96">
            <v>271.6400911161731</v>
          </cell>
          <cell r="C96">
            <v>9996355.353075169</v>
          </cell>
          <cell r="D96">
            <v>162.98405466970388</v>
          </cell>
          <cell r="E96">
            <v>5997813.2118451027</v>
          </cell>
          <cell r="F96">
            <v>173.84965831435079</v>
          </cell>
          <cell r="G96">
            <v>6397667.4259681087</v>
          </cell>
        </row>
        <row r="97">
          <cell r="A97" t="str">
            <v>Pabna Area</v>
          </cell>
          <cell r="B97">
            <v>1125</v>
          </cell>
          <cell r="C97">
            <v>41400000</v>
          </cell>
          <cell r="D97">
            <v>675</v>
          </cell>
          <cell r="E97">
            <v>24840000</v>
          </cell>
          <cell r="F97">
            <v>720</v>
          </cell>
          <cell r="G97">
            <v>26496000</v>
          </cell>
        </row>
        <row r="98">
          <cell r="A98" t="str">
            <v>Natore</v>
          </cell>
          <cell r="B98">
            <v>203.66379310344828</v>
          </cell>
          <cell r="C98">
            <v>7494827.5862068972</v>
          </cell>
          <cell r="D98">
            <v>122.19827586206897</v>
          </cell>
          <cell r="E98">
            <v>4496896.5517241377</v>
          </cell>
          <cell r="F98">
            <v>130.34482758620689</v>
          </cell>
          <cell r="G98">
            <v>4796689.6551724132</v>
          </cell>
        </row>
        <row r="99">
          <cell r="A99" t="str">
            <v>Singra</v>
          </cell>
          <cell r="B99">
            <v>174.56896551724142</v>
          </cell>
          <cell r="C99">
            <v>6424137.9310344839</v>
          </cell>
          <cell r="D99">
            <v>104.74137931034485</v>
          </cell>
          <cell r="E99">
            <v>3854482.7586206906</v>
          </cell>
          <cell r="F99">
            <v>111.72413793103452</v>
          </cell>
          <cell r="G99">
            <v>4111448.2758620703</v>
          </cell>
        </row>
        <row r="100">
          <cell r="A100" t="str">
            <v>Bagmara</v>
          </cell>
          <cell r="B100">
            <v>203.66379310344828</v>
          </cell>
          <cell r="C100">
            <v>7494827.5862068972</v>
          </cell>
          <cell r="D100">
            <v>122.19827586206897</v>
          </cell>
          <cell r="E100">
            <v>4496896.5517241377</v>
          </cell>
          <cell r="F100">
            <v>130.34482758620689</v>
          </cell>
          <cell r="G100">
            <v>4796689.6551724132</v>
          </cell>
        </row>
        <row r="101">
          <cell r="A101" t="str">
            <v>Niamatpur</v>
          </cell>
          <cell r="B101">
            <v>116.3793103448276</v>
          </cell>
          <cell r="C101">
            <v>4282758.6206896557</v>
          </cell>
          <cell r="D101">
            <v>69.827586206896555</v>
          </cell>
          <cell r="E101">
            <v>2569655.1724137934</v>
          </cell>
          <cell r="F101">
            <v>74.482758620689665</v>
          </cell>
          <cell r="G101">
            <v>2740965.5172413797</v>
          </cell>
        </row>
        <row r="102">
          <cell r="A102" t="str">
            <v>Manda</v>
          </cell>
          <cell r="B102">
            <v>164.87068965517247</v>
          </cell>
          <cell r="C102">
            <v>6067241.3793103471</v>
          </cell>
          <cell r="D102">
            <v>98.922413793103473</v>
          </cell>
          <cell r="E102">
            <v>3640344.827586208</v>
          </cell>
          <cell r="F102">
            <v>105.51724137931038</v>
          </cell>
          <cell r="G102">
            <v>3883034.4827586217</v>
          </cell>
        </row>
        <row r="103">
          <cell r="A103" t="str">
            <v>Puthia</v>
          </cell>
          <cell r="B103">
            <v>116.3793103448276</v>
          </cell>
          <cell r="C103">
            <v>4282758.6206896557</v>
          </cell>
          <cell r="D103">
            <v>69.827586206896555</v>
          </cell>
          <cell r="E103">
            <v>2569655.1724137934</v>
          </cell>
          <cell r="F103">
            <v>74.482758620689665</v>
          </cell>
          <cell r="G103">
            <v>2740965.5172413797</v>
          </cell>
        </row>
        <row r="104">
          <cell r="A104" t="str">
            <v>Bagha</v>
          </cell>
          <cell r="B104">
            <v>145.47413793103451</v>
          </cell>
          <cell r="C104">
            <v>5353448.2758620698</v>
          </cell>
          <cell r="D104">
            <v>87.284482758620712</v>
          </cell>
          <cell r="E104">
            <v>3212068.965517242</v>
          </cell>
          <cell r="F104">
            <v>93.103448275862092</v>
          </cell>
          <cell r="G104">
            <v>3426206.896551725</v>
          </cell>
        </row>
        <row r="105">
          <cell r="A105" t="str">
            <v>Rajshahi Area</v>
          </cell>
          <cell r="B105">
            <v>1125</v>
          </cell>
          <cell r="C105">
            <v>41400000</v>
          </cell>
          <cell r="D105">
            <v>675</v>
          </cell>
          <cell r="E105">
            <v>24840000</v>
          </cell>
          <cell r="F105">
            <v>720</v>
          </cell>
          <cell r="G105">
            <v>26496000</v>
          </cell>
        </row>
        <row r="106">
          <cell r="A106" t="str">
            <v>Rajshahi Sadar</v>
          </cell>
          <cell r="B106">
            <v>139.03606644849725</v>
          </cell>
          <cell r="C106">
            <v>5116527.2453046991</v>
          </cell>
          <cell r="D106">
            <v>83.421639869098357</v>
          </cell>
          <cell r="E106">
            <v>3069916.3471828196</v>
          </cell>
          <cell r="F106">
            <v>88.983082527038249</v>
          </cell>
          <cell r="G106">
            <v>3274577.4369950076</v>
          </cell>
        </row>
        <row r="107">
          <cell r="A107" t="str">
            <v>Mohanpur</v>
          </cell>
          <cell r="B107">
            <v>225.93360797880806</v>
          </cell>
          <cell r="C107">
            <v>8314356.7736201361</v>
          </cell>
          <cell r="D107">
            <v>135.56016478728483</v>
          </cell>
          <cell r="E107">
            <v>4988614.0641720816</v>
          </cell>
          <cell r="F107">
            <v>144.59750910643714</v>
          </cell>
          <cell r="G107">
            <v>5321188.3351168865</v>
          </cell>
        </row>
        <row r="108">
          <cell r="A108" t="str">
            <v>Shibganj_Chapai</v>
          </cell>
          <cell r="B108">
            <v>217.24385382577697</v>
          </cell>
          <cell r="C108">
            <v>7994573.8207885921</v>
          </cell>
          <cell r="D108">
            <v>130.34631229546616</v>
          </cell>
          <cell r="E108">
            <v>4796744.2924731551</v>
          </cell>
          <cell r="F108">
            <v>139.03606644849725</v>
          </cell>
          <cell r="G108">
            <v>5116527.2453046991</v>
          </cell>
        </row>
        <row r="109">
          <cell r="A109" t="str">
            <v>Godagari</v>
          </cell>
          <cell r="B109">
            <v>59.065634849160553</v>
          </cell>
          <cell r="C109">
            <v>2173615.3624491082</v>
          </cell>
          <cell r="D109">
            <v>35.439380909496336</v>
          </cell>
          <cell r="E109">
            <v>1304169.2174694652</v>
          </cell>
          <cell r="F109">
            <v>37.802006303462754</v>
          </cell>
          <cell r="G109">
            <v>1391113.8319674293</v>
          </cell>
        </row>
        <row r="110">
          <cell r="A110" t="str">
            <v>Chapai Sadar</v>
          </cell>
          <cell r="B110">
            <v>85.645170531282815</v>
          </cell>
          <cell r="C110">
            <v>3151742.2755512078</v>
          </cell>
          <cell r="D110">
            <v>51.387102318769685</v>
          </cell>
          <cell r="E110">
            <v>1891045.3653307245</v>
          </cell>
          <cell r="F110">
            <v>54.812909140020999</v>
          </cell>
          <cell r="G110">
            <v>2017115.0563527727</v>
          </cell>
        </row>
        <row r="111">
          <cell r="A111" t="str">
            <v>Gomastapur</v>
          </cell>
          <cell r="B111">
            <v>248.07566636647425</v>
          </cell>
          <cell r="C111">
            <v>9129184.522286253</v>
          </cell>
          <cell r="D111">
            <v>148.84539981988453</v>
          </cell>
          <cell r="E111">
            <v>5477510.7133717509</v>
          </cell>
          <cell r="F111">
            <v>158.7684264745435</v>
          </cell>
          <cell r="G111">
            <v>5842678.0942632006</v>
          </cell>
        </row>
        <row r="112">
          <cell r="A112" t="str">
            <v>Chapainawabganj Area</v>
          </cell>
          <cell r="B112">
            <v>975</v>
          </cell>
          <cell r="C112">
            <v>35880000</v>
          </cell>
          <cell r="D112">
            <v>584.99999999999989</v>
          </cell>
          <cell r="E112">
            <v>21527999.999999996</v>
          </cell>
          <cell r="F112">
            <v>624</v>
          </cell>
          <cell r="G112">
            <v>22963200</v>
          </cell>
        </row>
        <row r="113">
          <cell r="A113" t="str">
            <v>Rajshahi Zone</v>
          </cell>
          <cell r="B113">
            <v>3225</v>
          </cell>
          <cell r="C113">
            <v>118680000</v>
          </cell>
          <cell r="D113">
            <v>1935</v>
          </cell>
          <cell r="E113">
            <v>71208000</v>
          </cell>
          <cell r="F113">
            <v>2064</v>
          </cell>
          <cell r="G113">
            <v>75955200</v>
          </cell>
        </row>
        <row r="114">
          <cell r="A114" t="str">
            <v>North Division</v>
          </cell>
          <cell r="B114">
            <v>15371.5231788079</v>
          </cell>
          <cell r="C114">
            <v>565672052.98013067</v>
          </cell>
          <cell r="D114">
            <v>9222.9139072847684</v>
          </cell>
          <cell r="E114">
            <v>339403231.7880795</v>
          </cell>
          <cell r="F114">
            <v>9837.7748344370848</v>
          </cell>
          <cell r="G114">
            <v>362030113.90728474</v>
          </cell>
        </row>
        <row r="115">
          <cell r="A115" t="str">
            <v>Shyamnagar-1</v>
          </cell>
          <cell r="B115">
            <v>422.54083097685833</v>
          </cell>
          <cell r="C115">
            <v>15549502.579948386</v>
          </cell>
          <cell r="D115">
            <v>253.52449858611502</v>
          </cell>
          <cell r="E115">
            <v>9329701.5479690321</v>
          </cell>
          <cell r="F115">
            <v>270.42613182518937</v>
          </cell>
          <cell r="G115">
            <v>9951681.651166968</v>
          </cell>
        </row>
        <row r="116">
          <cell r="A116" t="str">
            <v>Shyamnagar-2</v>
          </cell>
          <cell r="B116">
            <v>423</v>
          </cell>
          <cell r="C116">
            <v>15566400</v>
          </cell>
          <cell r="D116">
            <v>253.8</v>
          </cell>
          <cell r="E116">
            <v>9339840</v>
          </cell>
          <cell r="F116">
            <v>270.72000000000003</v>
          </cell>
          <cell r="G116">
            <v>9962496.0000000019</v>
          </cell>
        </row>
        <row r="117">
          <cell r="A117" t="str">
            <v>Kaliganj_Satkhira</v>
          </cell>
          <cell r="B117">
            <v>422.54083097685833</v>
          </cell>
          <cell r="C117">
            <v>15549502.579948386</v>
          </cell>
          <cell r="D117">
            <v>253.52449858611502</v>
          </cell>
          <cell r="E117">
            <v>9329701.5479690321</v>
          </cell>
          <cell r="F117">
            <v>270.42613182518937</v>
          </cell>
          <cell r="G117">
            <v>9951681.651166968</v>
          </cell>
        </row>
        <row r="118">
          <cell r="A118" t="str">
            <v>Debhata</v>
          </cell>
          <cell r="B118">
            <v>319.36225597088145</v>
          </cell>
          <cell r="C118">
            <v>11752531.019728437</v>
          </cell>
          <cell r="D118">
            <v>191.61735358252886</v>
          </cell>
          <cell r="E118">
            <v>7051518.6118370621</v>
          </cell>
          <cell r="F118">
            <v>204.39184382136412</v>
          </cell>
          <cell r="G118">
            <v>7521619.8526261998</v>
          </cell>
        </row>
        <row r="119">
          <cell r="A119" t="str">
            <v>Debhata-2</v>
          </cell>
          <cell r="B119">
            <v>319.36225597088145</v>
          </cell>
          <cell r="C119">
            <v>11752531.019728437</v>
          </cell>
          <cell r="D119">
            <v>191.61735358252886</v>
          </cell>
          <cell r="E119">
            <v>7051518.6118370621</v>
          </cell>
          <cell r="F119">
            <v>204.39184382136412</v>
          </cell>
          <cell r="G119">
            <v>7521619.8526261998</v>
          </cell>
        </row>
        <row r="120">
          <cell r="A120" t="str">
            <v>Satkhira-1</v>
          </cell>
          <cell r="B120">
            <v>216.18368096490431</v>
          </cell>
          <cell r="C120">
            <v>7955559.4595084786</v>
          </cell>
          <cell r="D120">
            <v>129.7102085789426</v>
          </cell>
          <cell r="E120">
            <v>4773335.6757050874</v>
          </cell>
          <cell r="F120">
            <v>138.35755581753875</v>
          </cell>
          <cell r="G120">
            <v>5091558.054085426</v>
          </cell>
        </row>
        <row r="121">
          <cell r="A121" t="str">
            <v>Satkhira-2</v>
          </cell>
          <cell r="B121">
            <v>216.18368096490431</v>
          </cell>
          <cell r="C121">
            <v>7955559.4595084786</v>
          </cell>
          <cell r="D121">
            <v>129.7102085789426</v>
          </cell>
          <cell r="E121">
            <v>4773335.6757050874</v>
          </cell>
          <cell r="F121">
            <v>138.35755581753875</v>
          </cell>
          <cell r="G121">
            <v>5091558.054085426</v>
          </cell>
        </row>
        <row r="122">
          <cell r="A122" t="str">
            <v>Kalaroa</v>
          </cell>
          <cell r="B122">
            <v>98.265309529501977</v>
          </cell>
          <cell r="C122">
            <v>3616163.3906856729</v>
          </cell>
          <cell r="D122">
            <v>58.959185717701182</v>
          </cell>
          <cell r="E122">
            <v>2169698.0344114034</v>
          </cell>
          <cell r="F122">
            <v>62.889798098881258</v>
          </cell>
          <cell r="G122">
            <v>2314344.5700388304</v>
          </cell>
        </row>
        <row r="123">
          <cell r="A123" t="str">
            <v>Patkelgata</v>
          </cell>
          <cell r="B123">
            <v>187.01016183417576</v>
          </cell>
          <cell r="C123">
            <v>6881973.9554976681</v>
          </cell>
          <cell r="D123">
            <v>112.20609710050546</v>
          </cell>
          <cell r="E123">
            <v>4129184.3732986008</v>
          </cell>
          <cell r="F123">
            <v>119.68650357387249</v>
          </cell>
          <cell r="G123">
            <v>4404463.3315185076</v>
          </cell>
        </row>
        <row r="124">
          <cell r="A124" t="str">
            <v>Tala</v>
          </cell>
          <cell r="B124">
            <v>187.01016183417576</v>
          </cell>
          <cell r="C124">
            <v>6881973.9554976681</v>
          </cell>
          <cell r="D124">
            <v>112.20609710050546</v>
          </cell>
          <cell r="E124">
            <v>4129184.3732986008</v>
          </cell>
          <cell r="F124">
            <v>119.68650357387249</v>
          </cell>
          <cell r="G124">
            <v>4404463.3315185076</v>
          </cell>
        </row>
        <row r="125">
          <cell r="A125" t="str">
            <v xml:space="preserve">Satkhira Area </v>
          </cell>
          <cell r="B125">
            <v>2811.4591690231423</v>
          </cell>
          <cell r="C125">
            <v>103461697.42005163</v>
          </cell>
          <cell r="D125">
            <v>1686.8755014138853</v>
          </cell>
          <cell r="E125">
            <v>62077018.452030979</v>
          </cell>
          <cell r="F125">
            <v>1799.3338681748105</v>
          </cell>
          <cell r="G125">
            <v>66215486.348833025</v>
          </cell>
        </row>
        <row r="126">
          <cell r="A126" t="str">
            <v>Terokhada</v>
          </cell>
          <cell r="B126">
            <v>183.02752293577976</v>
          </cell>
          <cell r="C126">
            <v>6735412.8440366946</v>
          </cell>
          <cell r="D126">
            <v>109.81651376146786</v>
          </cell>
          <cell r="E126">
            <v>4041247.7064220174</v>
          </cell>
          <cell r="F126">
            <v>117.13761467889906</v>
          </cell>
          <cell r="G126">
            <v>4310664.2201834852</v>
          </cell>
        </row>
        <row r="127">
          <cell r="A127" t="str">
            <v>Khulna Sadar</v>
          </cell>
          <cell r="B127">
            <v>298.62385321100908</v>
          </cell>
          <cell r="C127">
            <v>10989357.798165133</v>
          </cell>
          <cell r="D127">
            <v>179.17431192660544</v>
          </cell>
          <cell r="E127">
            <v>6593614.6788990805</v>
          </cell>
          <cell r="F127">
            <v>191.11926605504578</v>
          </cell>
          <cell r="G127">
            <v>7033188.9908256847</v>
          </cell>
        </row>
        <row r="128">
          <cell r="A128" t="str">
            <v>Dacope</v>
          </cell>
          <cell r="B128">
            <v>327.52293577981652</v>
          </cell>
          <cell r="C128">
            <v>12052844.036697248</v>
          </cell>
          <cell r="D128">
            <v>196.51376146788991</v>
          </cell>
          <cell r="E128">
            <v>7231706.4220183482</v>
          </cell>
          <cell r="F128">
            <v>209.61467889908255</v>
          </cell>
          <cell r="G128">
            <v>7713820.1834862381</v>
          </cell>
        </row>
        <row r="129">
          <cell r="A129" t="str">
            <v>Koyra-1</v>
          </cell>
          <cell r="B129">
            <v>327.52293577981652</v>
          </cell>
          <cell r="C129">
            <v>12052844.036697248</v>
          </cell>
          <cell r="D129">
            <v>196.51376146788991</v>
          </cell>
          <cell r="E129">
            <v>7231706.4220183482</v>
          </cell>
          <cell r="F129">
            <v>209.61467889908255</v>
          </cell>
          <cell r="G129">
            <v>7713820.1834862381</v>
          </cell>
        </row>
        <row r="130">
          <cell r="A130" t="str">
            <v>Koyra-2</v>
          </cell>
          <cell r="B130">
            <v>298.62385321100908</v>
          </cell>
          <cell r="C130">
            <v>10989357.798165133</v>
          </cell>
          <cell r="D130">
            <v>179.17431192660544</v>
          </cell>
          <cell r="E130">
            <v>6593614.6788990805</v>
          </cell>
          <cell r="F130">
            <v>191.11926605504578</v>
          </cell>
          <cell r="G130">
            <v>7033188.9908256847</v>
          </cell>
        </row>
        <row r="131">
          <cell r="A131" t="str">
            <v>Assasuni</v>
          </cell>
          <cell r="B131">
            <v>327.52293577981652</v>
          </cell>
          <cell r="C131">
            <v>12052844.036697248</v>
          </cell>
          <cell r="D131">
            <v>196.51376146788991</v>
          </cell>
          <cell r="E131">
            <v>7231706.4220183482</v>
          </cell>
          <cell r="F131">
            <v>209.61467889908255</v>
          </cell>
          <cell r="G131">
            <v>7713820.1834862381</v>
          </cell>
        </row>
        <row r="132">
          <cell r="A132" t="str">
            <v>Paikgacha</v>
          </cell>
          <cell r="B132">
            <v>269.7247706422018</v>
          </cell>
          <cell r="C132">
            <v>9925871.5596330259</v>
          </cell>
          <cell r="D132">
            <v>161.83486238532106</v>
          </cell>
          <cell r="E132">
            <v>5955522.9357798146</v>
          </cell>
          <cell r="F132">
            <v>172.62385321100913</v>
          </cell>
          <cell r="G132">
            <v>6352557.798165136</v>
          </cell>
        </row>
        <row r="133">
          <cell r="A133" t="str">
            <v>Phultala</v>
          </cell>
          <cell r="B133">
            <v>293.80733944954136</v>
          </cell>
          <cell r="C133">
            <v>10812110.091743123</v>
          </cell>
          <cell r="D133">
            <v>176.28440366972481</v>
          </cell>
          <cell r="E133">
            <v>6487266.0550458729</v>
          </cell>
          <cell r="F133">
            <v>188.03669724770646</v>
          </cell>
          <cell r="G133">
            <v>6919750.4587155972</v>
          </cell>
        </row>
        <row r="134">
          <cell r="A134" t="str">
            <v>Dumuria</v>
          </cell>
          <cell r="B134">
            <v>300</v>
          </cell>
          <cell r="C134">
            <v>11040000</v>
          </cell>
          <cell r="D134">
            <v>180</v>
          </cell>
          <cell r="E134">
            <v>6624000</v>
          </cell>
          <cell r="F134">
            <v>192</v>
          </cell>
          <cell r="G134">
            <v>7065600</v>
          </cell>
        </row>
        <row r="135">
          <cell r="A135" t="str">
            <v>Khulna Area</v>
          </cell>
          <cell r="B135">
            <v>2626.3761467889908</v>
          </cell>
          <cell r="C135">
            <v>96650642.201834857</v>
          </cell>
          <cell r="D135">
            <v>1575.8256880733943</v>
          </cell>
          <cell r="E135">
            <v>57990385.321100913</v>
          </cell>
          <cell r="F135">
            <v>1680.8807339449536</v>
          </cell>
          <cell r="G135">
            <v>61856411.009174295</v>
          </cell>
        </row>
        <row r="136">
          <cell r="A136" t="str">
            <v>Bagerhat Sadar</v>
          </cell>
          <cell r="B136">
            <v>113.70967741935485</v>
          </cell>
          <cell r="C136">
            <v>4184516.1290322584</v>
          </cell>
          <cell r="D136">
            <v>68.225806451612911</v>
          </cell>
          <cell r="E136">
            <v>2510709.6774193551</v>
          </cell>
          <cell r="F136">
            <v>72.774193548387103</v>
          </cell>
          <cell r="G136">
            <v>2678090.3225806453</v>
          </cell>
        </row>
        <row r="137">
          <cell r="A137" t="str">
            <v>Fakirhat</v>
          </cell>
          <cell r="B137">
            <v>113.70967741935485</v>
          </cell>
          <cell r="C137">
            <v>4184516.1290322584</v>
          </cell>
          <cell r="D137">
            <v>68.225806451612911</v>
          </cell>
          <cell r="E137">
            <v>2510709.6774193551</v>
          </cell>
          <cell r="F137">
            <v>72.774193548387103</v>
          </cell>
          <cell r="G137">
            <v>2678090.3225806453</v>
          </cell>
        </row>
        <row r="138">
          <cell r="A138" t="str">
            <v>Morrelganj</v>
          </cell>
          <cell r="B138">
            <v>227.41935483870969</v>
          </cell>
          <cell r="C138">
            <v>8369032.2580645168</v>
          </cell>
          <cell r="D138">
            <v>136.45161290322582</v>
          </cell>
          <cell r="E138">
            <v>5021419.3548387103</v>
          </cell>
          <cell r="F138">
            <v>145.54838709677421</v>
          </cell>
          <cell r="G138">
            <v>5356180.6451612907</v>
          </cell>
        </row>
        <row r="139">
          <cell r="A139" t="str">
            <v>Kachua_Bagerhat</v>
          </cell>
          <cell r="B139">
            <v>150.9677419354839</v>
          </cell>
          <cell r="C139">
            <v>5555612.9032258075</v>
          </cell>
          <cell r="D139">
            <v>90.580645161290334</v>
          </cell>
          <cell r="E139">
            <v>3333367.7419354841</v>
          </cell>
          <cell r="F139">
            <v>96.619354838709697</v>
          </cell>
          <cell r="G139">
            <v>3555592.2580645168</v>
          </cell>
        </row>
        <row r="140">
          <cell r="A140" t="str">
            <v>Chitalmari</v>
          </cell>
          <cell r="B140">
            <v>132.09677419354841</v>
          </cell>
          <cell r="C140">
            <v>4861161.2903225813</v>
          </cell>
          <cell r="D140">
            <v>79.258064516129039</v>
          </cell>
          <cell r="E140">
            <v>2916696.7741935486</v>
          </cell>
          <cell r="F140">
            <v>84.541935483870972</v>
          </cell>
          <cell r="G140">
            <v>3111143.2258064519</v>
          </cell>
        </row>
        <row r="141">
          <cell r="A141" t="str">
            <v>Pirojpur Sadar</v>
          </cell>
          <cell r="B141">
            <v>89.999999999999986</v>
          </cell>
          <cell r="C141">
            <v>3311999.9999999995</v>
          </cell>
          <cell r="D141">
            <v>53.999999999999993</v>
          </cell>
          <cell r="E141">
            <v>1987199.9999999998</v>
          </cell>
          <cell r="F141">
            <v>57.599999999999994</v>
          </cell>
          <cell r="G141">
            <v>2119680</v>
          </cell>
        </row>
        <row r="142">
          <cell r="A142" t="str">
            <v>Mathbaria</v>
          </cell>
          <cell r="B142">
            <v>72</v>
          </cell>
          <cell r="C142">
            <v>2649600</v>
          </cell>
          <cell r="D142">
            <v>43.2</v>
          </cell>
          <cell r="E142">
            <v>1589760</v>
          </cell>
          <cell r="F142">
            <v>46.08</v>
          </cell>
          <cell r="G142">
            <v>1695744</v>
          </cell>
        </row>
        <row r="143">
          <cell r="A143" t="str">
            <v>Bagerhat Area</v>
          </cell>
          <cell r="B143">
            <v>899.9032258064517</v>
          </cell>
          <cell r="C143">
            <v>33116438.709677424</v>
          </cell>
          <cell r="D143">
            <v>539.94193548387113</v>
          </cell>
          <cell r="E143">
            <v>19869863.225806456</v>
          </cell>
          <cell r="F143">
            <v>575.93806451612909</v>
          </cell>
          <cell r="G143">
            <v>21194520.774193551</v>
          </cell>
        </row>
        <row r="144">
          <cell r="A144" t="str">
            <v>Khulna Zone</v>
          </cell>
          <cell r="B144">
            <v>6337.7385416185843</v>
          </cell>
          <cell r="C144">
            <v>233228778.33156389</v>
          </cell>
          <cell r="D144">
            <v>3802.6431249711504</v>
          </cell>
          <cell r="E144">
            <v>139937266.99893832</v>
          </cell>
          <cell r="F144">
            <v>4056.1526666358932</v>
          </cell>
          <cell r="G144">
            <v>149266418.13220087</v>
          </cell>
        </row>
        <row r="145">
          <cell r="A145" t="str">
            <v>Madaripur Sadar</v>
          </cell>
          <cell r="B145">
            <v>36</v>
          </cell>
          <cell r="C145">
            <v>1324800</v>
          </cell>
          <cell r="D145">
            <v>21.6</v>
          </cell>
          <cell r="E145">
            <v>794880</v>
          </cell>
          <cell r="F145">
            <v>23.04</v>
          </cell>
          <cell r="G145">
            <v>847872</v>
          </cell>
        </row>
        <row r="146">
          <cell r="A146" t="str">
            <v>Tekerhat</v>
          </cell>
          <cell r="B146">
            <v>48.000000000000007</v>
          </cell>
          <cell r="C146">
            <v>1766400.0000000002</v>
          </cell>
          <cell r="D146">
            <v>28.8</v>
          </cell>
          <cell r="E146">
            <v>1059840</v>
          </cell>
          <cell r="F146">
            <v>30.720000000000002</v>
          </cell>
          <cell r="G146">
            <v>1130496</v>
          </cell>
        </row>
        <row r="147">
          <cell r="A147" t="str">
            <v>Damuddya</v>
          </cell>
          <cell r="B147">
            <v>36</v>
          </cell>
          <cell r="C147">
            <v>1324800</v>
          </cell>
          <cell r="D147">
            <v>21.6</v>
          </cell>
          <cell r="E147">
            <v>794880</v>
          </cell>
          <cell r="F147">
            <v>23.04</v>
          </cell>
          <cell r="G147">
            <v>847872</v>
          </cell>
        </row>
        <row r="148">
          <cell r="A148" t="str">
            <v>Shariatpur Sadar</v>
          </cell>
          <cell r="B148">
            <v>36</v>
          </cell>
          <cell r="C148">
            <v>1324800</v>
          </cell>
          <cell r="D148">
            <v>21.6</v>
          </cell>
          <cell r="E148">
            <v>794880</v>
          </cell>
          <cell r="F148">
            <v>23.04</v>
          </cell>
          <cell r="G148">
            <v>847872</v>
          </cell>
        </row>
        <row r="149">
          <cell r="A149" t="str">
            <v>Janjira</v>
          </cell>
          <cell r="B149">
            <v>36</v>
          </cell>
          <cell r="C149">
            <v>1324800</v>
          </cell>
          <cell r="D149">
            <v>21.6</v>
          </cell>
          <cell r="E149">
            <v>794880</v>
          </cell>
          <cell r="F149">
            <v>23.04</v>
          </cell>
          <cell r="G149">
            <v>847872</v>
          </cell>
        </row>
        <row r="150">
          <cell r="A150" t="str">
            <v>Gopalganj Sadar</v>
          </cell>
          <cell r="B150">
            <v>18</v>
          </cell>
          <cell r="C150">
            <v>662400</v>
          </cell>
          <cell r="D150">
            <v>10.8</v>
          </cell>
          <cell r="E150">
            <v>397440</v>
          </cell>
          <cell r="F150">
            <v>11.52</v>
          </cell>
          <cell r="G150">
            <v>423936</v>
          </cell>
        </row>
        <row r="151">
          <cell r="A151" t="str">
            <v>Kotalipara</v>
          </cell>
          <cell r="B151">
            <v>18</v>
          </cell>
          <cell r="C151">
            <v>662400</v>
          </cell>
          <cell r="D151">
            <v>10.8</v>
          </cell>
          <cell r="E151">
            <v>397440</v>
          </cell>
          <cell r="F151">
            <v>11.52</v>
          </cell>
          <cell r="G151">
            <v>423936</v>
          </cell>
        </row>
        <row r="152">
          <cell r="A152" t="str">
            <v>Muksudpur</v>
          </cell>
          <cell r="B152">
            <v>108</v>
          </cell>
          <cell r="C152">
            <v>3974400</v>
          </cell>
          <cell r="D152">
            <v>64.8</v>
          </cell>
          <cell r="E152">
            <v>2384640</v>
          </cell>
          <cell r="F152">
            <v>69.12</v>
          </cell>
          <cell r="G152">
            <v>2543616</v>
          </cell>
        </row>
        <row r="153">
          <cell r="A153" t="str">
            <v>Madaripur Area</v>
          </cell>
          <cell r="B153">
            <v>336</v>
          </cell>
          <cell r="C153">
            <v>12364800</v>
          </cell>
          <cell r="D153">
            <v>201.60000000000002</v>
          </cell>
          <cell r="E153">
            <v>7418880.0000000009</v>
          </cell>
          <cell r="F153">
            <v>215.04000000000002</v>
          </cell>
          <cell r="G153">
            <v>7913472.0000000009</v>
          </cell>
        </row>
        <row r="154">
          <cell r="A154" t="str">
            <v>Gaurnadi</v>
          </cell>
          <cell r="B154">
            <v>83.999999999999986</v>
          </cell>
          <cell r="C154">
            <v>3091199.9999999995</v>
          </cell>
          <cell r="D154">
            <v>50.4</v>
          </cell>
          <cell r="E154">
            <v>1854720</v>
          </cell>
          <cell r="F154">
            <v>53.76</v>
          </cell>
          <cell r="G154">
            <v>1978368</v>
          </cell>
        </row>
        <row r="155">
          <cell r="A155" t="str">
            <v>Uzirpur</v>
          </cell>
          <cell r="B155">
            <v>54</v>
          </cell>
          <cell r="C155">
            <v>1987200</v>
          </cell>
          <cell r="D155">
            <v>32.4</v>
          </cell>
          <cell r="E155">
            <v>1192320</v>
          </cell>
          <cell r="F155">
            <v>34.56</v>
          </cell>
          <cell r="G155">
            <v>1271808</v>
          </cell>
        </row>
        <row r="156">
          <cell r="A156" t="str">
            <v>Barishal Sadar</v>
          </cell>
          <cell r="B156">
            <v>27</v>
          </cell>
          <cell r="C156">
            <v>993600</v>
          </cell>
          <cell r="D156">
            <v>16.2</v>
          </cell>
          <cell r="E156">
            <v>596160</v>
          </cell>
          <cell r="F156">
            <v>17.28</v>
          </cell>
          <cell r="G156">
            <v>635904</v>
          </cell>
        </row>
        <row r="157">
          <cell r="A157" t="str">
            <v>Muladi</v>
          </cell>
          <cell r="B157">
            <v>27</v>
          </cell>
          <cell r="C157">
            <v>993600</v>
          </cell>
          <cell r="D157">
            <v>16.2</v>
          </cell>
          <cell r="E157">
            <v>596160</v>
          </cell>
          <cell r="F157">
            <v>17.28</v>
          </cell>
          <cell r="G157">
            <v>635904</v>
          </cell>
        </row>
        <row r="158">
          <cell r="A158" t="str">
            <v>Jhalokati Sadar</v>
          </cell>
          <cell r="B158">
            <v>36</v>
          </cell>
          <cell r="C158">
            <v>1324800</v>
          </cell>
          <cell r="D158">
            <v>21.6</v>
          </cell>
          <cell r="E158">
            <v>794880</v>
          </cell>
          <cell r="F158">
            <v>23.04</v>
          </cell>
          <cell r="G158">
            <v>847872</v>
          </cell>
        </row>
        <row r="159">
          <cell r="A159" t="str">
            <v>Rajapur</v>
          </cell>
          <cell r="B159">
            <v>36</v>
          </cell>
          <cell r="C159">
            <v>1324800</v>
          </cell>
          <cell r="D159">
            <v>21.6</v>
          </cell>
          <cell r="E159">
            <v>794880</v>
          </cell>
          <cell r="F159">
            <v>23.04</v>
          </cell>
          <cell r="G159">
            <v>847872</v>
          </cell>
        </row>
        <row r="160">
          <cell r="A160" t="str">
            <v>Bhola Sadar</v>
          </cell>
          <cell r="B160">
            <v>18</v>
          </cell>
          <cell r="C160">
            <v>662400</v>
          </cell>
          <cell r="D160">
            <v>10.8</v>
          </cell>
          <cell r="E160">
            <v>397440</v>
          </cell>
          <cell r="F160">
            <v>11.52</v>
          </cell>
          <cell r="G160">
            <v>423936</v>
          </cell>
        </row>
        <row r="161">
          <cell r="A161" t="str">
            <v>Lalmohan</v>
          </cell>
          <cell r="B161">
            <v>18</v>
          </cell>
          <cell r="C161">
            <v>662400</v>
          </cell>
          <cell r="D161">
            <v>10.8</v>
          </cell>
          <cell r="E161">
            <v>397440</v>
          </cell>
          <cell r="F161">
            <v>11.52</v>
          </cell>
          <cell r="G161">
            <v>423936</v>
          </cell>
        </row>
        <row r="162">
          <cell r="A162" t="str">
            <v>Charfassion</v>
          </cell>
          <cell r="B162">
            <v>36</v>
          </cell>
          <cell r="C162">
            <v>1324800</v>
          </cell>
          <cell r="D162">
            <v>21.6</v>
          </cell>
          <cell r="E162">
            <v>794880</v>
          </cell>
          <cell r="F162">
            <v>23.04</v>
          </cell>
          <cell r="G162">
            <v>847872</v>
          </cell>
        </row>
        <row r="163">
          <cell r="A163" t="str">
            <v>Barisal Area</v>
          </cell>
          <cell r="B163">
            <v>336</v>
          </cell>
          <cell r="C163">
            <v>12364800</v>
          </cell>
          <cell r="D163">
            <v>201.60000000000002</v>
          </cell>
          <cell r="E163">
            <v>7418880.0000000009</v>
          </cell>
          <cell r="F163">
            <v>215.04</v>
          </cell>
          <cell r="G163">
            <v>7913472</v>
          </cell>
        </row>
        <row r="164">
          <cell r="A164" t="str">
            <v>Betagi</v>
          </cell>
          <cell r="B164">
            <v>120</v>
          </cell>
          <cell r="C164">
            <v>4416000</v>
          </cell>
          <cell r="D164">
            <v>72</v>
          </cell>
          <cell r="E164">
            <v>2649600</v>
          </cell>
          <cell r="F164">
            <v>76.8</v>
          </cell>
          <cell r="G164">
            <v>2826240</v>
          </cell>
        </row>
        <row r="165">
          <cell r="A165" t="str">
            <v>Bamna</v>
          </cell>
          <cell r="B165">
            <v>105</v>
          </cell>
          <cell r="C165">
            <v>3864000</v>
          </cell>
          <cell r="D165">
            <v>63</v>
          </cell>
          <cell r="E165">
            <v>2318400</v>
          </cell>
          <cell r="F165">
            <v>67.2</v>
          </cell>
          <cell r="G165">
            <v>2472960</v>
          </cell>
        </row>
        <row r="166">
          <cell r="A166" t="str">
            <v>Taltali</v>
          </cell>
          <cell r="B166">
            <v>174</v>
          </cell>
          <cell r="C166">
            <v>6403200</v>
          </cell>
          <cell r="D166">
            <v>104.4</v>
          </cell>
          <cell r="E166">
            <v>3841920</v>
          </cell>
          <cell r="F166">
            <v>111.36</v>
          </cell>
          <cell r="G166">
            <v>4098048</v>
          </cell>
        </row>
        <row r="167">
          <cell r="A167" t="str">
            <v xml:space="preserve">Barguna Sadar </v>
          </cell>
          <cell r="B167">
            <v>120</v>
          </cell>
          <cell r="C167">
            <v>4416000</v>
          </cell>
          <cell r="D167">
            <v>72</v>
          </cell>
          <cell r="E167">
            <v>2649600</v>
          </cell>
          <cell r="F167">
            <v>76.8</v>
          </cell>
          <cell r="G167">
            <v>2826240</v>
          </cell>
        </row>
        <row r="168">
          <cell r="A168" t="str">
            <v>Patharghata</v>
          </cell>
          <cell r="B168">
            <v>120</v>
          </cell>
          <cell r="C168">
            <v>4416000</v>
          </cell>
          <cell r="D168">
            <v>72</v>
          </cell>
          <cell r="E168">
            <v>2649600</v>
          </cell>
          <cell r="F168">
            <v>76.8</v>
          </cell>
          <cell r="G168">
            <v>2826240</v>
          </cell>
        </row>
        <row r="169">
          <cell r="A169" t="str">
            <v>Galachipa</v>
          </cell>
          <cell r="B169">
            <v>120</v>
          </cell>
          <cell r="C169">
            <v>4416000</v>
          </cell>
          <cell r="D169">
            <v>72</v>
          </cell>
          <cell r="E169">
            <v>2649600</v>
          </cell>
          <cell r="F169">
            <v>76.8</v>
          </cell>
          <cell r="G169">
            <v>2826240</v>
          </cell>
        </row>
        <row r="170">
          <cell r="A170" t="str">
            <v>Amtali</v>
          </cell>
          <cell r="B170">
            <v>174</v>
          </cell>
          <cell r="C170">
            <v>6403200</v>
          </cell>
          <cell r="D170">
            <v>104.4</v>
          </cell>
          <cell r="E170">
            <v>3841920</v>
          </cell>
          <cell r="F170">
            <v>111.36</v>
          </cell>
          <cell r="G170">
            <v>4098048</v>
          </cell>
        </row>
        <row r="171">
          <cell r="A171" t="str">
            <v>Kalapara</v>
          </cell>
          <cell r="B171">
            <v>135</v>
          </cell>
          <cell r="C171">
            <v>4968000</v>
          </cell>
          <cell r="D171">
            <v>81</v>
          </cell>
          <cell r="E171">
            <v>2980800</v>
          </cell>
          <cell r="F171">
            <v>86.399999999999991</v>
          </cell>
          <cell r="G171">
            <v>3179519.9999999995</v>
          </cell>
        </row>
        <row r="172">
          <cell r="A172" t="str">
            <v>Patuakhali</v>
          </cell>
          <cell r="B172">
            <v>120</v>
          </cell>
          <cell r="C172">
            <v>4416000</v>
          </cell>
          <cell r="D172">
            <v>72</v>
          </cell>
          <cell r="E172">
            <v>2649600</v>
          </cell>
          <cell r="F172">
            <v>76.8</v>
          </cell>
          <cell r="G172">
            <v>2826240</v>
          </cell>
        </row>
        <row r="173">
          <cell r="A173" t="str">
            <v>Dashmina</v>
          </cell>
          <cell r="B173">
            <v>120</v>
          </cell>
          <cell r="C173">
            <v>4416000</v>
          </cell>
          <cell r="D173">
            <v>72</v>
          </cell>
          <cell r="E173">
            <v>2649600</v>
          </cell>
          <cell r="F173">
            <v>76.8</v>
          </cell>
          <cell r="G173">
            <v>2826240</v>
          </cell>
        </row>
        <row r="174">
          <cell r="A174" t="str">
            <v>Barguna Area</v>
          </cell>
          <cell r="B174">
            <v>1308</v>
          </cell>
          <cell r="C174">
            <v>48134400</v>
          </cell>
          <cell r="D174">
            <v>784.8</v>
          </cell>
          <cell r="E174">
            <v>28880640</v>
          </cell>
          <cell r="F174">
            <v>837.11999999999989</v>
          </cell>
          <cell r="G174">
            <v>30806015.999999996</v>
          </cell>
        </row>
        <row r="175">
          <cell r="A175" t="str">
            <v>Barishal Zone</v>
          </cell>
          <cell r="B175">
            <v>1980</v>
          </cell>
          <cell r="C175">
            <v>72864000</v>
          </cell>
          <cell r="D175">
            <v>1188</v>
          </cell>
          <cell r="E175">
            <v>43718400</v>
          </cell>
          <cell r="F175">
            <v>1267.1999999999998</v>
          </cell>
          <cell r="G175">
            <v>46632959.999999993</v>
          </cell>
        </row>
        <row r="176">
          <cell r="A176" t="str">
            <v>Kalia</v>
          </cell>
          <cell r="B176">
            <v>300</v>
          </cell>
          <cell r="C176">
            <v>11040000</v>
          </cell>
          <cell r="D176">
            <v>180</v>
          </cell>
          <cell r="E176">
            <v>6624000</v>
          </cell>
          <cell r="F176">
            <v>192</v>
          </cell>
          <cell r="G176">
            <v>7065600</v>
          </cell>
        </row>
        <row r="177">
          <cell r="A177" t="str">
            <v>Bagherpara</v>
          </cell>
          <cell r="B177">
            <v>72</v>
          </cell>
          <cell r="C177">
            <v>2649600</v>
          </cell>
          <cell r="D177">
            <v>43.2</v>
          </cell>
          <cell r="E177">
            <v>1589760</v>
          </cell>
          <cell r="F177">
            <v>46.08</v>
          </cell>
          <cell r="G177">
            <v>1695744</v>
          </cell>
        </row>
        <row r="178">
          <cell r="A178" t="str">
            <v>Narail Sadar</v>
          </cell>
          <cell r="B178">
            <v>72</v>
          </cell>
          <cell r="C178">
            <v>2649600</v>
          </cell>
          <cell r="D178">
            <v>43.2</v>
          </cell>
          <cell r="E178">
            <v>1589760</v>
          </cell>
          <cell r="F178">
            <v>46.08</v>
          </cell>
          <cell r="G178">
            <v>1695744</v>
          </cell>
        </row>
        <row r="179">
          <cell r="A179" t="str">
            <v>Monirampur</v>
          </cell>
          <cell r="B179">
            <v>36</v>
          </cell>
          <cell r="C179">
            <v>1324800</v>
          </cell>
          <cell r="D179">
            <v>21.6</v>
          </cell>
          <cell r="E179">
            <v>794880</v>
          </cell>
          <cell r="F179">
            <v>23.04</v>
          </cell>
          <cell r="G179">
            <v>847872</v>
          </cell>
        </row>
        <row r="180">
          <cell r="A180" t="str">
            <v>Keshabpur</v>
          </cell>
          <cell r="B180">
            <v>162</v>
          </cell>
          <cell r="C180">
            <v>5961600</v>
          </cell>
          <cell r="D180">
            <v>97.2</v>
          </cell>
          <cell r="E180">
            <v>3576960</v>
          </cell>
          <cell r="F180">
            <v>103.68</v>
          </cell>
          <cell r="G180">
            <v>3815424.0000000005</v>
          </cell>
        </row>
        <row r="181">
          <cell r="A181" t="str">
            <v>Sharsha</v>
          </cell>
          <cell r="B181">
            <v>162</v>
          </cell>
          <cell r="C181">
            <v>5961600</v>
          </cell>
          <cell r="D181">
            <v>97.2</v>
          </cell>
          <cell r="E181">
            <v>3576960</v>
          </cell>
          <cell r="F181">
            <v>103.68</v>
          </cell>
          <cell r="G181">
            <v>3815424.0000000005</v>
          </cell>
        </row>
        <row r="182">
          <cell r="A182" t="str">
            <v>Jashore Sadar</v>
          </cell>
          <cell r="B182">
            <v>162</v>
          </cell>
          <cell r="C182">
            <v>5961600</v>
          </cell>
          <cell r="D182">
            <v>97.2</v>
          </cell>
          <cell r="E182">
            <v>3576960</v>
          </cell>
          <cell r="F182">
            <v>103.68</v>
          </cell>
          <cell r="G182">
            <v>3815424.0000000005</v>
          </cell>
        </row>
        <row r="183">
          <cell r="A183" t="str">
            <v>Chaugachha</v>
          </cell>
          <cell r="B183">
            <v>162</v>
          </cell>
          <cell r="C183">
            <v>5961600</v>
          </cell>
          <cell r="D183">
            <v>97.2</v>
          </cell>
          <cell r="E183">
            <v>3576960</v>
          </cell>
          <cell r="F183">
            <v>103.68</v>
          </cell>
          <cell r="G183">
            <v>3815424.0000000005</v>
          </cell>
        </row>
        <row r="184">
          <cell r="A184" t="str">
            <v>Jashore Area</v>
          </cell>
          <cell r="B184">
            <v>1128</v>
          </cell>
          <cell r="C184">
            <v>41510400</v>
          </cell>
          <cell r="D184">
            <v>676.80000000000007</v>
          </cell>
          <cell r="E184">
            <v>24906240.000000004</v>
          </cell>
          <cell r="F184">
            <v>721.92000000000007</v>
          </cell>
          <cell r="G184">
            <v>26566656.000000004</v>
          </cell>
        </row>
        <row r="185">
          <cell r="A185" t="str">
            <v>Madhukhali</v>
          </cell>
          <cell r="B185">
            <v>151.99999999999997</v>
          </cell>
          <cell r="C185">
            <v>5593599.9999999991</v>
          </cell>
          <cell r="D185">
            <v>91.199999999999974</v>
          </cell>
          <cell r="E185">
            <v>3356159.9999999991</v>
          </cell>
          <cell r="F185">
            <v>97.279999999999973</v>
          </cell>
          <cell r="G185">
            <v>3579903.9999999991</v>
          </cell>
        </row>
        <row r="186">
          <cell r="A186" t="str">
            <v>Alfadanga</v>
          </cell>
          <cell r="B186">
            <v>247.99999999999994</v>
          </cell>
          <cell r="C186">
            <v>9126399.9999999981</v>
          </cell>
          <cell r="D186">
            <v>148.79999999999998</v>
          </cell>
          <cell r="E186">
            <v>5475839.9999999991</v>
          </cell>
          <cell r="F186">
            <v>158.71999999999997</v>
          </cell>
          <cell r="G186">
            <v>5840895.9999999991</v>
          </cell>
        </row>
        <row r="187">
          <cell r="A187" t="str">
            <v>Bhanga</v>
          </cell>
          <cell r="B187">
            <v>79.999999999999986</v>
          </cell>
          <cell r="C187">
            <v>2943999.9999999995</v>
          </cell>
          <cell r="D187">
            <v>47.999999999999993</v>
          </cell>
          <cell r="E187">
            <v>1766399.9999999998</v>
          </cell>
          <cell r="F187">
            <v>51.199999999999989</v>
          </cell>
          <cell r="G187">
            <v>1884159.9999999995</v>
          </cell>
        </row>
        <row r="188">
          <cell r="A188" t="str">
            <v>Faridpur Sadar</v>
          </cell>
          <cell r="B188">
            <v>128</v>
          </cell>
          <cell r="C188">
            <v>4710400</v>
          </cell>
          <cell r="D188">
            <v>76.8</v>
          </cell>
          <cell r="E188">
            <v>2826240</v>
          </cell>
          <cell r="F188">
            <v>81.92</v>
          </cell>
          <cell r="G188">
            <v>3014656</v>
          </cell>
        </row>
        <row r="189">
          <cell r="A189" t="str">
            <v>Pangsha</v>
          </cell>
          <cell r="B189">
            <v>151.99999999999997</v>
          </cell>
          <cell r="C189">
            <v>5593599.9999999991</v>
          </cell>
          <cell r="D189">
            <v>91.199999999999974</v>
          </cell>
          <cell r="E189">
            <v>3356159.9999999991</v>
          </cell>
          <cell r="F189">
            <v>97.279999999999973</v>
          </cell>
          <cell r="G189">
            <v>3579903.9999999991</v>
          </cell>
        </row>
        <row r="190">
          <cell r="A190" t="str">
            <v>Rajbari</v>
          </cell>
          <cell r="B190">
            <v>103.99999999999999</v>
          </cell>
          <cell r="C190">
            <v>3827199.9999999995</v>
          </cell>
          <cell r="D190">
            <v>62.399999999999991</v>
          </cell>
          <cell r="E190">
            <v>2296319.9999999995</v>
          </cell>
          <cell r="F190">
            <v>66.559999999999988</v>
          </cell>
          <cell r="G190">
            <v>2449407.9999999995</v>
          </cell>
        </row>
        <row r="191">
          <cell r="A191" t="str">
            <v xml:space="preserve">Faridpur Area </v>
          </cell>
          <cell r="B191">
            <v>863.99999999999989</v>
          </cell>
          <cell r="C191">
            <v>31795199.999999996</v>
          </cell>
          <cell r="D191">
            <v>518.4</v>
          </cell>
          <cell r="E191">
            <v>19077120</v>
          </cell>
          <cell r="F191">
            <v>552.95999999999992</v>
          </cell>
          <cell r="G191">
            <v>20348927.999999996</v>
          </cell>
        </row>
        <row r="192">
          <cell r="A192" t="str">
            <v>Magura</v>
          </cell>
          <cell r="B192">
            <v>122.44897959183675</v>
          </cell>
          <cell r="C192">
            <v>4506122.448979592</v>
          </cell>
          <cell r="D192">
            <v>73.469387755102048</v>
          </cell>
          <cell r="E192">
            <v>2703673.4693877553</v>
          </cell>
          <cell r="F192">
            <v>78.367346938775512</v>
          </cell>
          <cell r="G192">
            <v>2883918.3673469387</v>
          </cell>
        </row>
        <row r="193">
          <cell r="A193" t="str">
            <v>Mohammadpur</v>
          </cell>
          <cell r="B193">
            <v>122.44897959183675</v>
          </cell>
          <cell r="C193">
            <v>4506122.448979592</v>
          </cell>
          <cell r="D193">
            <v>73.469387755102048</v>
          </cell>
          <cell r="E193">
            <v>2703673.4693877553</v>
          </cell>
          <cell r="F193">
            <v>78.367346938775512</v>
          </cell>
          <cell r="G193">
            <v>2883918.3673469387</v>
          </cell>
        </row>
        <row r="194">
          <cell r="A194" t="str">
            <v>Shailkupa</v>
          </cell>
          <cell r="B194">
            <v>168.36734693877554</v>
          </cell>
          <cell r="C194">
            <v>6195918.3673469396</v>
          </cell>
          <cell r="D194">
            <v>101.02040816326533</v>
          </cell>
          <cell r="E194">
            <v>3717551.0204081642</v>
          </cell>
          <cell r="F194">
            <v>107.75510204081635</v>
          </cell>
          <cell r="G194">
            <v>3965387.7551020416</v>
          </cell>
        </row>
        <row r="195">
          <cell r="A195" t="str">
            <v>Jhenaidah Sadar</v>
          </cell>
          <cell r="B195">
            <v>191.32653061224491</v>
          </cell>
          <cell r="C195">
            <v>7040816.326530613</v>
          </cell>
          <cell r="D195">
            <v>114.79591836734694</v>
          </cell>
          <cell r="E195">
            <v>4224489.7959183678</v>
          </cell>
          <cell r="F195">
            <v>122.44897959183675</v>
          </cell>
          <cell r="G195">
            <v>4506122.448979592</v>
          </cell>
        </row>
        <row r="196">
          <cell r="A196" t="str">
            <v>Kotchandpur</v>
          </cell>
          <cell r="B196">
            <v>145.40816326530611</v>
          </cell>
          <cell r="C196">
            <v>5351020.4081632653</v>
          </cell>
          <cell r="D196">
            <v>87.244897959183675</v>
          </cell>
          <cell r="E196">
            <v>3210612.2448979593</v>
          </cell>
          <cell r="F196">
            <v>93.061224489795919</v>
          </cell>
          <cell r="G196">
            <v>3424653.0612244899</v>
          </cell>
        </row>
        <row r="197">
          <cell r="A197" t="str">
            <v xml:space="preserve">Jhenaidah Area </v>
          </cell>
          <cell r="B197">
            <v>750.00000000000011</v>
          </cell>
          <cell r="C197">
            <v>27600000.000000004</v>
          </cell>
          <cell r="D197">
            <v>450.00000000000006</v>
          </cell>
          <cell r="E197">
            <v>16560000.000000002</v>
          </cell>
          <cell r="F197">
            <v>480</v>
          </cell>
          <cell r="G197">
            <v>17664000</v>
          </cell>
        </row>
        <row r="198">
          <cell r="A198" t="str">
            <v xml:space="preserve">Kushtia Sadar </v>
          </cell>
          <cell r="B198">
            <v>144</v>
          </cell>
          <cell r="C198">
            <v>5299200</v>
          </cell>
          <cell r="D198">
            <v>86.4</v>
          </cell>
          <cell r="E198">
            <v>3179520</v>
          </cell>
          <cell r="F198">
            <v>92.16</v>
          </cell>
          <cell r="G198">
            <v>3391488</v>
          </cell>
        </row>
        <row r="199">
          <cell r="A199" t="str">
            <v>Kumarkhali</v>
          </cell>
          <cell r="B199">
            <v>108</v>
          </cell>
          <cell r="C199">
            <v>3974400</v>
          </cell>
          <cell r="D199">
            <v>64.8</v>
          </cell>
          <cell r="E199">
            <v>2384640</v>
          </cell>
          <cell r="F199">
            <v>69.12</v>
          </cell>
          <cell r="G199">
            <v>2543616</v>
          </cell>
        </row>
        <row r="200">
          <cell r="A200" t="str">
            <v>Mirpur</v>
          </cell>
          <cell r="B200">
            <v>36</v>
          </cell>
          <cell r="C200">
            <v>1324800</v>
          </cell>
          <cell r="D200">
            <v>21.6</v>
          </cell>
          <cell r="E200">
            <v>794880</v>
          </cell>
          <cell r="F200">
            <v>23.04</v>
          </cell>
          <cell r="G200">
            <v>847872</v>
          </cell>
        </row>
        <row r="201">
          <cell r="A201" t="str">
            <v>Daulatpur</v>
          </cell>
          <cell r="B201">
            <v>36</v>
          </cell>
          <cell r="C201">
            <v>1324800</v>
          </cell>
          <cell r="D201">
            <v>21.6</v>
          </cell>
          <cell r="E201">
            <v>794880</v>
          </cell>
          <cell r="F201">
            <v>23.04</v>
          </cell>
          <cell r="G201">
            <v>847872</v>
          </cell>
        </row>
        <row r="202">
          <cell r="A202" t="str">
            <v xml:space="preserve">Chuadanga Sadar </v>
          </cell>
          <cell r="B202">
            <v>335.99999999999994</v>
          </cell>
          <cell r="C202">
            <v>12364799.999999998</v>
          </cell>
          <cell r="D202">
            <v>201.6</v>
          </cell>
          <cell r="E202">
            <v>7418880</v>
          </cell>
          <cell r="F202">
            <v>215.04</v>
          </cell>
          <cell r="G202">
            <v>7913472</v>
          </cell>
        </row>
        <row r="203">
          <cell r="A203" t="str">
            <v>Damurhuda</v>
          </cell>
          <cell r="B203">
            <v>108</v>
          </cell>
          <cell r="C203">
            <v>3974400</v>
          </cell>
          <cell r="D203">
            <v>64.8</v>
          </cell>
          <cell r="E203">
            <v>2384640</v>
          </cell>
          <cell r="F203">
            <v>69.12</v>
          </cell>
          <cell r="G203">
            <v>2543616</v>
          </cell>
        </row>
        <row r="204">
          <cell r="A204" t="str">
            <v>Meherpur Sadar</v>
          </cell>
          <cell r="B204">
            <v>83.999999999999986</v>
          </cell>
          <cell r="C204">
            <v>3091199.9999999995</v>
          </cell>
          <cell r="D204">
            <v>50.4</v>
          </cell>
          <cell r="E204">
            <v>1854720</v>
          </cell>
          <cell r="F204">
            <v>53.76</v>
          </cell>
          <cell r="G204">
            <v>1978368</v>
          </cell>
        </row>
        <row r="205">
          <cell r="A205" t="str">
            <v>Gangni</v>
          </cell>
          <cell r="B205">
            <v>83.999999999999986</v>
          </cell>
          <cell r="C205">
            <v>3091199.9999999995</v>
          </cell>
          <cell r="D205">
            <v>50.4</v>
          </cell>
          <cell r="E205">
            <v>1854720</v>
          </cell>
          <cell r="F205">
            <v>53.76</v>
          </cell>
          <cell r="G205">
            <v>1978368</v>
          </cell>
        </row>
        <row r="206">
          <cell r="A206" t="str">
            <v>Kushtia Area</v>
          </cell>
          <cell r="B206">
            <v>936</v>
          </cell>
          <cell r="C206">
            <v>34444800</v>
          </cell>
          <cell r="D206">
            <v>561.6</v>
          </cell>
          <cell r="E206">
            <v>20666880</v>
          </cell>
          <cell r="F206">
            <v>599.04</v>
          </cell>
          <cell r="G206">
            <v>22044672</v>
          </cell>
        </row>
        <row r="207">
          <cell r="A207" t="str">
            <v>Narail Zone</v>
          </cell>
          <cell r="B207">
            <v>3678</v>
          </cell>
          <cell r="C207">
            <v>135350400</v>
          </cell>
          <cell r="D207">
            <v>2206.8000000000002</v>
          </cell>
          <cell r="E207">
            <v>81210240</v>
          </cell>
          <cell r="F207">
            <v>2353.92</v>
          </cell>
          <cell r="G207">
            <v>86624256</v>
          </cell>
        </row>
        <row r="208">
          <cell r="A208" t="str">
            <v>South Division</v>
          </cell>
          <cell r="B208">
            <v>11995.738541618584</v>
          </cell>
          <cell r="C208">
            <v>441443178.33156389</v>
          </cell>
          <cell r="D208">
            <v>7197.4431249711506</v>
          </cell>
          <cell r="E208">
            <v>264865906.99893835</v>
          </cell>
          <cell r="F208">
            <v>7677.2726666358931</v>
          </cell>
          <cell r="G208">
            <v>282523634.13220084</v>
          </cell>
        </row>
        <row r="209">
          <cell r="A209" t="str">
            <v>Ghatail</v>
          </cell>
          <cell r="B209">
            <v>158.59756097560978</v>
          </cell>
          <cell r="C209">
            <v>5836390.2439024402</v>
          </cell>
          <cell r="D209">
            <v>95.15853658536588</v>
          </cell>
          <cell r="E209">
            <v>3501834.1463414645</v>
          </cell>
          <cell r="F209">
            <v>101.50243902439027</v>
          </cell>
          <cell r="G209">
            <v>3735289.7560975621</v>
          </cell>
        </row>
        <row r="210">
          <cell r="A210" t="str">
            <v>Kalihati</v>
          </cell>
          <cell r="B210">
            <v>150.66768292682926</v>
          </cell>
          <cell r="C210">
            <v>5544570.7317073168</v>
          </cell>
          <cell r="D210">
            <v>90.400609756097552</v>
          </cell>
          <cell r="E210">
            <v>3326742.4390243897</v>
          </cell>
          <cell r="F210">
            <v>96.427317073170727</v>
          </cell>
          <cell r="G210">
            <v>3548525.2682926827</v>
          </cell>
        </row>
        <row r="211">
          <cell r="A211" t="str">
            <v>Tangail Sadar</v>
          </cell>
          <cell r="B211">
            <v>142.73780487804876</v>
          </cell>
          <cell r="C211">
            <v>5252751.2195121944</v>
          </cell>
          <cell r="D211">
            <v>85.642682926829252</v>
          </cell>
          <cell r="E211">
            <v>3151650.7317073164</v>
          </cell>
          <cell r="F211">
            <v>91.352195121951198</v>
          </cell>
          <cell r="G211">
            <v>3361760.7804878042</v>
          </cell>
        </row>
        <row r="212">
          <cell r="A212" t="str">
            <v>Delduar</v>
          </cell>
          <cell r="B212">
            <v>142.73780487804876</v>
          </cell>
          <cell r="C212">
            <v>5252751.2195121944</v>
          </cell>
          <cell r="D212">
            <v>85.642682926829252</v>
          </cell>
          <cell r="E212">
            <v>3151650.7317073164</v>
          </cell>
          <cell r="F212">
            <v>91.352195121951198</v>
          </cell>
          <cell r="G212">
            <v>3361760.7804878042</v>
          </cell>
        </row>
        <row r="213">
          <cell r="A213" t="str">
            <v>Mirzapur</v>
          </cell>
          <cell r="B213">
            <v>198.24695121951214</v>
          </cell>
          <cell r="C213">
            <v>7295487.8048780467</v>
          </cell>
          <cell r="D213">
            <v>118.94817073170729</v>
          </cell>
          <cell r="E213">
            <v>4377292.682926828</v>
          </cell>
          <cell r="F213">
            <v>126.87804878048777</v>
          </cell>
          <cell r="G213">
            <v>4669112.1951219505</v>
          </cell>
        </row>
        <row r="214">
          <cell r="A214" t="str">
            <v>Sakhipur</v>
          </cell>
          <cell r="B214">
            <v>107.01219512195122</v>
          </cell>
          <cell r="C214">
            <v>3938048.7804878051</v>
          </cell>
          <cell r="D214">
            <v>64.207317073170728</v>
          </cell>
          <cell r="E214">
            <v>2362829.2682926827</v>
          </cell>
          <cell r="F214">
            <v>68.487804878048777</v>
          </cell>
          <cell r="G214">
            <v>2520351.2195121949</v>
          </cell>
        </row>
        <row r="215">
          <cell r="A215" t="str">
            <v>Tangail Area</v>
          </cell>
          <cell r="B215">
            <v>900</v>
          </cell>
          <cell r="C215">
            <v>33120000</v>
          </cell>
          <cell r="D215">
            <v>540</v>
          </cell>
          <cell r="E215">
            <v>19872000</v>
          </cell>
          <cell r="F215">
            <v>575.99999999999989</v>
          </cell>
          <cell r="G215">
            <v>21196799.999999996</v>
          </cell>
        </row>
        <row r="216">
          <cell r="A216" t="str">
            <v>Dhanbari</v>
          </cell>
          <cell r="B216">
            <v>99</v>
          </cell>
          <cell r="C216">
            <v>3643200</v>
          </cell>
          <cell r="D216">
            <v>59.4</v>
          </cell>
          <cell r="E216">
            <v>2185920</v>
          </cell>
          <cell r="F216">
            <v>63.36</v>
          </cell>
          <cell r="G216">
            <v>2331648</v>
          </cell>
        </row>
        <row r="217">
          <cell r="A217" t="str">
            <v>Madhupur</v>
          </cell>
          <cell r="B217">
            <v>143.95161290322582</v>
          </cell>
          <cell r="C217">
            <v>5297419.3548387103</v>
          </cell>
          <cell r="D217">
            <v>86.370967741935488</v>
          </cell>
          <cell r="E217">
            <v>3178451.6129032262</v>
          </cell>
          <cell r="F217">
            <v>92.129032258064527</v>
          </cell>
          <cell r="G217">
            <v>3390348.3870967748</v>
          </cell>
        </row>
        <row r="218">
          <cell r="A218" t="str">
            <v>Muktagacha</v>
          </cell>
          <cell r="B218">
            <v>272.47983870967744</v>
          </cell>
          <cell r="C218">
            <v>10027258.064516129</v>
          </cell>
          <cell r="D218">
            <v>163.48790322580649</v>
          </cell>
          <cell r="E218">
            <v>6016354.8387096785</v>
          </cell>
          <cell r="F218">
            <v>174.38709677419357</v>
          </cell>
          <cell r="G218">
            <v>6417445.1612903234</v>
          </cell>
        </row>
        <row r="219">
          <cell r="A219" t="str">
            <v>Trishal</v>
          </cell>
          <cell r="B219">
            <v>95.110887096774221</v>
          </cell>
          <cell r="C219">
            <v>3500080.6451612911</v>
          </cell>
          <cell r="D219">
            <v>57.066532258064534</v>
          </cell>
          <cell r="E219">
            <v>2100048.3870967748</v>
          </cell>
          <cell r="F219">
            <v>60.870967741935502</v>
          </cell>
          <cell r="G219">
            <v>2240051.6129032266</v>
          </cell>
        </row>
        <row r="220">
          <cell r="A220" t="str">
            <v>Gafargaon</v>
          </cell>
          <cell r="B220">
            <v>142.66633064516128</v>
          </cell>
          <cell r="C220">
            <v>5250120.9677419355</v>
          </cell>
          <cell r="D220">
            <v>85.599798387096769</v>
          </cell>
          <cell r="E220">
            <v>3150072.5806451612</v>
          </cell>
          <cell r="F220">
            <v>91.306451612903231</v>
          </cell>
          <cell r="G220">
            <v>3360077.4193548388</v>
          </cell>
        </row>
        <row r="221">
          <cell r="A221" t="str">
            <v>Bhaluka</v>
          </cell>
          <cell r="B221">
            <v>237.77721774193549</v>
          </cell>
          <cell r="C221">
            <v>8750201.6129032262</v>
          </cell>
          <cell r="D221">
            <v>142.66633064516131</v>
          </cell>
          <cell r="E221">
            <v>5250120.9677419364</v>
          </cell>
          <cell r="F221">
            <v>152.17741935483872</v>
          </cell>
          <cell r="G221">
            <v>5600129.0322580645</v>
          </cell>
        </row>
        <row r="222">
          <cell r="A222" t="str">
            <v>Fulbaria</v>
          </cell>
          <cell r="B222">
            <v>141.3810483870968</v>
          </cell>
          <cell r="C222">
            <v>5202822.5806451617</v>
          </cell>
          <cell r="D222">
            <v>84.828629032258078</v>
          </cell>
          <cell r="E222">
            <v>3121693.5483870972</v>
          </cell>
          <cell r="F222">
            <v>90.48387096774195</v>
          </cell>
          <cell r="G222">
            <v>3329806.4516129037</v>
          </cell>
        </row>
        <row r="223">
          <cell r="A223" t="str">
            <v>Fulbaria-2</v>
          </cell>
          <cell r="B223">
            <v>141.3810483870968</v>
          </cell>
          <cell r="C223">
            <v>5202822.5806451617</v>
          </cell>
          <cell r="D223">
            <v>84.828629032258078</v>
          </cell>
          <cell r="E223">
            <v>3121693.5483870972</v>
          </cell>
          <cell r="F223">
            <v>90.48387096774195</v>
          </cell>
          <cell r="G223">
            <v>3329806.4516129037</v>
          </cell>
        </row>
        <row r="224">
          <cell r="A224" t="str">
            <v>Mymensingh Area</v>
          </cell>
          <cell r="B224">
            <v>1273.7479838709678</v>
          </cell>
          <cell r="C224">
            <v>46873925.806451619</v>
          </cell>
          <cell r="D224">
            <v>764.2487903225807</v>
          </cell>
          <cell r="E224">
            <v>28124355.483870968</v>
          </cell>
          <cell r="F224">
            <v>815.1987096774194</v>
          </cell>
          <cell r="G224">
            <v>29999312.516129036</v>
          </cell>
        </row>
        <row r="225">
          <cell r="A225" t="str">
            <v>Bhairab</v>
          </cell>
          <cell r="B225">
            <v>36</v>
          </cell>
          <cell r="C225">
            <v>1324800</v>
          </cell>
          <cell r="D225">
            <v>21.6</v>
          </cell>
          <cell r="E225">
            <v>794880</v>
          </cell>
          <cell r="F225">
            <v>23.04</v>
          </cell>
          <cell r="G225">
            <v>847872</v>
          </cell>
        </row>
        <row r="226">
          <cell r="A226" t="str">
            <v>Katiadi</v>
          </cell>
          <cell r="B226">
            <v>108</v>
          </cell>
          <cell r="C226">
            <v>3974400</v>
          </cell>
          <cell r="D226">
            <v>64.8</v>
          </cell>
          <cell r="E226">
            <v>2384640</v>
          </cell>
          <cell r="F226">
            <v>69.12</v>
          </cell>
          <cell r="G226">
            <v>2543616</v>
          </cell>
        </row>
        <row r="227">
          <cell r="A227" t="str">
            <v>Kishoreganj Sadar</v>
          </cell>
          <cell r="B227">
            <v>83.999999999999986</v>
          </cell>
          <cell r="C227">
            <v>3091199.9999999995</v>
          </cell>
          <cell r="D227">
            <v>50.4</v>
          </cell>
          <cell r="E227">
            <v>1854720</v>
          </cell>
          <cell r="F227">
            <v>53.76</v>
          </cell>
          <cell r="G227">
            <v>1978368</v>
          </cell>
        </row>
        <row r="228">
          <cell r="A228" t="str">
            <v>Karimganj</v>
          </cell>
          <cell r="B228">
            <v>36</v>
          </cell>
          <cell r="C228">
            <v>1324800</v>
          </cell>
          <cell r="D228">
            <v>21.6</v>
          </cell>
          <cell r="E228">
            <v>794880</v>
          </cell>
          <cell r="F228">
            <v>23.04</v>
          </cell>
          <cell r="G228">
            <v>847872</v>
          </cell>
        </row>
        <row r="229">
          <cell r="A229" t="str">
            <v>Kishorganj  Area</v>
          </cell>
          <cell r="B229">
            <v>264</v>
          </cell>
          <cell r="C229">
            <v>9715200</v>
          </cell>
          <cell r="D229">
            <v>158.4</v>
          </cell>
          <cell r="E229">
            <v>5829120</v>
          </cell>
          <cell r="F229">
            <v>168.95999999999998</v>
          </cell>
          <cell r="G229">
            <v>6217727.9999999991</v>
          </cell>
        </row>
        <row r="230">
          <cell r="A230" t="str">
            <v>Mymensingh Zone</v>
          </cell>
          <cell r="B230">
            <v>2437.7479838709678</v>
          </cell>
          <cell r="C230">
            <v>89709125.806451619</v>
          </cell>
          <cell r="D230">
            <v>1462.6487903225807</v>
          </cell>
          <cell r="E230">
            <v>53825475.483870968</v>
          </cell>
          <cell r="F230">
            <v>1560.1587096774192</v>
          </cell>
          <cell r="G230">
            <v>57413840.516129024</v>
          </cell>
        </row>
        <row r="231">
          <cell r="A231" t="str">
            <v>Jamalpur Sadar</v>
          </cell>
          <cell r="B231">
            <v>135.25423728813561</v>
          </cell>
          <cell r="C231">
            <v>4977355.9322033906</v>
          </cell>
          <cell r="D231">
            <v>81.152542372881371</v>
          </cell>
          <cell r="E231">
            <v>2986413.5593220345</v>
          </cell>
          <cell r="F231">
            <v>86.562711864406793</v>
          </cell>
          <cell r="G231">
            <v>3185507.79661017</v>
          </cell>
        </row>
        <row r="232">
          <cell r="A232" t="str">
            <v>Sarishabari</v>
          </cell>
          <cell r="B232">
            <v>96.610169491525411</v>
          </cell>
          <cell r="C232">
            <v>3555254.2372881351</v>
          </cell>
          <cell r="D232">
            <v>57.966101694915253</v>
          </cell>
          <cell r="E232">
            <v>2133152.5423728814</v>
          </cell>
          <cell r="F232">
            <v>61.83050847457627</v>
          </cell>
          <cell r="G232">
            <v>2275362.7118644067</v>
          </cell>
        </row>
        <row r="233">
          <cell r="A233" t="str">
            <v>Madarganj</v>
          </cell>
          <cell r="B233">
            <v>154.57627118644069</v>
          </cell>
          <cell r="C233">
            <v>5688406.7796610175</v>
          </cell>
          <cell r="D233">
            <v>92.74576271186443</v>
          </cell>
          <cell r="E233">
            <v>3413044.0677966112</v>
          </cell>
          <cell r="F233">
            <v>98.928813559322052</v>
          </cell>
          <cell r="G233">
            <v>3640580.3389830515</v>
          </cell>
        </row>
        <row r="234">
          <cell r="A234" t="str">
            <v>Dewanganj</v>
          </cell>
          <cell r="B234">
            <v>66.101694915254228</v>
          </cell>
          <cell r="C234">
            <v>2432542.3728813557</v>
          </cell>
          <cell r="D234">
            <v>39.66101694915254</v>
          </cell>
          <cell r="E234">
            <v>1459525.4237288134</v>
          </cell>
          <cell r="F234">
            <v>42.305084745762713</v>
          </cell>
          <cell r="G234">
            <v>1556827.1186440678</v>
          </cell>
        </row>
        <row r="235">
          <cell r="A235" t="str">
            <v>Bakshiganj</v>
          </cell>
          <cell r="B235">
            <v>66.101694915254228</v>
          </cell>
          <cell r="C235">
            <v>2432542.3728813557</v>
          </cell>
          <cell r="D235">
            <v>39.66101694915254</v>
          </cell>
          <cell r="E235">
            <v>1459525.4237288134</v>
          </cell>
          <cell r="F235">
            <v>42.305084745762713</v>
          </cell>
          <cell r="G235">
            <v>1556827.1186440678</v>
          </cell>
        </row>
        <row r="236">
          <cell r="A236" t="str">
            <v>Rowmari</v>
          </cell>
          <cell r="B236">
            <v>95.338983050847446</v>
          </cell>
          <cell r="C236">
            <v>3508474.5762711861</v>
          </cell>
          <cell r="D236">
            <v>57.20338983050847</v>
          </cell>
          <cell r="E236">
            <v>2105084.7457627119</v>
          </cell>
          <cell r="F236">
            <v>61.016949152542367</v>
          </cell>
          <cell r="G236">
            <v>2245423.7288135593</v>
          </cell>
        </row>
        <row r="237">
          <cell r="A237" t="str">
            <v>Sherpur</v>
          </cell>
          <cell r="B237">
            <v>95.338983050847446</v>
          </cell>
          <cell r="C237">
            <v>3508474.5762711861</v>
          </cell>
          <cell r="D237">
            <v>57.20338983050847</v>
          </cell>
          <cell r="E237">
            <v>2105084.7457627119</v>
          </cell>
          <cell r="F237">
            <v>61.016949152542367</v>
          </cell>
          <cell r="G237">
            <v>2245423.7288135593</v>
          </cell>
        </row>
        <row r="238">
          <cell r="A238" t="str">
            <v>Nakla</v>
          </cell>
          <cell r="B238">
            <v>95.338983050847446</v>
          </cell>
          <cell r="C238">
            <v>3508474.5762711861</v>
          </cell>
          <cell r="D238">
            <v>57.20338983050847</v>
          </cell>
          <cell r="E238">
            <v>2105084.7457627119</v>
          </cell>
          <cell r="F238">
            <v>61.016949152542367</v>
          </cell>
          <cell r="G238">
            <v>2245423.7288135593</v>
          </cell>
        </row>
        <row r="239">
          <cell r="A239" t="str">
            <v>Jhenaigati</v>
          </cell>
          <cell r="B239">
            <v>95.338983050847446</v>
          </cell>
          <cell r="C239">
            <v>3508474.5762711861</v>
          </cell>
          <cell r="D239">
            <v>57.20338983050847</v>
          </cell>
          <cell r="E239">
            <v>2105084.7457627119</v>
          </cell>
          <cell r="F239">
            <v>61.016949152542367</v>
          </cell>
          <cell r="G239">
            <v>2245423.7288135593</v>
          </cell>
        </row>
        <row r="240">
          <cell r="A240" t="str">
            <v>Sherpur  Area</v>
          </cell>
          <cell r="B240">
            <v>900</v>
          </cell>
          <cell r="C240">
            <v>33120000</v>
          </cell>
          <cell r="D240">
            <v>540</v>
          </cell>
          <cell r="E240">
            <v>19872000</v>
          </cell>
          <cell r="F240">
            <v>575.99999999999989</v>
          </cell>
          <cell r="G240">
            <v>21196799.999999996</v>
          </cell>
        </row>
        <row r="241">
          <cell r="A241" t="str">
            <v>Ishwarganj</v>
          </cell>
          <cell r="B241">
            <v>159.57446808510639</v>
          </cell>
          <cell r="C241">
            <v>5872340.4255319154</v>
          </cell>
          <cell r="D241">
            <v>95.744680851063833</v>
          </cell>
          <cell r="E241">
            <v>3523404.2553191492</v>
          </cell>
          <cell r="F241">
            <v>102.12765957446808</v>
          </cell>
          <cell r="G241">
            <v>3758297.8723404254</v>
          </cell>
        </row>
        <row r="242">
          <cell r="A242" t="str">
            <v>Gouripur</v>
          </cell>
          <cell r="B242">
            <v>183.51063829787236</v>
          </cell>
          <cell r="C242">
            <v>6753191.4893617025</v>
          </cell>
          <cell r="D242">
            <v>110.10638297872342</v>
          </cell>
          <cell r="E242">
            <v>4051914.8936170219</v>
          </cell>
          <cell r="F242">
            <v>117.44680851063831</v>
          </cell>
          <cell r="G242">
            <v>4322042.5531914895</v>
          </cell>
        </row>
        <row r="243">
          <cell r="A243" t="str">
            <v>Haluaghat</v>
          </cell>
          <cell r="B243">
            <v>79.787234042553195</v>
          </cell>
          <cell r="C243">
            <v>2936170.2127659577</v>
          </cell>
          <cell r="D243">
            <v>47.872340425531917</v>
          </cell>
          <cell r="E243">
            <v>1761702.1276595746</v>
          </cell>
          <cell r="F243">
            <v>51.063829787234042</v>
          </cell>
          <cell r="G243">
            <v>1879148.9361702127</v>
          </cell>
        </row>
        <row r="244">
          <cell r="A244" t="str">
            <v>Mymensingh</v>
          </cell>
          <cell r="B244">
            <v>63.829787234042563</v>
          </cell>
          <cell r="C244">
            <v>2348936.1702127662</v>
          </cell>
          <cell r="D244">
            <v>38.297872340425535</v>
          </cell>
          <cell r="E244">
            <v>1409361.7021276597</v>
          </cell>
          <cell r="F244">
            <v>40.851063829787236</v>
          </cell>
          <cell r="G244">
            <v>1503319.1489361704</v>
          </cell>
        </row>
        <row r="245">
          <cell r="A245" t="str">
            <v>Tarakanda</v>
          </cell>
          <cell r="B245">
            <v>79.787234042553195</v>
          </cell>
          <cell r="C245">
            <v>2936170.2127659577</v>
          </cell>
          <cell r="D245">
            <v>47.872340425531917</v>
          </cell>
          <cell r="E245">
            <v>1761702.1276595746</v>
          </cell>
          <cell r="F245">
            <v>51.063829787234042</v>
          </cell>
          <cell r="G245">
            <v>1879148.9361702127</v>
          </cell>
        </row>
        <row r="246">
          <cell r="A246" t="str">
            <v>Netrokona Sadar</v>
          </cell>
          <cell r="B246">
            <v>95.744680851063805</v>
          </cell>
          <cell r="C246">
            <v>3523404.2553191478</v>
          </cell>
          <cell r="D246">
            <v>57.446808510638284</v>
          </cell>
          <cell r="E246">
            <v>2114042.5531914891</v>
          </cell>
          <cell r="F246">
            <v>61.27659574468084</v>
          </cell>
          <cell r="G246">
            <v>2254978.7234042548</v>
          </cell>
        </row>
        <row r="247">
          <cell r="A247" t="str">
            <v>Durgapur</v>
          </cell>
          <cell r="B247">
            <v>47.872340425531902</v>
          </cell>
          <cell r="C247">
            <v>1761702.1276595739</v>
          </cell>
          <cell r="D247">
            <v>28.723404255319142</v>
          </cell>
          <cell r="E247">
            <v>1057021.2765957445</v>
          </cell>
          <cell r="F247">
            <v>30.63829787234042</v>
          </cell>
          <cell r="G247">
            <v>1127489.3617021274</v>
          </cell>
        </row>
        <row r="248">
          <cell r="A248" t="str">
            <v>Mohanganj</v>
          </cell>
          <cell r="B248">
            <v>39.893617021276597</v>
          </cell>
          <cell r="C248">
            <v>1468085.1063829788</v>
          </cell>
          <cell r="D248">
            <v>23.936170212765958</v>
          </cell>
          <cell r="E248">
            <v>880851.06382978731</v>
          </cell>
          <cell r="F248">
            <v>25.531914893617021</v>
          </cell>
          <cell r="G248">
            <v>939574.46808510635</v>
          </cell>
        </row>
        <row r="249">
          <cell r="A249" t="str">
            <v>Netrokona Area</v>
          </cell>
          <cell r="B249">
            <v>750</v>
          </cell>
          <cell r="C249">
            <v>27600000</v>
          </cell>
          <cell r="D249">
            <v>450.00000000000006</v>
          </cell>
          <cell r="E249">
            <v>16560000.000000002</v>
          </cell>
          <cell r="F249">
            <v>480</v>
          </cell>
          <cell r="G249">
            <v>17664000</v>
          </cell>
        </row>
        <row r="250">
          <cell r="A250" t="str">
            <v>Sherpur Zone</v>
          </cell>
          <cell r="B250">
            <v>1650</v>
          </cell>
          <cell r="C250">
            <v>60720000</v>
          </cell>
          <cell r="D250">
            <v>990</v>
          </cell>
          <cell r="E250">
            <v>36432000</v>
          </cell>
          <cell r="F250">
            <v>1056</v>
          </cell>
          <cell r="G250">
            <v>38860800</v>
          </cell>
        </row>
        <row r="251">
          <cell r="A251" t="str">
            <v>Dohar</v>
          </cell>
          <cell r="B251">
            <v>56.817730518270238</v>
          </cell>
          <cell r="C251">
            <v>2090892.4830723447</v>
          </cell>
          <cell r="D251">
            <v>34.090638310962142</v>
          </cell>
          <cell r="E251">
            <v>1254535.4898434067</v>
          </cell>
          <cell r="F251">
            <v>36.363347531692952</v>
          </cell>
          <cell r="G251">
            <v>1338171.1891663007</v>
          </cell>
        </row>
        <row r="252">
          <cell r="A252" t="str">
            <v>Nawbabganj</v>
          </cell>
          <cell r="B252">
            <v>55.681375907904844</v>
          </cell>
          <cell r="C252">
            <v>2049074.6334108983</v>
          </cell>
          <cell r="D252">
            <v>33.408825544742903</v>
          </cell>
          <cell r="E252">
            <v>1229444.7800465389</v>
          </cell>
          <cell r="F252">
            <v>35.636080581059097</v>
          </cell>
          <cell r="G252">
            <v>1311407.7653829749</v>
          </cell>
        </row>
        <row r="253">
          <cell r="A253" t="str">
            <v>Dhaka</v>
          </cell>
          <cell r="B253">
            <v>81.818460334698685</v>
          </cell>
          <cell r="C253">
            <v>3010919.3403169117</v>
          </cell>
          <cell r="D253">
            <v>49.091076200819209</v>
          </cell>
          <cell r="E253">
            <v>1806551.604190147</v>
          </cell>
          <cell r="F253">
            <v>52.363814614207158</v>
          </cell>
          <cell r="G253">
            <v>1926988.3778028234</v>
          </cell>
        </row>
        <row r="254">
          <cell r="A254" t="str">
            <v>Shirajdikhan</v>
          </cell>
          <cell r="B254">
            <v>52.841088966159553</v>
          </cell>
          <cell r="C254">
            <v>1944552.0739546716</v>
          </cell>
          <cell r="D254">
            <v>31.704653379695731</v>
          </cell>
          <cell r="E254">
            <v>1166731.244372803</v>
          </cell>
          <cell r="F254">
            <v>33.818296938342115</v>
          </cell>
          <cell r="G254">
            <v>1244513.3273309898</v>
          </cell>
        </row>
        <row r="255">
          <cell r="A255" t="str">
            <v>Munshiganj Sadar</v>
          </cell>
          <cell r="B255">
            <v>52.841088966159553</v>
          </cell>
          <cell r="C255">
            <v>1944552.0739546716</v>
          </cell>
          <cell r="D255">
            <v>31.704653379695731</v>
          </cell>
          <cell r="E255">
            <v>1166731.244372803</v>
          </cell>
          <cell r="F255">
            <v>33.818296938342115</v>
          </cell>
          <cell r="G255">
            <v>1244513.3273309898</v>
          </cell>
        </row>
        <row r="256">
          <cell r="A256" t="str">
            <v>Tongibari</v>
          </cell>
          <cell r="B256">
            <v>75.000255306807119</v>
          </cell>
          <cell r="C256">
            <v>2760009.3952905019</v>
          </cell>
          <cell r="D256">
            <v>45.000153184084276</v>
          </cell>
          <cell r="E256">
            <v>1656005.6371743013</v>
          </cell>
          <cell r="F256">
            <v>48.000163396356562</v>
          </cell>
          <cell r="G256">
            <v>1766406.0129859215</v>
          </cell>
        </row>
        <row r="257">
          <cell r="A257" t="str">
            <v>Dhaka Area</v>
          </cell>
          <cell r="B257">
            <v>375</v>
          </cell>
          <cell r="C257">
            <v>13800000</v>
          </cell>
          <cell r="D257">
            <v>225</v>
          </cell>
          <cell r="E257">
            <v>8280000</v>
          </cell>
          <cell r="F257">
            <v>240</v>
          </cell>
          <cell r="G257">
            <v>8832000</v>
          </cell>
        </row>
        <row r="258">
          <cell r="A258" t="str">
            <v>Gazipur Sadar</v>
          </cell>
          <cell r="B258">
            <v>180.87218516389822</v>
          </cell>
          <cell r="C258">
            <v>6656096.4140314544</v>
          </cell>
          <cell r="D258">
            <v>108.52331109833894</v>
          </cell>
          <cell r="E258">
            <v>3993657.8484188728</v>
          </cell>
          <cell r="F258">
            <v>115.75819850489486</v>
          </cell>
          <cell r="G258">
            <v>4259901.7049801312</v>
          </cell>
        </row>
        <row r="259">
          <cell r="A259" t="str">
            <v>Kapasia</v>
          </cell>
          <cell r="B259">
            <v>168.81403948630495</v>
          </cell>
          <cell r="C259">
            <v>6212356.6530960221</v>
          </cell>
          <cell r="D259">
            <v>101.28842369178297</v>
          </cell>
          <cell r="E259">
            <v>3727413.991857613</v>
          </cell>
          <cell r="F259">
            <v>108.04098527123517</v>
          </cell>
          <cell r="G259">
            <v>3975908.2579814545</v>
          </cell>
        </row>
        <row r="260">
          <cell r="A260" t="str">
            <v>Kaliganj_Gazipur</v>
          </cell>
          <cell r="B260">
            <v>31.35117876174235</v>
          </cell>
          <cell r="C260">
            <v>1153723.3784321186</v>
          </cell>
          <cell r="D260">
            <v>18.810707257045411</v>
          </cell>
          <cell r="E260">
            <v>692234.02705927112</v>
          </cell>
          <cell r="F260">
            <v>20.064754407515103</v>
          </cell>
          <cell r="G260">
            <v>738382.9621965558</v>
          </cell>
        </row>
        <row r="261">
          <cell r="A261" t="str">
            <v>Sreepur</v>
          </cell>
          <cell r="B261">
            <v>231.52218491971485</v>
          </cell>
          <cell r="C261">
            <v>8520016.4050455056</v>
          </cell>
          <cell r="D261">
            <v>138.91331095182889</v>
          </cell>
          <cell r="E261">
            <v>5112009.843027303</v>
          </cell>
          <cell r="F261">
            <v>148.17419834861749</v>
          </cell>
          <cell r="G261">
            <v>5452810.4992291238</v>
          </cell>
        </row>
        <row r="262">
          <cell r="A262" t="str">
            <v>Kaliakair</v>
          </cell>
          <cell r="B262">
            <v>326.44041166833966</v>
          </cell>
          <cell r="C262">
            <v>12013007.1493949</v>
          </cell>
          <cell r="D262">
            <v>195.8642470010038</v>
          </cell>
          <cell r="E262">
            <v>7207804.2896369398</v>
          </cell>
          <cell r="F262">
            <v>208.92186346773738</v>
          </cell>
          <cell r="G262">
            <v>7688324.5756127359</v>
          </cell>
        </row>
        <row r="263">
          <cell r="A263" t="str">
            <v>Gazipur Area</v>
          </cell>
          <cell r="B263">
            <v>939</v>
          </cell>
          <cell r="C263">
            <v>34555200</v>
          </cell>
          <cell r="D263">
            <v>563.4</v>
          </cell>
          <cell r="E263">
            <v>20733120</v>
          </cell>
          <cell r="F263">
            <v>600.96</v>
          </cell>
          <cell r="G263">
            <v>22115328</v>
          </cell>
        </row>
        <row r="264">
          <cell r="A264" t="str">
            <v>Singair</v>
          </cell>
          <cell r="B264">
            <v>202.29226376374416</v>
          </cell>
          <cell r="C264">
            <v>7444355.3065057853</v>
          </cell>
          <cell r="D264">
            <v>121.37535825824649</v>
          </cell>
          <cell r="E264">
            <v>4466613.1839034706</v>
          </cell>
          <cell r="F264">
            <v>129.46704880879625</v>
          </cell>
          <cell r="G264">
            <v>4764387.396163702</v>
          </cell>
        </row>
        <row r="265">
          <cell r="A265" t="str">
            <v>Dhamrai</v>
          </cell>
          <cell r="B265">
            <v>160.20652892501317</v>
          </cell>
          <cell r="C265">
            <v>5895600.2644404843</v>
          </cell>
          <cell r="D265">
            <v>96.123917355007904</v>
          </cell>
          <cell r="E265">
            <v>3537360.1586642908</v>
          </cell>
          <cell r="F265">
            <v>102.53217851200844</v>
          </cell>
          <cell r="G265">
            <v>3773184.1692419108</v>
          </cell>
        </row>
        <row r="266">
          <cell r="A266" t="str">
            <v>Savar</v>
          </cell>
          <cell r="B266">
            <v>54.550722812695042</v>
          </cell>
          <cell r="C266">
            <v>2007466.5995071775</v>
          </cell>
          <cell r="D266">
            <v>32.730433687617023</v>
          </cell>
          <cell r="E266">
            <v>1204479.9597043064</v>
          </cell>
          <cell r="F266">
            <v>34.912462600124826</v>
          </cell>
          <cell r="G266">
            <v>1284778.6236845937</v>
          </cell>
        </row>
        <row r="267">
          <cell r="A267" t="str">
            <v xml:space="preserve"> Saturia</v>
          </cell>
          <cell r="B267">
            <v>160.20652892501317</v>
          </cell>
          <cell r="C267">
            <v>5895600.2644404843</v>
          </cell>
          <cell r="D267">
            <v>96.123917355007904</v>
          </cell>
          <cell r="E267">
            <v>3537360.1586642908</v>
          </cell>
          <cell r="F267">
            <v>102.53217851200844</v>
          </cell>
          <cell r="G267">
            <v>3773184.1692419108</v>
          </cell>
        </row>
        <row r="268">
          <cell r="A268" t="str">
            <v>Manikganj Sadar</v>
          </cell>
          <cell r="B268">
            <v>118.19323276083925</v>
          </cell>
          <cell r="C268">
            <v>4349510.965598884</v>
          </cell>
          <cell r="D268">
            <v>70.915939656503554</v>
          </cell>
          <cell r="E268">
            <v>2609706.5793593307</v>
          </cell>
          <cell r="F268">
            <v>75.643668966937128</v>
          </cell>
          <cell r="G268">
            <v>2783687.0179832862</v>
          </cell>
        </row>
        <row r="269">
          <cell r="A269" t="str">
            <v>Ghior</v>
          </cell>
          <cell r="B269">
            <v>54.550722812695042</v>
          </cell>
          <cell r="C269">
            <v>2007466.5995071775</v>
          </cell>
          <cell r="D269">
            <v>32.730433687617023</v>
          </cell>
          <cell r="E269">
            <v>1204479.9597043064</v>
          </cell>
          <cell r="F269">
            <v>34.912462600124826</v>
          </cell>
          <cell r="G269">
            <v>1284778.6236845937</v>
          </cell>
        </row>
        <row r="270">
          <cell r="A270" t="str">
            <v>Manikganj Area</v>
          </cell>
          <cell r="B270">
            <v>750</v>
          </cell>
          <cell r="C270">
            <v>27600000</v>
          </cell>
          <cell r="D270">
            <v>449.99999999999989</v>
          </cell>
          <cell r="E270">
            <v>16559999.999999996</v>
          </cell>
          <cell r="F270">
            <v>479.99999999999989</v>
          </cell>
          <cell r="G270">
            <v>17663999.999999996</v>
          </cell>
        </row>
        <row r="271">
          <cell r="A271" t="str">
            <v>Shibpur</v>
          </cell>
          <cell r="B271">
            <v>27</v>
          </cell>
          <cell r="C271">
            <v>993600</v>
          </cell>
          <cell r="D271">
            <v>16.2</v>
          </cell>
          <cell r="E271">
            <v>596160</v>
          </cell>
          <cell r="F271">
            <v>17.28</v>
          </cell>
          <cell r="G271">
            <v>635904</v>
          </cell>
        </row>
        <row r="272">
          <cell r="A272" t="str">
            <v>Belabo</v>
          </cell>
          <cell r="B272">
            <v>36</v>
          </cell>
          <cell r="C272">
            <v>1324800</v>
          </cell>
          <cell r="D272">
            <v>21.6</v>
          </cell>
          <cell r="E272">
            <v>794880</v>
          </cell>
          <cell r="F272">
            <v>23.04</v>
          </cell>
          <cell r="G272">
            <v>847872</v>
          </cell>
        </row>
        <row r="273">
          <cell r="A273" t="str">
            <v>Narsingdi Sadar</v>
          </cell>
          <cell r="B273">
            <v>54</v>
          </cell>
          <cell r="C273">
            <v>1987200</v>
          </cell>
          <cell r="D273">
            <v>32.4</v>
          </cell>
          <cell r="E273">
            <v>1192320</v>
          </cell>
          <cell r="F273">
            <v>34.56</v>
          </cell>
          <cell r="G273">
            <v>1271808</v>
          </cell>
        </row>
        <row r="274">
          <cell r="A274" t="str">
            <v>Rupganj</v>
          </cell>
          <cell r="B274">
            <v>36</v>
          </cell>
          <cell r="C274">
            <v>1324800</v>
          </cell>
          <cell r="D274">
            <v>21.6</v>
          </cell>
          <cell r="E274">
            <v>794880</v>
          </cell>
          <cell r="F274">
            <v>23.04</v>
          </cell>
          <cell r="G274">
            <v>847872</v>
          </cell>
        </row>
        <row r="275">
          <cell r="A275" t="str">
            <v>Bandar</v>
          </cell>
          <cell r="B275">
            <v>36</v>
          </cell>
          <cell r="C275">
            <v>1324800</v>
          </cell>
          <cell r="D275">
            <v>21.6</v>
          </cell>
          <cell r="E275">
            <v>794880</v>
          </cell>
          <cell r="F275">
            <v>23.04</v>
          </cell>
          <cell r="G275">
            <v>847872</v>
          </cell>
        </row>
        <row r="276">
          <cell r="A276" t="str">
            <v>Narayanganj Sadar</v>
          </cell>
          <cell r="B276">
            <v>36</v>
          </cell>
          <cell r="C276">
            <v>1324800</v>
          </cell>
          <cell r="D276">
            <v>21.6</v>
          </cell>
          <cell r="E276">
            <v>794880</v>
          </cell>
          <cell r="F276">
            <v>23.04</v>
          </cell>
          <cell r="G276">
            <v>847872</v>
          </cell>
        </row>
        <row r="277">
          <cell r="A277" t="str">
            <v>Narsingdi Area</v>
          </cell>
          <cell r="B277">
            <v>225</v>
          </cell>
          <cell r="C277">
            <v>8280000</v>
          </cell>
          <cell r="D277">
            <v>134.99999999999997</v>
          </cell>
          <cell r="E277">
            <v>4967999.9999999991</v>
          </cell>
          <cell r="F277">
            <v>143.99999999999997</v>
          </cell>
          <cell r="G277">
            <v>5299199.9999999991</v>
          </cell>
        </row>
        <row r="278">
          <cell r="A278" t="str">
            <v>Dhaka Zone</v>
          </cell>
          <cell r="B278">
            <v>2289</v>
          </cell>
          <cell r="C278">
            <v>84235200</v>
          </cell>
          <cell r="D278">
            <v>1373.3999999999999</v>
          </cell>
          <cell r="E278">
            <v>50541119.999999993</v>
          </cell>
          <cell r="F278">
            <v>1464.96</v>
          </cell>
          <cell r="G278">
            <v>53910528</v>
          </cell>
        </row>
        <row r="279">
          <cell r="A279" t="str">
            <v>West Division</v>
          </cell>
          <cell r="B279">
            <v>6376.7479838709678</v>
          </cell>
          <cell r="C279">
            <v>234664325.80645162</v>
          </cell>
          <cell r="D279">
            <v>3826.0487903225803</v>
          </cell>
          <cell r="E279">
            <v>140798595.48387095</v>
          </cell>
          <cell r="F279">
            <v>4081.1187096774192</v>
          </cell>
          <cell r="G279">
            <v>150185168.51612902</v>
          </cell>
        </row>
        <row r="280">
          <cell r="A280" t="str">
            <v>Kachua_Chandpur</v>
          </cell>
          <cell r="B280">
            <v>188.12168789339083</v>
          </cell>
          <cell r="C280">
            <v>6922878.1144767823</v>
          </cell>
          <cell r="D280">
            <v>112.87301273603451</v>
          </cell>
          <cell r="E280">
            <v>4153726.8686860702</v>
          </cell>
          <cell r="F280">
            <v>120.39788025177013</v>
          </cell>
          <cell r="G280">
            <v>4430641.9932651408</v>
          </cell>
        </row>
        <row r="281">
          <cell r="A281" t="str">
            <v>Hajiganj</v>
          </cell>
          <cell r="B281">
            <v>47.030421973347707</v>
          </cell>
          <cell r="C281">
            <v>1730719.5286191956</v>
          </cell>
          <cell r="D281">
            <v>28.218253184008628</v>
          </cell>
          <cell r="E281">
            <v>1038431.7171715176</v>
          </cell>
          <cell r="F281">
            <v>30.099470062942533</v>
          </cell>
          <cell r="G281">
            <v>1107660.4983162852</v>
          </cell>
        </row>
        <row r="282">
          <cell r="A282" t="str">
            <v>Chandpur</v>
          </cell>
          <cell r="B282">
            <v>15.049735031471267</v>
          </cell>
          <cell r="C282">
            <v>553830.2491581426</v>
          </cell>
          <cell r="D282">
            <v>9.0298410188827596</v>
          </cell>
          <cell r="E282">
            <v>332298.14949488553</v>
          </cell>
          <cell r="F282">
            <v>9.6318304201416112</v>
          </cell>
          <cell r="G282">
            <v>354451.35946121131</v>
          </cell>
        </row>
        <row r="283">
          <cell r="A283" t="str">
            <v>Matlab</v>
          </cell>
          <cell r="B283">
            <v>54.589493432336702</v>
          </cell>
          <cell r="C283">
            <v>2008893.3583099907</v>
          </cell>
          <cell r="D283">
            <v>32.753696059402017</v>
          </cell>
          <cell r="E283">
            <v>1205336.0149859942</v>
          </cell>
          <cell r="F283">
            <v>34.937275796695488</v>
          </cell>
          <cell r="G283">
            <v>1285691.7493183939</v>
          </cell>
        </row>
        <row r="284">
          <cell r="A284" t="str">
            <v>Barura</v>
          </cell>
          <cell r="B284">
            <v>222.90709818204152</v>
          </cell>
          <cell r="C284">
            <v>8202981.2130991276</v>
          </cell>
          <cell r="D284">
            <v>133.7442589092249</v>
          </cell>
          <cell r="E284">
            <v>4921788.7278594766</v>
          </cell>
          <cell r="F284">
            <v>142.66054283650658</v>
          </cell>
          <cell r="G284">
            <v>5249907.9763834421</v>
          </cell>
        </row>
        <row r="285">
          <cell r="A285" t="str">
            <v>Lalmai</v>
          </cell>
          <cell r="B285">
            <v>85.978452155930256</v>
          </cell>
          <cell r="C285">
            <v>3164007.0393382334</v>
          </cell>
          <cell r="D285">
            <v>51.587071293558161</v>
          </cell>
          <cell r="E285">
            <v>1898404.2236029403</v>
          </cell>
          <cell r="F285">
            <v>55.026209379795368</v>
          </cell>
          <cell r="G285">
            <v>2024964.5051764695</v>
          </cell>
        </row>
        <row r="286">
          <cell r="A286" t="str">
            <v>Nangalkot</v>
          </cell>
          <cell r="B286">
            <v>126.10172982869774</v>
          </cell>
          <cell r="C286">
            <v>4640543.6576960767</v>
          </cell>
          <cell r="D286">
            <v>75.661037897218648</v>
          </cell>
          <cell r="E286">
            <v>2784326.1946176463</v>
          </cell>
          <cell r="F286">
            <v>80.705107090366553</v>
          </cell>
          <cell r="G286">
            <v>2969947.9409254892</v>
          </cell>
        </row>
        <row r="287">
          <cell r="A287" t="str">
            <v>Monohorgonj</v>
          </cell>
          <cell r="B287">
            <v>131.83362663909313</v>
          </cell>
          <cell r="C287">
            <v>4851477.4603186268</v>
          </cell>
          <cell r="D287">
            <v>79.10017598345587</v>
          </cell>
          <cell r="E287">
            <v>2910886.4761911761</v>
          </cell>
          <cell r="F287">
            <v>84.373521049019601</v>
          </cell>
          <cell r="G287">
            <v>3104945.5746039213</v>
          </cell>
        </row>
        <row r="288">
          <cell r="A288" t="str">
            <v>Laksam</v>
          </cell>
          <cell r="B288">
            <v>142.38775486369093</v>
          </cell>
          <cell r="C288">
            <v>5239869.3789838264</v>
          </cell>
          <cell r="D288">
            <v>85.432652918214572</v>
          </cell>
          <cell r="E288">
            <v>3143921.6273902962</v>
          </cell>
          <cell r="F288">
            <v>91.128163112762209</v>
          </cell>
          <cell r="G288">
            <v>3353516.4025496491</v>
          </cell>
        </row>
        <row r="289">
          <cell r="A289" t="str">
            <v>Chandpur Area</v>
          </cell>
          <cell r="B289">
            <v>1014.0000000000002</v>
          </cell>
          <cell r="C289">
            <v>37315200.000000007</v>
          </cell>
          <cell r="D289">
            <v>608.4</v>
          </cell>
          <cell r="E289">
            <v>22389120</v>
          </cell>
          <cell r="F289">
            <v>648.96</v>
          </cell>
          <cell r="G289">
            <v>23881728</v>
          </cell>
        </row>
        <row r="290">
          <cell r="A290" t="str">
            <v>Chauddagram</v>
          </cell>
          <cell r="B290">
            <v>156</v>
          </cell>
          <cell r="C290">
            <v>5740800</v>
          </cell>
          <cell r="D290">
            <v>93.6</v>
          </cell>
          <cell r="E290">
            <v>3444480</v>
          </cell>
          <cell r="F290">
            <v>99.839999999999989</v>
          </cell>
          <cell r="G290">
            <v>3674111.9999999995</v>
          </cell>
        </row>
        <row r="291">
          <cell r="A291" t="str">
            <v>Chandina</v>
          </cell>
          <cell r="B291">
            <v>245.9315857654797</v>
          </cell>
          <cell r="C291">
            <v>9050282.3561696522</v>
          </cell>
          <cell r="D291">
            <v>147.55895145928781</v>
          </cell>
          <cell r="E291">
            <v>5430169.4137017913</v>
          </cell>
          <cell r="F291">
            <v>157.39621488990701</v>
          </cell>
          <cell r="G291">
            <v>5792180.7079485785</v>
          </cell>
        </row>
        <row r="292">
          <cell r="A292" t="str">
            <v>Debidwar</v>
          </cell>
          <cell r="B292">
            <v>109.30292700687987</v>
          </cell>
          <cell r="C292">
            <v>4022347.713853179</v>
          </cell>
          <cell r="D292">
            <v>65.581756204127927</v>
          </cell>
          <cell r="E292">
            <v>2413408.6283119079</v>
          </cell>
          <cell r="F292">
            <v>69.953873284403116</v>
          </cell>
          <cell r="G292">
            <v>2574302.5368660348</v>
          </cell>
        </row>
        <row r="293">
          <cell r="A293" t="str">
            <v>Burichang</v>
          </cell>
          <cell r="B293">
            <v>191.28012226203975</v>
          </cell>
          <cell r="C293">
            <v>7039108.4992430629</v>
          </cell>
          <cell r="D293">
            <v>114.76807335722386</v>
          </cell>
          <cell r="E293">
            <v>4223465.0995458383</v>
          </cell>
          <cell r="F293">
            <v>122.41927824770544</v>
          </cell>
          <cell r="G293">
            <v>4505029.4395155599</v>
          </cell>
        </row>
        <row r="294">
          <cell r="A294" t="str">
            <v>Brahmanpara</v>
          </cell>
          <cell r="B294">
            <v>169.68397942600299</v>
          </cell>
          <cell r="C294">
            <v>6244370.4428769099</v>
          </cell>
          <cell r="D294">
            <v>101.8103876556018</v>
          </cell>
          <cell r="E294">
            <v>3746622.2657261463</v>
          </cell>
          <cell r="F294">
            <v>108.59774683264192</v>
          </cell>
          <cell r="G294">
            <v>3996397.0834412226</v>
          </cell>
        </row>
        <row r="295">
          <cell r="A295" t="str">
            <v>Daudkandi</v>
          </cell>
          <cell r="B295">
            <v>57</v>
          </cell>
          <cell r="C295">
            <v>2097600</v>
          </cell>
          <cell r="D295">
            <v>34.200000000000003</v>
          </cell>
          <cell r="E295">
            <v>1258560</v>
          </cell>
          <cell r="F295">
            <v>36.480000000000004</v>
          </cell>
          <cell r="G295">
            <v>1342464.0000000002</v>
          </cell>
        </row>
        <row r="296">
          <cell r="A296" t="str">
            <v>Muradnagar</v>
          </cell>
          <cell r="B296">
            <v>83.999999999999986</v>
          </cell>
          <cell r="C296">
            <v>3091199.9999999995</v>
          </cell>
          <cell r="D296">
            <v>50.4</v>
          </cell>
          <cell r="E296">
            <v>1854720</v>
          </cell>
          <cell r="F296">
            <v>53.76</v>
          </cell>
          <cell r="G296">
            <v>1978368</v>
          </cell>
        </row>
        <row r="297">
          <cell r="A297" t="str">
            <v>Cumilla Area</v>
          </cell>
          <cell r="B297">
            <v>1013.1986144604024</v>
          </cell>
          <cell r="C297">
            <v>37285709.012142807</v>
          </cell>
          <cell r="D297">
            <v>607.91916867624138</v>
          </cell>
          <cell r="E297">
            <v>22371425.407285683</v>
          </cell>
          <cell r="F297">
            <v>648.44711325465755</v>
          </cell>
          <cell r="G297">
            <v>23862853.767771397</v>
          </cell>
        </row>
        <row r="298">
          <cell r="A298" t="str">
            <v>Brahamanbaria</v>
          </cell>
          <cell r="B298">
            <v>24.000000000000004</v>
          </cell>
          <cell r="C298">
            <v>883200.00000000012</v>
          </cell>
          <cell r="D298">
            <v>14.4</v>
          </cell>
          <cell r="E298">
            <v>529920</v>
          </cell>
          <cell r="F298">
            <v>15.360000000000001</v>
          </cell>
          <cell r="G298">
            <v>565248</v>
          </cell>
        </row>
        <row r="299">
          <cell r="A299" t="str">
            <v>Sarail</v>
          </cell>
          <cell r="B299">
            <v>20.999999999999996</v>
          </cell>
          <cell r="C299">
            <v>772799.99999999988</v>
          </cell>
          <cell r="D299">
            <v>12.6</v>
          </cell>
          <cell r="E299">
            <v>463680</v>
          </cell>
          <cell r="F299">
            <v>13.44</v>
          </cell>
          <cell r="G299">
            <v>494592</v>
          </cell>
        </row>
        <row r="300">
          <cell r="A300" t="str">
            <v>Kasba</v>
          </cell>
          <cell r="B300">
            <v>96.000000000000014</v>
          </cell>
          <cell r="C300">
            <v>3532800.0000000005</v>
          </cell>
          <cell r="D300">
            <v>57.6</v>
          </cell>
          <cell r="E300">
            <v>2119680</v>
          </cell>
          <cell r="F300">
            <v>61.440000000000005</v>
          </cell>
          <cell r="G300">
            <v>2260992</v>
          </cell>
        </row>
        <row r="301">
          <cell r="A301" t="str">
            <v>Habiganj</v>
          </cell>
          <cell r="B301">
            <v>20.999999999999996</v>
          </cell>
          <cell r="C301">
            <v>772799.99999999988</v>
          </cell>
          <cell r="D301">
            <v>12.6</v>
          </cell>
          <cell r="E301">
            <v>463680</v>
          </cell>
          <cell r="F301">
            <v>13.44</v>
          </cell>
          <cell r="G301">
            <v>494592</v>
          </cell>
        </row>
        <row r="302">
          <cell r="A302" t="str">
            <v>Nabiganj</v>
          </cell>
          <cell r="B302">
            <v>20.999999999999996</v>
          </cell>
          <cell r="C302">
            <v>772799.99999999988</v>
          </cell>
          <cell r="D302">
            <v>12.6</v>
          </cell>
          <cell r="E302">
            <v>463680</v>
          </cell>
          <cell r="F302">
            <v>13.44</v>
          </cell>
          <cell r="G302">
            <v>494592</v>
          </cell>
        </row>
        <row r="303">
          <cell r="A303" t="str">
            <v>Kulaura</v>
          </cell>
          <cell r="B303">
            <v>6.0000000000000009</v>
          </cell>
          <cell r="C303">
            <v>220800.00000000003</v>
          </cell>
          <cell r="D303">
            <v>3.6</v>
          </cell>
          <cell r="E303">
            <v>132480</v>
          </cell>
          <cell r="F303">
            <v>3.8400000000000003</v>
          </cell>
          <cell r="G303">
            <v>141312</v>
          </cell>
        </row>
        <row r="304">
          <cell r="A304" t="str">
            <v>Maulvibazar</v>
          </cell>
          <cell r="B304">
            <v>6.0000000000000009</v>
          </cell>
          <cell r="C304">
            <v>220800.00000000003</v>
          </cell>
          <cell r="D304">
            <v>3.6</v>
          </cell>
          <cell r="E304">
            <v>132480</v>
          </cell>
          <cell r="F304">
            <v>3.8400000000000003</v>
          </cell>
          <cell r="G304">
            <v>141312</v>
          </cell>
        </row>
        <row r="305">
          <cell r="A305" t="str">
            <v>Sylhet sadar</v>
          </cell>
          <cell r="B305">
            <v>9</v>
          </cell>
          <cell r="C305">
            <v>331200</v>
          </cell>
          <cell r="D305">
            <v>5.4</v>
          </cell>
          <cell r="E305">
            <v>198720</v>
          </cell>
          <cell r="F305">
            <v>5.76</v>
          </cell>
          <cell r="G305">
            <v>211968</v>
          </cell>
        </row>
        <row r="306">
          <cell r="A306" t="str">
            <v xml:space="preserve">Golapganj </v>
          </cell>
          <cell r="B306">
            <v>9</v>
          </cell>
          <cell r="C306">
            <v>331200</v>
          </cell>
          <cell r="D306">
            <v>5.4</v>
          </cell>
          <cell r="E306">
            <v>198720</v>
          </cell>
          <cell r="F306">
            <v>5.76</v>
          </cell>
          <cell r="G306">
            <v>211968</v>
          </cell>
        </row>
        <row r="307">
          <cell r="A307" t="str">
            <v>Jauwabazar</v>
          </cell>
          <cell r="B307">
            <v>6.0000000000000009</v>
          </cell>
          <cell r="C307">
            <v>220800.00000000003</v>
          </cell>
          <cell r="D307">
            <v>3.6</v>
          </cell>
          <cell r="E307">
            <v>132480</v>
          </cell>
          <cell r="F307">
            <v>3.8400000000000003</v>
          </cell>
          <cell r="G307">
            <v>141312</v>
          </cell>
        </row>
        <row r="308">
          <cell r="A308" t="str">
            <v>Sunamganj</v>
          </cell>
          <cell r="B308">
            <v>6.0000000000000009</v>
          </cell>
          <cell r="C308">
            <v>220800.00000000003</v>
          </cell>
          <cell r="D308">
            <v>3.6</v>
          </cell>
          <cell r="E308">
            <v>132480</v>
          </cell>
          <cell r="F308">
            <v>3.8400000000000003</v>
          </cell>
          <cell r="G308">
            <v>141312</v>
          </cell>
        </row>
        <row r="309">
          <cell r="A309" t="str">
            <v>Sylhet Area</v>
          </cell>
          <cell r="B309">
            <v>225</v>
          </cell>
          <cell r="C309">
            <v>8280000</v>
          </cell>
          <cell r="D309">
            <v>134.99999999999997</v>
          </cell>
          <cell r="E309">
            <v>4967999.9999999991</v>
          </cell>
          <cell r="F309">
            <v>144</v>
          </cell>
          <cell r="G309">
            <v>5299200</v>
          </cell>
        </row>
        <row r="310">
          <cell r="A310" t="str">
            <v>Cumilla Zone</v>
          </cell>
          <cell r="B310">
            <v>2252.1986144604025</v>
          </cell>
          <cell r="C310">
            <v>82880909.012142807</v>
          </cell>
          <cell r="D310">
            <v>1351.3191686762414</v>
          </cell>
          <cell r="E310">
            <v>49728545.407285683</v>
          </cell>
          <cell r="F310">
            <v>1441.4071132546576</v>
          </cell>
          <cell r="G310">
            <v>53043781.767771401</v>
          </cell>
        </row>
        <row r="311">
          <cell r="A311" t="str">
            <v>Feni Sadar</v>
          </cell>
          <cell r="B311">
            <v>89.999999999999986</v>
          </cell>
          <cell r="C311">
            <v>3311999.9999999995</v>
          </cell>
          <cell r="D311">
            <v>53.999999999999993</v>
          </cell>
          <cell r="E311">
            <v>1987199.9999999998</v>
          </cell>
          <cell r="F311">
            <v>57.599999999999994</v>
          </cell>
          <cell r="G311">
            <v>2119680</v>
          </cell>
        </row>
        <row r="312">
          <cell r="A312" t="str">
            <v>Daganbhuiyan</v>
          </cell>
          <cell r="B312">
            <v>179.99999999999997</v>
          </cell>
          <cell r="C312">
            <v>6623999.9999999991</v>
          </cell>
          <cell r="D312">
            <v>107.99999999999999</v>
          </cell>
          <cell r="E312">
            <v>3974399.9999999995</v>
          </cell>
          <cell r="F312">
            <v>115.19999999999999</v>
          </cell>
          <cell r="G312">
            <v>4239360</v>
          </cell>
        </row>
        <row r="313">
          <cell r="A313" t="str">
            <v>Parshuram</v>
          </cell>
          <cell r="B313">
            <v>60</v>
          </cell>
          <cell r="C313">
            <v>2208000</v>
          </cell>
          <cell r="D313">
            <v>36</v>
          </cell>
          <cell r="E313">
            <v>1324800</v>
          </cell>
          <cell r="F313">
            <v>38.4</v>
          </cell>
          <cell r="G313">
            <v>1413120</v>
          </cell>
        </row>
        <row r="314">
          <cell r="A314" t="str">
            <v>Sonagazi</v>
          </cell>
          <cell r="B314">
            <v>120</v>
          </cell>
          <cell r="C314">
            <v>4416000</v>
          </cell>
          <cell r="D314">
            <v>72</v>
          </cell>
          <cell r="E314">
            <v>2649600</v>
          </cell>
          <cell r="F314">
            <v>76.8</v>
          </cell>
          <cell r="G314">
            <v>2826240</v>
          </cell>
        </row>
        <row r="315">
          <cell r="A315" t="str">
            <v>Feni Area</v>
          </cell>
          <cell r="B315">
            <v>449.99999999999994</v>
          </cell>
          <cell r="C315">
            <v>16559999.999999998</v>
          </cell>
          <cell r="D315">
            <v>270</v>
          </cell>
          <cell r="E315">
            <v>9936000</v>
          </cell>
          <cell r="F315">
            <v>288</v>
          </cell>
          <cell r="G315">
            <v>10598400</v>
          </cell>
        </row>
        <row r="316">
          <cell r="A316" t="str">
            <v>Subarnachar</v>
          </cell>
          <cell r="B316">
            <v>165</v>
          </cell>
          <cell r="C316">
            <v>6072000</v>
          </cell>
          <cell r="D316">
            <v>99</v>
          </cell>
          <cell r="E316">
            <v>3643200</v>
          </cell>
          <cell r="F316">
            <v>105.60000000000001</v>
          </cell>
          <cell r="G316">
            <v>3886080.0000000005</v>
          </cell>
        </row>
        <row r="317">
          <cell r="A317" t="str">
            <v>Sonaimuri</v>
          </cell>
          <cell r="B317">
            <v>54</v>
          </cell>
          <cell r="C317">
            <v>1987200</v>
          </cell>
          <cell r="D317">
            <v>32.4</v>
          </cell>
          <cell r="E317">
            <v>1192320</v>
          </cell>
          <cell r="F317">
            <v>34.56</v>
          </cell>
          <cell r="G317">
            <v>1271808</v>
          </cell>
        </row>
        <row r="318">
          <cell r="A318" t="str">
            <v>Noakhali</v>
          </cell>
          <cell r="B318">
            <v>99</v>
          </cell>
          <cell r="C318">
            <v>3643200</v>
          </cell>
          <cell r="D318">
            <v>59.4</v>
          </cell>
          <cell r="E318">
            <v>2185920</v>
          </cell>
          <cell r="F318">
            <v>63.36</v>
          </cell>
          <cell r="G318">
            <v>2331648</v>
          </cell>
        </row>
        <row r="319">
          <cell r="A319" t="str">
            <v>Begumganj</v>
          </cell>
          <cell r="B319">
            <v>66</v>
          </cell>
          <cell r="C319">
            <v>2428800</v>
          </cell>
          <cell r="D319">
            <v>39.6</v>
          </cell>
          <cell r="E319">
            <v>1457280</v>
          </cell>
          <cell r="F319">
            <v>42.24</v>
          </cell>
          <cell r="G319">
            <v>1554432</v>
          </cell>
        </row>
        <row r="320">
          <cell r="A320" t="str">
            <v xml:space="preserve"> Senbag </v>
          </cell>
          <cell r="B320">
            <v>66</v>
          </cell>
          <cell r="C320">
            <v>2428800</v>
          </cell>
          <cell r="D320">
            <v>39.6</v>
          </cell>
          <cell r="E320">
            <v>1457280</v>
          </cell>
          <cell r="F320">
            <v>42.24</v>
          </cell>
          <cell r="G320">
            <v>1554432</v>
          </cell>
        </row>
        <row r="321">
          <cell r="A321" t="str">
            <v>Kabirhat</v>
          </cell>
          <cell r="B321">
            <v>81</v>
          </cell>
          <cell r="C321">
            <v>2980800</v>
          </cell>
          <cell r="D321">
            <v>48.6</v>
          </cell>
          <cell r="E321">
            <v>1788480</v>
          </cell>
          <cell r="F321">
            <v>51.84</v>
          </cell>
          <cell r="G321">
            <v>1907712.0000000002</v>
          </cell>
        </row>
        <row r="322">
          <cell r="A322" t="str">
            <v>Companiganj_Noakhali</v>
          </cell>
          <cell r="B322">
            <v>66</v>
          </cell>
          <cell r="C322">
            <v>2428800</v>
          </cell>
          <cell r="D322">
            <v>39.6</v>
          </cell>
          <cell r="E322">
            <v>1457280</v>
          </cell>
          <cell r="F322">
            <v>42.24</v>
          </cell>
          <cell r="G322">
            <v>1554432</v>
          </cell>
        </row>
        <row r="323">
          <cell r="A323" t="str">
            <v>Lakshmipur Sadar</v>
          </cell>
          <cell r="B323">
            <v>81</v>
          </cell>
          <cell r="C323">
            <v>2980800</v>
          </cell>
          <cell r="D323">
            <v>48.6</v>
          </cell>
          <cell r="E323">
            <v>1788480</v>
          </cell>
          <cell r="F323">
            <v>51.84</v>
          </cell>
          <cell r="G323">
            <v>1907712.0000000002</v>
          </cell>
        </row>
        <row r="324">
          <cell r="A324" t="str">
            <v>Raipur</v>
          </cell>
          <cell r="B324">
            <v>36</v>
          </cell>
          <cell r="C324">
            <v>1324800</v>
          </cell>
          <cell r="D324">
            <v>21.6</v>
          </cell>
          <cell r="E324">
            <v>794880</v>
          </cell>
          <cell r="F324">
            <v>23.04</v>
          </cell>
          <cell r="G324">
            <v>847872</v>
          </cell>
        </row>
        <row r="325">
          <cell r="A325" t="str">
            <v>Noakhali Area</v>
          </cell>
          <cell r="B325">
            <v>714</v>
          </cell>
          <cell r="C325">
            <v>26275200</v>
          </cell>
          <cell r="D325">
            <v>428.40000000000009</v>
          </cell>
          <cell r="E325">
            <v>15765120.000000004</v>
          </cell>
          <cell r="F325">
            <v>456.96000000000009</v>
          </cell>
          <cell r="G325">
            <v>16816128.000000004</v>
          </cell>
        </row>
        <row r="326">
          <cell r="A326" t="str">
            <v>Chakaria</v>
          </cell>
          <cell r="B326">
            <v>48.000000000000007</v>
          </cell>
          <cell r="C326">
            <v>1766400.0000000002</v>
          </cell>
          <cell r="D326">
            <v>28.8</v>
          </cell>
          <cell r="E326">
            <v>1059840</v>
          </cell>
          <cell r="F326">
            <v>30.720000000000002</v>
          </cell>
          <cell r="G326">
            <v>1130496</v>
          </cell>
        </row>
        <row r="327">
          <cell r="A327" t="str">
            <v>Anwara</v>
          </cell>
          <cell r="B327">
            <v>24.000000000000004</v>
          </cell>
          <cell r="C327">
            <v>883200.00000000012</v>
          </cell>
          <cell r="D327">
            <v>14.4</v>
          </cell>
          <cell r="E327">
            <v>529920</v>
          </cell>
          <cell r="F327">
            <v>15.360000000000001</v>
          </cell>
          <cell r="G327">
            <v>565248</v>
          </cell>
        </row>
        <row r="328">
          <cell r="A328" t="str">
            <v>Banshkhali</v>
          </cell>
          <cell r="B328">
            <v>24.000000000000004</v>
          </cell>
          <cell r="C328">
            <v>883200.00000000012</v>
          </cell>
          <cell r="D328">
            <v>14.4</v>
          </cell>
          <cell r="E328">
            <v>529920</v>
          </cell>
          <cell r="F328">
            <v>15.360000000000001</v>
          </cell>
          <cell r="G328">
            <v>565248</v>
          </cell>
        </row>
        <row r="329">
          <cell r="A329" t="str">
            <v>Hathazari</v>
          </cell>
          <cell r="B329">
            <v>18</v>
          </cell>
          <cell r="C329">
            <v>662400</v>
          </cell>
          <cell r="D329">
            <v>10.8</v>
          </cell>
          <cell r="E329">
            <v>397440</v>
          </cell>
          <cell r="F329">
            <v>11.52</v>
          </cell>
          <cell r="G329">
            <v>423936</v>
          </cell>
        </row>
        <row r="330">
          <cell r="A330" t="str">
            <v>Raozan</v>
          </cell>
          <cell r="B330">
            <v>18</v>
          </cell>
          <cell r="C330">
            <v>662400</v>
          </cell>
          <cell r="D330">
            <v>10.8</v>
          </cell>
          <cell r="E330">
            <v>397440</v>
          </cell>
          <cell r="F330">
            <v>11.52</v>
          </cell>
          <cell r="G330">
            <v>423936</v>
          </cell>
        </row>
        <row r="331">
          <cell r="A331" t="str">
            <v>Mirsharai</v>
          </cell>
          <cell r="B331">
            <v>63</v>
          </cell>
          <cell r="C331">
            <v>2318400</v>
          </cell>
          <cell r="D331">
            <v>37.800000000000004</v>
          </cell>
          <cell r="E331">
            <v>1391040.0000000002</v>
          </cell>
          <cell r="F331">
            <v>40.32</v>
          </cell>
          <cell r="G331">
            <v>1483776</v>
          </cell>
        </row>
        <row r="332">
          <cell r="A332" t="str">
            <v>Chattogram Metro</v>
          </cell>
          <cell r="B332">
            <v>36</v>
          </cell>
          <cell r="C332">
            <v>1324800</v>
          </cell>
          <cell r="D332">
            <v>21.6</v>
          </cell>
          <cell r="E332">
            <v>794880</v>
          </cell>
          <cell r="F332">
            <v>23.04</v>
          </cell>
          <cell r="G332">
            <v>847872</v>
          </cell>
        </row>
        <row r="333">
          <cell r="A333" t="str">
            <v>Lohagara_CTG</v>
          </cell>
          <cell r="B333">
            <v>36</v>
          </cell>
          <cell r="C333">
            <v>1324800</v>
          </cell>
          <cell r="D333">
            <v>21.6</v>
          </cell>
          <cell r="E333">
            <v>794880</v>
          </cell>
          <cell r="F333">
            <v>23.04</v>
          </cell>
          <cell r="G333">
            <v>847872</v>
          </cell>
        </row>
        <row r="334">
          <cell r="A334" t="str">
            <v xml:space="preserve">Ukhia </v>
          </cell>
          <cell r="B334">
            <v>36</v>
          </cell>
          <cell r="C334">
            <v>1324800</v>
          </cell>
          <cell r="D334">
            <v>21.6</v>
          </cell>
          <cell r="E334">
            <v>794880</v>
          </cell>
          <cell r="F334">
            <v>23.04</v>
          </cell>
          <cell r="G334">
            <v>847872</v>
          </cell>
        </row>
        <row r="335">
          <cell r="A335" t="str">
            <v>Cox's Bazar</v>
          </cell>
          <cell r="B335">
            <v>36</v>
          </cell>
          <cell r="C335">
            <v>1324800</v>
          </cell>
          <cell r="D335">
            <v>21.6</v>
          </cell>
          <cell r="E335">
            <v>794880</v>
          </cell>
          <cell r="F335">
            <v>23.04</v>
          </cell>
          <cell r="G335">
            <v>847872</v>
          </cell>
        </row>
        <row r="336">
          <cell r="A336" t="str">
            <v>CTG Area</v>
          </cell>
          <cell r="B336">
            <v>339</v>
          </cell>
          <cell r="C336">
            <v>12475200</v>
          </cell>
          <cell r="D336">
            <v>203.39999999999998</v>
          </cell>
          <cell r="E336">
            <v>7485119.9999999991</v>
          </cell>
          <cell r="F336">
            <v>216.95999999999998</v>
          </cell>
          <cell r="G336">
            <v>7984127.9999999991</v>
          </cell>
        </row>
        <row r="337">
          <cell r="A337" t="str">
            <v>Noakhali Zone</v>
          </cell>
          <cell r="B337">
            <v>1503</v>
          </cell>
          <cell r="C337">
            <v>55310400</v>
          </cell>
          <cell r="D337">
            <v>901.80000000000007</v>
          </cell>
          <cell r="E337">
            <v>33186240.000000004</v>
          </cell>
          <cell r="F337">
            <v>961.92000000000007</v>
          </cell>
          <cell r="G337">
            <v>35398656</v>
          </cell>
        </row>
        <row r="338">
          <cell r="A338" t="str">
            <v>East Division</v>
          </cell>
          <cell r="B338">
            <v>3755.1986144604025</v>
          </cell>
          <cell r="C338">
            <v>138191309.01214281</v>
          </cell>
          <cell r="D338">
            <v>2253.1191686762413</v>
          </cell>
          <cell r="E338">
            <v>82914785.407285675</v>
          </cell>
          <cell r="F338">
            <v>2403.3271132546579</v>
          </cell>
          <cell r="G338">
            <v>88442437.767771408</v>
          </cell>
        </row>
        <row r="339">
          <cell r="A339" t="str">
            <v>National Total</v>
          </cell>
          <cell r="B339">
            <v>37499.208318757905</v>
          </cell>
          <cell r="C339">
            <v>1379970866.130291</v>
          </cell>
          <cell r="D339">
            <v>22499.524991254741</v>
          </cell>
          <cell r="E339">
            <v>827982519.6781745</v>
          </cell>
          <cell r="F339">
            <v>23999.493324005056</v>
          </cell>
          <cell r="G339">
            <v>883181354.32338607</v>
          </cell>
        </row>
        <row r="342">
          <cell r="B342">
            <v>222.222222222222</v>
          </cell>
          <cell r="D342">
            <v>133.33333333333334</v>
          </cell>
          <cell r="F342">
            <v>142.22222222222223</v>
          </cell>
        </row>
        <row r="343">
          <cell r="B343">
            <v>218.25396825396828</v>
          </cell>
          <cell r="D343">
            <v>130.95238095238096</v>
          </cell>
          <cell r="F343">
            <v>139.6825396825397</v>
          </cell>
        </row>
        <row r="344">
          <cell r="B344">
            <v>79.365079365079353</v>
          </cell>
          <cell r="D344">
            <v>47.619047619047613</v>
          </cell>
          <cell r="F344">
            <v>50.793650793650784</v>
          </cell>
        </row>
        <row r="345">
          <cell r="B345">
            <v>192.46031746031747</v>
          </cell>
          <cell r="D345">
            <v>115.47619047619047</v>
          </cell>
          <cell r="F345">
            <v>123.17460317460318</v>
          </cell>
        </row>
        <row r="346">
          <cell r="B346">
            <v>144.84126984126979</v>
          </cell>
          <cell r="D346">
            <v>86.90476190476187</v>
          </cell>
          <cell r="F346">
            <v>92.698412698412668</v>
          </cell>
        </row>
        <row r="347">
          <cell r="B347">
            <v>105.15873015873012</v>
          </cell>
          <cell r="D347">
            <v>63.095238095238081</v>
          </cell>
          <cell r="F347">
            <v>67.301587301587276</v>
          </cell>
        </row>
        <row r="348">
          <cell r="B348">
            <v>162.69841269841268</v>
          </cell>
          <cell r="D348">
            <v>97.619047619047606</v>
          </cell>
          <cell r="F348">
            <v>104.12698412698411</v>
          </cell>
        </row>
        <row r="349">
          <cell r="B349">
            <v>1125</v>
          </cell>
          <cell r="D349">
            <v>674.99999999999989</v>
          </cell>
          <cell r="F349">
            <v>719.99999999999989</v>
          </cell>
        </row>
        <row r="350">
          <cell r="B350">
            <v>135</v>
          </cell>
          <cell r="D350">
            <v>81</v>
          </cell>
          <cell r="F350">
            <v>86.399999999999991</v>
          </cell>
        </row>
        <row r="351">
          <cell r="B351">
            <v>207</v>
          </cell>
          <cell r="D351">
            <v>124.19999999999999</v>
          </cell>
          <cell r="F351">
            <v>132.47999999999999</v>
          </cell>
        </row>
        <row r="352">
          <cell r="B352">
            <v>215.99999999999994</v>
          </cell>
          <cell r="D352">
            <v>129.59999999999997</v>
          </cell>
          <cell r="F352">
            <v>138.23999999999998</v>
          </cell>
        </row>
        <row r="353">
          <cell r="B353">
            <v>135</v>
          </cell>
          <cell r="D353">
            <v>81</v>
          </cell>
          <cell r="F353">
            <v>86.399999999999991</v>
          </cell>
        </row>
        <row r="354">
          <cell r="B354">
            <v>135</v>
          </cell>
          <cell r="D354">
            <v>81</v>
          </cell>
          <cell r="F354">
            <v>86.399999999999991</v>
          </cell>
        </row>
        <row r="355">
          <cell r="B355">
            <v>135</v>
          </cell>
          <cell r="D355">
            <v>81</v>
          </cell>
          <cell r="F355">
            <v>86.399999999999991</v>
          </cell>
        </row>
        <row r="356">
          <cell r="B356">
            <v>162.00000000000003</v>
          </cell>
          <cell r="D356">
            <v>97.200000000000017</v>
          </cell>
          <cell r="F356">
            <v>103.68000000000002</v>
          </cell>
        </row>
        <row r="357">
          <cell r="B357">
            <v>1125</v>
          </cell>
          <cell r="D357">
            <v>675</v>
          </cell>
          <cell r="F357">
            <v>720</v>
          </cell>
        </row>
        <row r="358">
          <cell r="B358">
            <v>121.62162162162164</v>
          </cell>
          <cell r="D358">
            <v>72.972972972972983</v>
          </cell>
          <cell r="F358">
            <v>77.837837837837853</v>
          </cell>
        </row>
        <row r="359">
          <cell r="B359">
            <v>162.16216216216213</v>
          </cell>
          <cell r="D359">
            <v>97.297297297297277</v>
          </cell>
          <cell r="F359">
            <v>103.78378378378376</v>
          </cell>
        </row>
        <row r="360">
          <cell r="B360">
            <v>141.89189189189185</v>
          </cell>
          <cell r="D360">
            <v>85.135135135135116</v>
          </cell>
          <cell r="F360">
            <v>90.810810810810793</v>
          </cell>
        </row>
        <row r="361">
          <cell r="B361">
            <v>101.35135135135134</v>
          </cell>
          <cell r="D361">
            <v>60.810810810810807</v>
          </cell>
          <cell r="F361">
            <v>64.864864864864856</v>
          </cell>
        </row>
        <row r="362">
          <cell r="B362">
            <v>162.16216216216213</v>
          </cell>
          <cell r="D362">
            <v>97.297297297297277</v>
          </cell>
          <cell r="F362">
            <v>103.78378378378376</v>
          </cell>
        </row>
        <row r="363">
          <cell r="B363">
            <v>60.810810810810821</v>
          </cell>
          <cell r="D363">
            <v>36.486486486486491</v>
          </cell>
          <cell r="F363">
            <v>38.918918918918926</v>
          </cell>
        </row>
        <row r="364">
          <cell r="B364">
            <v>750</v>
          </cell>
          <cell r="D364">
            <v>449.99999999999994</v>
          </cell>
          <cell r="F364">
            <v>479.99999999999989</v>
          </cell>
        </row>
        <row r="365">
          <cell r="B365">
            <v>284.41596945576504</v>
          </cell>
          <cell r="D365">
            <v>170.64958167345901</v>
          </cell>
          <cell r="F365">
            <v>182.02622045168962</v>
          </cell>
        </row>
        <row r="366">
          <cell r="B366">
            <v>284.41596945576504</v>
          </cell>
          <cell r="D366">
            <v>170.64958167345901</v>
          </cell>
          <cell r="F366">
            <v>182.02622045168962</v>
          </cell>
        </row>
        <row r="367">
          <cell r="B367">
            <v>255.97437251018852</v>
          </cell>
          <cell r="D367">
            <v>153.5846235061131</v>
          </cell>
          <cell r="F367">
            <v>163.82359840652063</v>
          </cell>
        </row>
        <row r="368">
          <cell r="B368">
            <v>170.64958167345904</v>
          </cell>
          <cell r="D368">
            <v>102.38974900407543</v>
          </cell>
          <cell r="F368">
            <v>109.21573227101378</v>
          </cell>
        </row>
        <row r="369">
          <cell r="B369">
            <v>170.64958167345904</v>
          </cell>
          <cell r="D369">
            <v>102.38974900407543</v>
          </cell>
          <cell r="F369">
            <v>109.21573227101378</v>
          </cell>
        </row>
        <row r="370">
          <cell r="B370">
            <v>85.32479083672952</v>
          </cell>
          <cell r="D370">
            <v>51.194874502037713</v>
          </cell>
          <cell r="F370">
            <v>54.607866135506889</v>
          </cell>
        </row>
        <row r="371">
          <cell r="B371">
            <v>94.805323151921669</v>
          </cell>
          <cell r="D371">
            <v>56.883193891153006</v>
          </cell>
          <cell r="F371">
            <v>60.67540681722987</v>
          </cell>
        </row>
        <row r="372">
          <cell r="B372">
            <v>228.76441124271196</v>
          </cell>
          <cell r="D372">
            <v>137.25864674562717</v>
          </cell>
          <cell r="F372">
            <v>146.40922319533564</v>
          </cell>
        </row>
        <row r="373">
          <cell r="B373">
            <v>1574.9999999999998</v>
          </cell>
          <cell r="D373">
            <v>944.99999999999977</v>
          </cell>
          <cell r="F373">
            <v>1007.9999999999998</v>
          </cell>
        </row>
        <row r="374">
          <cell r="B374">
            <v>4575</v>
          </cell>
          <cell r="D374">
            <v>2745</v>
          </cell>
          <cell r="F374">
            <v>2927.9999999999995</v>
          </cell>
        </row>
        <row r="375">
          <cell r="B375">
            <v>136.32180676918037</v>
          </cell>
          <cell r="D375">
            <v>81.79308406150821</v>
          </cell>
          <cell r="F375">
            <v>87.245956332275426</v>
          </cell>
        </row>
        <row r="376">
          <cell r="B376">
            <v>136.32180676918037</v>
          </cell>
          <cell r="D376">
            <v>81.79308406150821</v>
          </cell>
          <cell r="F376">
            <v>87.245956332275426</v>
          </cell>
        </row>
        <row r="377">
          <cell r="B377">
            <v>136.32180676918037</v>
          </cell>
          <cell r="D377">
            <v>81.79308406150821</v>
          </cell>
          <cell r="F377">
            <v>87.245956332275426</v>
          </cell>
        </row>
        <row r="378">
          <cell r="B378">
            <v>136.32180676918037</v>
          </cell>
          <cell r="D378">
            <v>81.79308406150821</v>
          </cell>
          <cell r="F378">
            <v>87.245956332275426</v>
          </cell>
        </row>
        <row r="379">
          <cell r="B379">
            <v>118.44353702895997</v>
          </cell>
          <cell r="D379">
            <v>71.066122217375977</v>
          </cell>
          <cell r="F379">
            <v>75.803863698534386</v>
          </cell>
        </row>
        <row r="380">
          <cell r="B380">
            <v>197.2692358943186</v>
          </cell>
          <cell r="D380">
            <v>118.36154153659116</v>
          </cell>
          <cell r="F380">
            <v>126.25231097236392</v>
          </cell>
        </row>
        <row r="381">
          <cell r="B381">
            <v>724.67819323081972</v>
          </cell>
          <cell r="D381">
            <v>434.80691593849178</v>
          </cell>
          <cell r="F381">
            <v>463.79404366772451</v>
          </cell>
        </row>
        <row r="382">
          <cell r="B382">
            <v>162</v>
          </cell>
          <cell r="D382">
            <v>97.2</v>
          </cell>
          <cell r="F382">
            <v>103.68</v>
          </cell>
        </row>
        <row r="383">
          <cell r="B383">
            <v>162</v>
          </cell>
          <cell r="D383">
            <v>97.2</v>
          </cell>
          <cell r="F383">
            <v>103.68</v>
          </cell>
        </row>
        <row r="384">
          <cell r="B384">
            <v>177</v>
          </cell>
          <cell r="D384">
            <v>106.2</v>
          </cell>
          <cell r="F384">
            <v>113.28</v>
          </cell>
        </row>
        <row r="385">
          <cell r="B385">
            <v>89.999999999999986</v>
          </cell>
          <cell r="D385">
            <v>53.999999999999993</v>
          </cell>
          <cell r="F385">
            <v>57.599999999999994</v>
          </cell>
        </row>
        <row r="386">
          <cell r="B386">
            <v>138</v>
          </cell>
          <cell r="D386">
            <v>82.8</v>
          </cell>
          <cell r="F386">
            <v>88.320000000000007</v>
          </cell>
        </row>
        <row r="387">
          <cell r="B387">
            <v>108</v>
          </cell>
          <cell r="D387">
            <v>64.8</v>
          </cell>
          <cell r="F387">
            <v>69.12</v>
          </cell>
        </row>
        <row r="388">
          <cell r="B388">
            <v>162</v>
          </cell>
          <cell r="D388">
            <v>97.2</v>
          </cell>
          <cell r="F388">
            <v>103.68</v>
          </cell>
        </row>
        <row r="389">
          <cell r="B389">
            <v>126</v>
          </cell>
          <cell r="D389">
            <v>75.600000000000009</v>
          </cell>
          <cell r="F389">
            <v>80.64</v>
          </cell>
        </row>
        <row r="390">
          <cell r="B390">
            <v>1125</v>
          </cell>
          <cell r="D390">
            <v>675.00000000000011</v>
          </cell>
          <cell r="F390">
            <v>720.00000000000011</v>
          </cell>
        </row>
        <row r="391">
          <cell r="B391">
            <v>351.36258952231771</v>
          </cell>
          <cell r="D391">
            <v>210.81755371339062</v>
          </cell>
          <cell r="F391">
            <v>224.87205729428331</v>
          </cell>
        </row>
        <row r="392">
          <cell r="B392">
            <v>210.81755371339065</v>
          </cell>
          <cell r="D392">
            <v>126.4905322280344</v>
          </cell>
          <cell r="F392">
            <v>134.92323437657001</v>
          </cell>
        </row>
        <row r="393">
          <cell r="B393">
            <v>105.40877685669533</v>
          </cell>
          <cell r="D393">
            <v>63.245266114017198</v>
          </cell>
          <cell r="F393">
            <v>67.461617188285004</v>
          </cell>
        </row>
        <row r="394">
          <cell r="B394">
            <v>456.77136637901299</v>
          </cell>
          <cell r="D394">
            <v>274.06281982740779</v>
          </cell>
          <cell r="F394">
            <v>292.33367448256831</v>
          </cell>
        </row>
        <row r="395">
          <cell r="B395">
            <v>176.01206951808271</v>
          </cell>
          <cell r="D395">
            <v>105.60724171084964</v>
          </cell>
          <cell r="F395">
            <v>112.64772449157294</v>
          </cell>
        </row>
        <row r="396">
          <cell r="B396">
            <v>211.5529681707724</v>
          </cell>
          <cell r="D396">
            <v>126.93178090246344</v>
          </cell>
          <cell r="F396">
            <v>135.39389962929434</v>
          </cell>
        </row>
        <row r="397">
          <cell r="B397">
            <v>210.81755371339065</v>
          </cell>
          <cell r="D397">
            <v>126.4905322280344</v>
          </cell>
          <cell r="F397">
            <v>134.92323437657001</v>
          </cell>
        </row>
        <row r="398">
          <cell r="B398">
            <v>152.25712212633769</v>
          </cell>
          <cell r="D398">
            <v>91.354273275802612</v>
          </cell>
          <cell r="F398">
            <v>97.444558160856118</v>
          </cell>
        </row>
        <row r="399">
          <cell r="B399">
            <v>2011.3218067691805</v>
          </cell>
          <cell r="D399">
            <v>1206.7930840615081</v>
          </cell>
          <cell r="F399">
            <v>1287.2459563322755</v>
          </cell>
        </row>
        <row r="400">
          <cell r="B400">
            <v>3861</v>
          </cell>
          <cell r="D400">
            <v>2316.6</v>
          </cell>
          <cell r="F400">
            <v>2471.04</v>
          </cell>
        </row>
        <row r="401">
          <cell r="B401">
            <v>226.19047619047618</v>
          </cell>
          <cell r="D401">
            <v>135.71428571428569</v>
          </cell>
          <cell r="F401">
            <v>144.76190476190476</v>
          </cell>
        </row>
        <row r="402">
          <cell r="B402">
            <v>107.14285714285714</v>
          </cell>
          <cell r="D402">
            <v>64.285714285714292</v>
          </cell>
          <cell r="F402">
            <v>68.571428571428569</v>
          </cell>
        </row>
        <row r="403">
          <cell r="B403">
            <v>150.79365079365078</v>
          </cell>
          <cell r="D403">
            <v>90.476190476190467</v>
          </cell>
          <cell r="F403">
            <v>96.507936507936506</v>
          </cell>
        </row>
        <row r="404">
          <cell r="B404">
            <v>119.04761904761908</v>
          </cell>
          <cell r="D404">
            <v>71.428571428571445</v>
          </cell>
          <cell r="F404">
            <v>76.190476190476218</v>
          </cell>
        </row>
        <row r="405">
          <cell r="B405">
            <v>190.47619047619048</v>
          </cell>
          <cell r="D405">
            <v>114.28571428571429</v>
          </cell>
          <cell r="F405">
            <v>121.9047619047619</v>
          </cell>
        </row>
        <row r="406">
          <cell r="B406">
            <v>198.41269841269843</v>
          </cell>
          <cell r="D406">
            <v>119.04761904761907</v>
          </cell>
          <cell r="F406">
            <v>126.984126984127</v>
          </cell>
        </row>
        <row r="407">
          <cell r="B407">
            <v>277.77777777777777</v>
          </cell>
          <cell r="D407">
            <v>166.66666666666666</v>
          </cell>
          <cell r="F407">
            <v>177.77777777777777</v>
          </cell>
        </row>
        <row r="408">
          <cell r="B408">
            <v>103.17460317460319</v>
          </cell>
          <cell r="D408">
            <v>61.904761904761919</v>
          </cell>
          <cell r="F408">
            <v>66.031746031746039</v>
          </cell>
        </row>
        <row r="409">
          <cell r="B409">
            <v>126.98412698412699</v>
          </cell>
          <cell r="D409">
            <v>76.19047619047619</v>
          </cell>
          <cell r="F409">
            <v>81.26984126984128</v>
          </cell>
        </row>
        <row r="410">
          <cell r="B410">
            <v>1500</v>
          </cell>
          <cell r="D410">
            <v>900</v>
          </cell>
          <cell r="F410">
            <v>960.00000000000011</v>
          </cell>
        </row>
        <row r="411">
          <cell r="B411">
            <v>146.86092715231791</v>
          </cell>
          <cell r="D411">
            <v>88.116556291390751</v>
          </cell>
          <cell r="F411">
            <v>93.990993377483477</v>
          </cell>
        </row>
        <row r="412">
          <cell r="B412">
            <v>91.788079470198682</v>
          </cell>
          <cell r="D412">
            <v>55.072847682119203</v>
          </cell>
          <cell r="F412">
            <v>58.744370860927155</v>
          </cell>
        </row>
        <row r="413">
          <cell r="B413">
            <v>219</v>
          </cell>
          <cell r="D413">
            <v>131.4</v>
          </cell>
          <cell r="F413">
            <v>140.16</v>
          </cell>
        </row>
        <row r="414">
          <cell r="B414">
            <v>238.64900662251651</v>
          </cell>
          <cell r="D414">
            <v>143.18940397350991</v>
          </cell>
          <cell r="F414">
            <v>152.73536423841057</v>
          </cell>
        </row>
        <row r="415">
          <cell r="B415">
            <v>267</v>
          </cell>
          <cell r="D415">
            <v>160.19999999999999</v>
          </cell>
          <cell r="F415">
            <v>170.88</v>
          </cell>
        </row>
        <row r="416">
          <cell r="B416">
            <v>211.11258278145709</v>
          </cell>
          <cell r="D416">
            <v>126.66754966887426</v>
          </cell>
          <cell r="F416">
            <v>135.11205298013255</v>
          </cell>
        </row>
        <row r="417">
          <cell r="B417">
            <v>91.788079470198682</v>
          </cell>
          <cell r="D417">
            <v>55.072847682119203</v>
          </cell>
          <cell r="F417">
            <v>58.744370860927155</v>
          </cell>
        </row>
        <row r="418">
          <cell r="B418">
            <v>119.3245033112583</v>
          </cell>
          <cell r="D418">
            <v>71.594701986754984</v>
          </cell>
          <cell r="F418">
            <v>76.367682119205313</v>
          </cell>
        </row>
        <row r="419">
          <cell r="B419">
            <v>1385.523178807947</v>
          </cell>
          <cell r="D419">
            <v>831.31390728476845</v>
          </cell>
          <cell r="F419">
            <v>886.73483443708619</v>
          </cell>
        </row>
        <row r="420">
          <cell r="B420">
            <v>162.96296296296299</v>
          </cell>
          <cell r="D420">
            <v>97.7777777777778</v>
          </cell>
          <cell r="F420">
            <v>104.29629629629632</v>
          </cell>
        </row>
        <row r="421">
          <cell r="B421">
            <v>71.296296296296291</v>
          </cell>
          <cell r="D421">
            <v>42.777777777777771</v>
          </cell>
          <cell r="F421">
            <v>45.629629629629626</v>
          </cell>
        </row>
        <row r="422">
          <cell r="B422">
            <v>101.85185185185186</v>
          </cell>
          <cell r="D422">
            <v>61.111111111111121</v>
          </cell>
          <cell r="F422">
            <v>65.18518518518519</v>
          </cell>
        </row>
        <row r="423">
          <cell r="B423">
            <v>132.40740740740742</v>
          </cell>
          <cell r="D423">
            <v>79.444444444444457</v>
          </cell>
          <cell r="F423">
            <v>84.740740740740762</v>
          </cell>
        </row>
        <row r="424">
          <cell r="B424">
            <v>162.96296296296299</v>
          </cell>
          <cell r="D424">
            <v>97.7777777777778</v>
          </cell>
          <cell r="F424">
            <v>104.29629629629632</v>
          </cell>
        </row>
        <row r="425">
          <cell r="B425">
            <v>193.51851851851853</v>
          </cell>
          <cell r="D425">
            <v>116.11111111111111</v>
          </cell>
          <cell r="F425">
            <v>123.85185185185186</v>
          </cell>
        </row>
        <row r="426">
          <cell r="B426">
            <v>825</v>
          </cell>
          <cell r="D426">
            <v>495</v>
          </cell>
          <cell r="F426">
            <v>528.00000000000011</v>
          </cell>
        </row>
        <row r="427">
          <cell r="B427">
            <v>3710.5231788079473</v>
          </cell>
          <cell r="D427">
            <v>2226.3139072847684</v>
          </cell>
          <cell r="F427">
            <v>2374.7348344370862</v>
          </cell>
        </row>
        <row r="428">
          <cell r="B428">
            <v>142.22665148063783</v>
          </cell>
          <cell r="D428">
            <v>85.335990888382682</v>
          </cell>
          <cell r="F428">
            <v>91.025056947608206</v>
          </cell>
        </row>
        <row r="429">
          <cell r="B429">
            <v>142.22665148063783</v>
          </cell>
          <cell r="D429">
            <v>85.335990888382682</v>
          </cell>
          <cell r="F429">
            <v>91.025056947608206</v>
          </cell>
        </row>
        <row r="430">
          <cell r="B430">
            <v>324.17425968109336</v>
          </cell>
          <cell r="D430">
            <v>194.50455580865602</v>
          </cell>
          <cell r="F430">
            <v>207.47152619589977</v>
          </cell>
        </row>
        <row r="431">
          <cell r="B431">
            <v>102.50569476082006</v>
          </cell>
          <cell r="D431">
            <v>61.503416856492038</v>
          </cell>
          <cell r="F431">
            <v>65.603644646924849</v>
          </cell>
        </row>
        <row r="432">
          <cell r="B432">
            <v>142.22665148063783</v>
          </cell>
          <cell r="D432">
            <v>85.335990888382682</v>
          </cell>
          <cell r="F432">
            <v>91.025056947608206</v>
          </cell>
        </row>
        <row r="433">
          <cell r="B433">
            <v>271.6400911161731</v>
          </cell>
          <cell r="D433">
            <v>162.98405466970388</v>
          </cell>
          <cell r="F433">
            <v>173.84965831435079</v>
          </cell>
        </row>
        <row r="434">
          <cell r="B434">
            <v>1125</v>
          </cell>
          <cell r="D434">
            <v>675</v>
          </cell>
          <cell r="F434">
            <v>720</v>
          </cell>
        </row>
        <row r="435">
          <cell r="B435">
            <v>203.66379310344828</v>
          </cell>
          <cell r="D435">
            <v>122.19827586206897</v>
          </cell>
          <cell r="F435">
            <v>130.34482758620689</v>
          </cell>
        </row>
        <row r="436">
          <cell r="B436">
            <v>174.56896551724142</v>
          </cell>
          <cell r="D436">
            <v>104.74137931034485</v>
          </cell>
          <cell r="F436">
            <v>111.72413793103452</v>
          </cell>
        </row>
        <row r="437">
          <cell r="B437">
            <v>203.66379310344828</v>
          </cell>
          <cell r="D437">
            <v>122.19827586206897</v>
          </cell>
          <cell r="F437">
            <v>130.34482758620689</v>
          </cell>
        </row>
        <row r="438">
          <cell r="B438">
            <v>116.3793103448276</v>
          </cell>
          <cell r="D438">
            <v>69.827586206896555</v>
          </cell>
          <cell r="F438">
            <v>74.482758620689665</v>
          </cell>
        </row>
        <row r="439">
          <cell r="B439">
            <v>164.87068965517247</v>
          </cell>
          <cell r="D439">
            <v>98.922413793103473</v>
          </cell>
          <cell r="F439">
            <v>105.51724137931038</v>
          </cell>
        </row>
        <row r="440">
          <cell r="B440">
            <v>116.3793103448276</v>
          </cell>
          <cell r="D440">
            <v>69.827586206896555</v>
          </cell>
          <cell r="F440">
            <v>74.482758620689665</v>
          </cell>
        </row>
        <row r="441">
          <cell r="B441">
            <v>145.47413793103451</v>
          </cell>
          <cell r="D441">
            <v>87.284482758620712</v>
          </cell>
          <cell r="F441">
            <v>93.103448275862092</v>
          </cell>
        </row>
        <row r="442">
          <cell r="B442">
            <v>1125</v>
          </cell>
          <cell r="D442">
            <v>675</v>
          </cell>
          <cell r="F442">
            <v>720</v>
          </cell>
        </row>
        <row r="443">
          <cell r="B443">
            <v>139.03606644849725</v>
          </cell>
          <cell r="D443">
            <v>83.421639869098357</v>
          </cell>
          <cell r="F443">
            <v>88.983082527038249</v>
          </cell>
        </row>
        <row r="444">
          <cell r="B444">
            <v>225.93360797880806</v>
          </cell>
          <cell r="D444">
            <v>135.56016478728483</v>
          </cell>
          <cell r="F444">
            <v>144.59750910643714</v>
          </cell>
        </row>
        <row r="445">
          <cell r="B445">
            <v>217.24385382577697</v>
          </cell>
          <cell r="D445">
            <v>130.34631229546616</v>
          </cell>
          <cell r="F445">
            <v>139.03606644849725</v>
          </cell>
        </row>
        <row r="446">
          <cell r="B446">
            <v>59.065634849160553</v>
          </cell>
          <cell r="D446">
            <v>35.439380909496336</v>
          </cell>
          <cell r="F446">
            <v>37.802006303462754</v>
          </cell>
        </row>
        <row r="447">
          <cell r="B447">
            <v>85.645170531282815</v>
          </cell>
          <cell r="D447">
            <v>51.387102318769685</v>
          </cell>
          <cell r="F447">
            <v>54.812909140020999</v>
          </cell>
        </row>
        <row r="448">
          <cell r="B448">
            <v>248.07566636647425</v>
          </cell>
          <cell r="D448">
            <v>148.84539981988453</v>
          </cell>
          <cell r="F448">
            <v>158.7684264745435</v>
          </cell>
        </row>
        <row r="449">
          <cell r="B449">
            <v>975</v>
          </cell>
          <cell r="D449">
            <v>584.99999999999989</v>
          </cell>
          <cell r="F449">
            <v>624</v>
          </cell>
        </row>
        <row r="450">
          <cell r="B450">
            <v>3225</v>
          </cell>
          <cell r="D450">
            <v>1935</v>
          </cell>
          <cell r="F450">
            <v>2064</v>
          </cell>
        </row>
        <row r="451">
          <cell r="B451">
            <v>15371.523178807947</v>
          </cell>
          <cell r="D451">
            <v>9222.9139072847684</v>
          </cell>
          <cell r="F451">
            <v>9837.7748344370848</v>
          </cell>
        </row>
        <row r="452">
          <cell r="B452">
            <v>422.54083097685833</v>
          </cell>
          <cell r="D452">
            <v>253.52449858611502</v>
          </cell>
          <cell r="F452">
            <v>270.42613182518937</v>
          </cell>
        </row>
        <row r="453">
          <cell r="B453">
            <v>423</v>
          </cell>
          <cell r="D453">
            <v>253.8</v>
          </cell>
          <cell r="F453">
            <v>270.72000000000003</v>
          </cell>
        </row>
        <row r="454">
          <cell r="B454">
            <v>422.54083097685833</v>
          </cell>
          <cell r="D454">
            <v>253.52449858611502</v>
          </cell>
          <cell r="F454">
            <v>270.42613182518937</v>
          </cell>
        </row>
        <row r="455">
          <cell r="B455">
            <v>319.36225597088145</v>
          </cell>
          <cell r="D455">
            <v>191.61735358252886</v>
          </cell>
          <cell r="F455">
            <v>204.39184382136412</v>
          </cell>
        </row>
        <row r="456">
          <cell r="B456">
            <v>319.36225597088145</v>
          </cell>
          <cell r="D456">
            <v>191.61735358252886</v>
          </cell>
          <cell r="F456">
            <v>204.39184382136412</v>
          </cell>
        </row>
        <row r="457">
          <cell r="B457">
            <v>216.18368096490431</v>
          </cell>
          <cell r="D457">
            <v>129.7102085789426</v>
          </cell>
          <cell r="F457">
            <v>138.35755581753875</v>
          </cell>
        </row>
        <row r="458">
          <cell r="B458">
            <v>216.18368096490431</v>
          </cell>
          <cell r="D458">
            <v>129.7102085789426</v>
          </cell>
          <cell r="F458">
            <v>138.35755581753875</v>
          </cell>
        </row>
        <row r="459">
          <cell r="B459">
            <v>98.265309529501977</v>
          </cell>
          <cell r="D459">
            <v>58.959185717701182</v>
          </cell>
          <cell r="F459">
            <v>62.889798098881258</v>
          </cell>
        </row>
        <row r="460">
          <cell r="B460">
            <v>187.01016183417576</v>
          </cell>
          <cell r="D460">
            <v>112.20609710050546</v>
          </cell>
          <cell r="F460">
            <v>119.68650357387249</v>
          </cell>
        </row>
        <row r="461">
          <cell r="B461">
            <v>187.01016183417576</v>
          </cell>
          <cell r="D461">
            <v>112.20609710050546</v>
          </cell>
          <cell r="F461">
            <v>119.68650357387249</v>
          </cell>
        </row>
        <row r="462">
          <cell r="B462">
            <v>2811.4591690231423</v>
          </cell>
          <cell r="D462">
            <v>1686.8755014138853</v>
          </cell>
          <cell r="F462">
            <v>1799.3338681748105</v>
          </cell>
        </row>
        <row r="463">
          <cell r="B463">
            <v>183.02752293577976</v>
          </cell>
          <cell r="D463">
            <v>109.81651376146786</v>
          </cell>
          <cell r="F463">
            <v>117.13761467889906</v>
          </cell>
        </row>
        <row r="464">
          <cell r="B464">
            <v>298.62385321100908</v>
          </cell>
          <cell r="D464">
            <v>179.17431192660544</v>
          </cell>
          <cell r="F464">
            <v>191.11926605504578</v>
          </cell>
        </row>
        <row r="465">
          <cell r="B465">
            <v>327.52293577981652</v>
          </cell>
          <cell r="D465">
            <v>196.51376146788991</v>
          </cell>
          <cell r="F465">
            <v>209.61467889908255</v>
          </cell>
        </row>
        <row r="466">
          <cell r="B466">
            <v>327.52293577981652</v>
          </cell>
          <cell r="D466">
            <v>196.51376146788991</v>
          </cell>
          <cell r="F466">
            <v>209.61467889908255</v>
          </cell>
        </row>
        <row r="467">
          <cell r="B467">
            <v>298.62385321100908</v>
          </cell>
          <cell r="D467">
            <v>179.17431192660544</v>
          </cell>
          <cell r="F467">
            <v>191.11926605504578</v>
          </cell>
        </row>
        <row r="468">
          <cell r="B468">
            <v>327.52293577981652</v>
          </cell>
          <cell r="D468">
            <v>196.51376146788991</v>
          </cell>
          <cell r="F468">
            <v>209.61467889908255</v>
          </cell>
        </row>
        <row r="469">
          <cell r="B469">
            <v>269.7247706422018</v>
          </cell>
          <cell r="D469">
            <v>161.83486238532106</v>
          </cell>
          <cell r="F469">
            <v>172.62385321100913</v>
          </cell>
        </row>
        <row r="470">
          <cell r="B470">
            <v>293.80733944954136</v>
          </cell>
          <cell r="D470">
            <v>176.28440366972481</v>
          </cell>
          <cell r="F470">
            <v>188.03669724770646</v>
          </cell>
        </row>
        <row r="471">
          <cell r="B471">
            <v>300</v>
          </cell>
          <cell r="D471">
            <v>180</v>
          </cell>
          <cell r="F471">
            <v>192</v>
          </cell>
        </row>
        <row r="472">
          <cell r="B472">
            <v>2626.3761467889908</v>
          </cell>
          <cell r="D472">
            <v>1575.8256880733943</v>
          </cell>
          <cell r="F472">
            <v>1680.8807339449536</v>
          </cell>
        </row>
        <row r="473">
          <cell r="B473">
            <v>113.70967741935485</v>
          </cell>
          <cell r="D473">
            <v>68.225806451612911</v>
          </cell>
          <cell r="F473">
            <v>72.774193548387103</v>
          </cell>
        </row>
        <row r="474">
          <cell r="B474">
            <v>113.70967741935485</v>
          </cell>
          <cell r="D474">
            <v>68.225806451612911</v>
          </cell>
          <cell r="F474">
            <v>72.774193548387103</v>
          </cell>
        </row>
        <row r="475">
          <cell r="B475">
            <v>227.41935483870969</v>
          </cell>
          <cell r="D475">
            <v>136.45161290322582</v>
          </cell>
          <cell r="F475">
            <v>145.54838709677421</v>
          </cell>
        </row>
        <row r="476">
          <cell r="B476">
            <v>150.9677419354839</v>
          </cell>
          <cell r="D476">
            <v>90.580645161290334</v>
          </cell>
          <cell r="F476">
            <v>96.619354838709697</v>
          </cell>
        </row>
        <row r="477">
          <cell r="B477">
            <v>132.09677419354841</v>
          </cell>
          <cell r="D477">
            <v>79.258064516129039</v>
          </cell>
          <cell r="F477">
            <v>84.541935483870972</v>
          </cell>
        </row>
        <row r="478">
          <cell r="B478">
            <v>89.999999999999986</v>
          </cell>
          <cell r="D478">
            <v>53.999999999999993</v>
          </cell>
          <cell r="F478">
            <v>57.599999999999994</v>
          </cell>
        </row>
        <row r="479">
          <cell r="B479">
            <v>72</v>
          </cell>
          <cell r="D479">
            <v>43.2</v>
          </cell>
          <cell r="F479">
            <v>46.08</v>
          </cell>
        </row>
        <row r="480">
          <cell r="B480">
            <v>899.9032258064517</v>
          </cell>
          <cell r="D480">
            <v>539.94193548387113</v>
          </cell>
          <cell r="F480">
            <v>575.93806451612909</v>
          </cell>
        </row>
        <row r="481">
          <cell r="B481">
            <v>6337.7385416185843</v>
          </cell>
          <cell r="D481">
            <v>3802.6431249711504</v>
          </cell>
          <cell r="F481">
            <v>4056.1526666358932</v>
          </cell>
        </row>
        <row r="482">
          <cell r="B482">
            <v>36</v>
          </cell>
          <cell r="D482">
            <v>21.6</v>
          </cell>
          <cell r="F482">
            <v>23.04</v>
          </cell>
        </row>
        <row r="483">
          <cell r="B483">
            <v>48.000000000000007</v>
          </cell>
          <cell r="D483">
            <v>28.8</v>
          </cell>
          <cell r="F483">
            <v>30.720000000000002</v>
          </cell>
        </row>
        <row r="484">
          <cell r="B484">
            <v>36</v>
          </cell>
          <cell r="D484">
            <v>21.6</v>
          </cell>
          <cell r="F484">
            <v>23.04</v>
          </cell>
        </row>
        <row r="485">
          <cell r="B485">
            <v>36</v>
          </cell>
          <cell r="D485">
            <v>21.6</v>
          </cell>
          <cell r="F485">
            <v>23.04</v>
          </cell>
        </row>
        <row r="486">
          <cell r="B486">
            <v>36</v>
          </cell>
          <cell r="D486">
            <v>21.6</v>
          </cell>
          <cell r="F486">
            <v>23.04</v>
          </cell>
        </row>
        <row r="487">
          <cell r="B487">
            <v>18</v>
          </cell>
          <cell r="D487">
            <v>10.8</v>
          </cell>
          <cell r="F487">
            <v>11.52</v>
          </cell>
        </row>
        <row r="488">
          <cell r="B488">
            <v>18</v>
          </cell>
          <cell r="D488">
            <v>10.8</v>
          </cell>
          <cell r="F488">
            <v>11.52</v>
          </cell>
        </row>
        <row r="489">
          <cell r="B489">
            <v>108</v>
          </cell>
          <cell r="D489">
            <v>64.8</v>
          </cell>
          <cell r="F489">
            <v>69.12</v>
          </cell>
        </row>
        <row r="490">
          <cell r="B490">
            <v>336</v>
          </cell>
          <cell r="D490">
            <v>201.60000000000002</v>
          </cell>
          <cell r="F490">
            <v>215.04000000000002</v>
          </cell>
        </row>
        <row r="491">
          <cell r="B491">
            <v>83.999999999999986</v>
          </cell>
          <cell r="D491">
            <v>50.4</v>
          </cell>
          <cell r="F491">
            <v>53.76</v>
          </cell>
        </row>
        <row r="492">
          <cell r="B492">
            <v>54</v>
          </cell>
          <cell r="D492">
            <v>32.4</v>
          </cell>
          <cell r="F492">
            <v>34.56</v>
          </cell>
        </row>
        <row r="493">
          <cell r="B493">
            <v>27</v>
          </cell>
          <cell r="D493">
            <v>16.2</v>
          </cell>
          <cell r="F493">
            <v>17.28</v>
          </cell>
        </row>
        <row r="494">
          <cell r="B494">
            <v>27</v>
          </cell>
          <cell r="D494">
            <v>16.2</v>
          </cell>
          <cell r="F494">
            <v>17.28</v>
          </cell>
        </row>
        <row r="495">
          <cell r="B495">
            <v>36</v>
          </cell>
          <cell r="D495">
            <v>21.6</v>
          </cell>
          <cell r="F495">
            <v>23.04</v>
          </cell>
        </row>
        <row r="496">
          <cell r="B496">
            <v>36</v>
          </cell>
          <cell r="D496">
            <v>21.6</v>
          </cell>
          <cell r="F496">
            <v>23.04</v>
          </cell>
        </row>
        <row r="497">
          <cell r="B497">
            <v>18</v>
          </cell>
          <cell r="D497">
            <v>10.8</v>
          </cell>
          <cell r="F497">
            <v>11.52</v>
          </cell>
        </row>
        <row r="498">
          <cell r="B498">
            <v>18</v>
          </cell>
          <cell r="D498">
            <v>10.8</v>
          </cell>
          <cell r="F498">
            <v>11.52</v>
          </cell>
        </row>
        <row r="499">
          <cell r="B499">
            <v>36</v>
          </cell>
          <cell r="D499">
            <v>21.6</v>
          </cell>
          <cell r="F499">
            <v>23.04</v>
          </cell>
        </row>
        <row r="500">
          <cell r="B500">
            <v>336</v>
          </cell>
          <cell r="D500">
            <v>201.60000000000002</v>
          </cell>
          <cell r="F500">
            <v>215.04</v>
          </cell>
        </row>
        <row r="501">
          <cell r="B501">
            <v>120</v>
          </cell>
          <cell r="D501">
            <v>72</v>
          </cell>
          <cell r="F501">
            <v>76.8</v>
          </cell>
        </row>
        <row r="502">
          <cell r="B502">
            <v>105</v>
          </cell>
          <cell r="D502">
            <v>63</v>
          </cell>
          <cell r="F502">
            <v>67.2</v>
          </cell>
        </row>
        <row r="503">
          <cell r="B503">
            <v>174</v>
          </cell>
          <cell r="D503">
            <v>104.4</v>
          </cell>
          <cell r="F503">
            <v>111.36</v>
          </cell>
        </row>
        <row r="504">
          <cell r="B504">
            <v>120</v>
          </cell>
          <cell r="D504">
            <v>72</v>
          </cell>
          <cell r="F504">
            <v>76.8</v>
          </cell>
        </row>
        <row r="505">
          <cell r="B505">
            <v>120</v>
          </cell>
          <cell r="D505">
            <v>72</v>
          </cell>
          <cell r="F505">
            <v>76.8</v>
          </cell>
        </row>
        <row r="506">
          <cell r="B506">
            <v>120</v>
          </cell>
          <cell r="D506">
            <v>72</v>
          </cell>
          <cell r="F506">
            <v>76.8</v>
          </cell>
        </row>
        <row r="507">
          <cell r="B507">
            <v>174</v>
          </cell>
          <cell r="D507">
            <v>104.4</v>
          </cell>
          <cell r="F507">
            <v>111.36</v>
          </cell>
        </row>
        <row r="508">
          <cell r="B508">
            <v>135</v>
          </cell>
          <cell r="D508">
            <v>81</v>
          </cell>
          <cell r="F508">
            <v>86.399999999999991</v>
          </cell>
        </row>
        <row r="509">
          <cell r="B509">
            <v>120</v>
          </cell>
          <cell r="D509">
            <v>72</v>
          </cell>
          <cell r="F509">
            <v>76.8</v>
          </cell>
        </row>
        <row r="510">
          <cell r="B510">
            <v>120</v>
          </cell>
          <cell r="D510">
            <v>72</v>
          </cell>
          <cell r="F510">
            <v>76.8</v>
          </cell>
        </row>
        <row r="511">
          <cell r="B511">
            <v>1308</v>
          </cell>
          <cell r="D511">
            <v>784.8</v>
          </cell>
          <cell r="F511">
            <v>837.11999999999989</v>
          </cell>
        </row>
        <row r="512">
          <cell r="B512">
            <v>1980</v>
          </cell>
          <cell r="D512">
            <v>1188</v>
          </cell>
          <cell r="F512">
            <v>1267.1999999999998</v>
          </cell>
        </row>
        <row r="513">
          <cell r="B513">
            <v>300</v>
          </cell>
          <cell r="D513">
            <v>180</v>
          </cell>
          <cell r="F513">
            <v>192</v>
          </cell>
        </row>
        <row r="514">
          <cell r="B514">
            <v>72</v>
          </cell>
          <cell r="D514">
            <v>43.2</v>
          </cell>
          <cell r="F514">
            <v>46.08</v>
          </cell>
        </row>
        <row r="515">
          <cell r="B515">
            <v>72</v>
          </cell>
          <cell r="D515">
            <v>43.2</v>
          </cell>
          <cell r="F515">
            <v>46.08</v>
          </cell>
        </row>
        <row r="516">
          <cell r="B516">
            <v>36</v>
          </cell>
          <cell r="D516">
            <v>21.6</v>
          </cell>
          <cell r="F516">
            <v>23.04</v>
          </cell>
        </row>
        <row r="517">
          <cell r="B517">
            <v>162</v>
          </cell>
          <cell r="D517">
            <v>97.2</v>
          </cell>
          <cell r="F517">
            <v>103.68</v>
          </cell>
        </row>
        <row r="518">
          <cell r="B518">
            <v>162</v>
          </cell>
          <cell r="D518">
            <v>97.2</v>
          </cell>
          <cell r="F518">
            <v>103.68</v>
          </cell>
        </row>
        <row r="519">
          <cell r="B519">
            <v>162</v>
          </cell>
          <cell r="D519">
            <v>97.2</v>
          </cell>
          <cell r="F519">
            <v>103.68</v>
          </cell>
        </row>
        <row r="520">
          <cell r="B520">
            <v>162</v>
          </cell>
          <cell r="D520">
            <v>97.2</v>
          </cell>
          <cell r="F520">
            <v>103.68</v>
          </cell>
        </row>
        <row r="521">
          <cell r="B521">
            <v>1128</v>
          </cell>
          <cell r="D521">
            <v>676.80000000000007</v>
          </cell>
          <cell r="F521">
            <v>721.92000000000007</v>
          </cell>
        </row>
        <row r="522">
          <cell r="B522">
            <v>151.99999999999997</v>
          </cell>
          <cell r="D522">
            <v>91.199999999999974</v>
          </cell>
          <cell r="F522">
            <v>97.279999999999973</v>
          </cell>
        </row>
        <row r="523">
          <cell r="B523">
            <v>247.99999999999994</v>
          </cell>
          <cell r="D523">
            <v>148.79999999999998</v>
          </cell>
          <cell r="F523">
            <v>158.71999999999997</v>
          </cell>
        </row>
        <row r="524">
          <cell r="B524">
            <v>79.999999999999986</v>
          </cell>
          <cell r="D524">
            <v>47.999999999999993</v>
          </cell>
          <cell r="F524">
            <v>51.199999999999989</v>
          </cell>
        </row>
        <row r="525">
          <cell r="B525">
            <v>128</v>
          </cell>
          <cell r="D525">
            <v>76.8</v>
          </cell>
          <cell r="F525">
            <v>81.92</v>
          </cell>
        </row>
        <row r="526">
          <cell r="B526">
            <v>151.99999999999997</v>
          </cell>
          <cell r="D526">
            <v>91.199999999999974</v>
          </cell>
          <cell r="F526">
            <v>97.279999999999973</v>
          </cell>
        </row>
        <row r="527">
          <cell r="B527">
            <v>103.99999999999999</v>
          </cell>
          <cell r="D527">
            <v>62.399999999999991</v>
          </cell>
          <cell r="F527">
            <v>66.559999999999988</v>
          </cell>
        </row>
        <row r="528">
          <cell r="B528">
            <v>863.99999999999989</v>
          </cell>
          <cell r="D528">
            <v>518.4</v>
          </cell>
          <cell r="F528">
            <v>552.95999999999992</v>
          </cell>
        </row>
        <row r="529">
          <cell r="B529">
            <v>122.44897959183675</v>
          </cell>
          <cell r="D529">
            <v>73.469387755102048</v>
          </cell>
          <cell r="F529">
            <v>78.367346938775512</v>
          </cell>
        </row>
        <row r="530">
          <cell r="B530">
            <v>122.44897959183675</v>
          </cell>
          <cell r="D530">
            <v>73.469387755102048</v>
          </cell>
          <cell r="F530">
            <v>78.367346938775512</v>
          </cell>
        </row>
        <row r="531">
          <cell r="B531">
            <v>168.36734693877554</v>
          </cell>
          <cell r="D531">
            <v>101.02040816326533</v>
          </cell>
          <cell r="F531">
            <v>107.75510204081635</v>
          </cell>
        </row>
        <row r="532">
          <cell r="B532">
            <v>191.32653061224491</v>
          </cell>
          <cell r="D532">
            <v>114.79591836734694</v>
          </cell>
          <cell r="F532">
            <v>122.44897959183675</v>
          </cell>
        </row>
        <row r="533">
          <cell r="B533">
            <v>145.40816326530611</v>
          </cell>
          <cell r="D533">
            <v>87.244897959183675</v>
          </cell>
          <cell r="F533">
            <v>93.061224489795919</v>
          </cell>
        </row>
        <row r="534">
          <cell r="B534">
            <v>750.00000000000011</v>
          </cell>
          <cell r="D534">
            <v>450.00000000000006</v>
          </cell>
          <cell r="F534">
            <v>480</v>
          </cell>
        </row>
        <row r="535">
          <cell r="B535">
            <v>144</v>
          </cell>
          <cell r="D535">
            <v>86.4</v>
          </cell>
          <cell r="F535">
            <v>92.16</v>
          </cell>
        </row>
        <row r="536">
          <cell r="B536">
            <v>108</v>
          </cell>
          <cell r="D536">
            <v>64.8</v>
          </cell>
          <cell r="F536">
            <v>69.12</v>
          </cell>
        </row>
        <row r="537">
          <cell r="B537">
            <v>36</v>
          </cell>
          <cell r="D537">
            <v>21.6</v>
          </cell>
          <cell r="F537">
            <v>23.04</v>
          </cell>
        </row>
        <row r="538">
          <cell r="B538">
            <v>36</v>
          </cell>
          <cell r="D538">
            <v>21.6</v>
          </cell>
          <cell r="F538">
            <v>23.04</v>
          </cell>
        </row>
        <row r="539">
          <cell r="B539">
            <v>335.99999999999994</v>
          </cell>
          <cell r="D539">
            <v>201.6</v>
          </cell>
          <cell r="F539">
            <v>215.04</v>
          </cell>
        </row>
        <row r="540">
          <cell r="B540">
            <v>108</v>
          </cell>
          <cell r="D540">
            <v>64.8</v>
          </cell>
          <cell r="F540">
            <v>69.12</v>
          </cell>
        </row>
        <row r="541">
          <cell r="B541">
            <v>83.999999999999986</v>
          </cell>
          <cell r="D541">
            <v>50.4</v>
          </cell>
          <cell r="F541">
            <v>53.76</v>
          </cell>
        </row>
        <row r="542">
          <cell r="B542">
            <v>83.999999999999986</v>
          </cell>
          <cell r="D542">
            <v>50.4</v>
          </cell>
          <cell r="F542">
            <v>53.76</v>
          </cell>
        </row>
        <row r="543">
          <cell r="B543">
            <v>936</v>
          </cell>
          <cell r="D543">
            <v>561.6</v>
          </cell>
          <cell r="F543">
            <v>599.04</v>
          </cell>
        </row>
        <row r="544">
          <cell r="B544">
            <v>3678</v>
          </cell>
          <cell r="D544">
            <v>2206.8000000000002</v>
          </cell>
          <cell r="F544">
            <v>2353.92</v>
          </cell>
        </row>
        <row r="545">
          <cell r="B545">
            <v>11995.738541618584</v>
          </cell>
          <cell r="D545">
            <v>7197.4431249711506</v>
          </cell>
          <cell r="F545">
            <v>7677.2726666358931</v>
          </cell>
        </row>
        <row r="546">
          <cell r="B546">
            <v>158.59756097560978</v>
          </cell>
          <cell r="D546">
            <v>95.15853658536588</v>
          </cell>
          <cell r="F546">
            <v>101.50243902439027</v>
          </cell>
        </row>
        <row r="547">
          <cell r="B547">
            <v>150.66768292682926</v>
          </cell>
          <cell r="D547">
            <v>90.400609756097552</v>
          </cell>
          <cell r="F547">
            <v>96.427317073170727</v>
          </cell>
        </row>
        <row r="548">
          <cell r="B548">
            <v>142.73780487804876</v>
          </cell>
          <cell r="D548">
            <v>85.642682926829252</v>
          </cell>
          <cell r="F548">
            <v>91.352195121951198</v>
          </cell>
        </row>
        <row r="549">
          <cell r="B549">
            <v>142.73780487804876</v>
          </cell>
          <cell r="D549">
            <v>85.642682926829252</v>
          </cell>
          <cell r="F549">
            <v>91.352195121951198</v>
          </cell>
        </row>
        <row r="550">
          <cell r="B550">
            <v>198.24695121951214</v>
          </cell>
          <cell r="D550">
            <v>118.94817073170729</v>
          </cell>
          <cell r="F550">
            <v>126.87804878048777</v>
          </cell>
        </row>
        <row r="551">
          <cell r="B551">
            <v>107.01219512195122</v>
          </cell>
          <cell r="D551">
            <v>64.207317073170728</v>
          </cell>
          <cell r="F551">
            <v>68.487804878048777</v>
          </cell>
        </row>
        <row r="552">
          <cell r="B552">
            <v>900</v>
          </cell>
          <cell r="D552">
            <v>540</v>
          </cell>
          <cell r="F552">
            <v>575.99999999999989</v>
          </cell>
        </row>
        <row r="553">
          <cell r="B553">
            <v>99</v>
          </cell>
          <cell r="D553">
            <v>59.4</v>
          </cell>
          <cell r="F553">
            <v>63.36</v>
          </cell>
        </row>
        <row r="554">
          <cell r="B554">
            <v>143.95161290322582</v>
          </cell>
          <cell r="D554">
            <v>86.370967741935488</v>
          </cell>
          <cell r="F554">
            <v>92.129032258064527</v>
          </cell>
        </row>
        <row r="555">
          <cell r="B555">
            <v>272.47983870967744</v>
          </cell>
          <cell r="D555">
            <v>163.48790322580649</v>
          </cell>
          <cell r="F555">
            <v>174.38709677419357</v>
          </cell>
        </row>
        <row r="556">
          <cell r="B556">
            <v>95.110887096774221</v>
          </cell>
          <cell r="D556">
            <v>57.066532258064534</v>
          </cell>
          <cell r="F556">
            <v>60.870967741935502</v>
          </cell>
        </row>
        <row r="557">
          <cell r="B557">
            <v>142.66633064516128</v>
          </cell>
          <cell r="D557">
            <v>85.599798387096769</v>
          </cell>
          <cell r="F557">
            <v>91.306451612903231</v>
          </cell>
        </row>
        <row r="558">
          <cell r="B558">
            <v>237.77721774193549</v>
          </cell>
          <cell r="D558">
            <v>142.66633064516131</v>
          </cell>
          <cell r="F558">
            <v>152.17741935483872</v>
          </cell>
        </row>
        <row r="559">
          <cell r="B559">
            <v>141.3810483870968</v>
          </cell>
          <cell r="D559">
            <v>84.828629032258078</v>
          </cell>
          <cell r="F559">
            <v>90.48387096774195</v>
          </cell>
        </row>
        <row r="560">
          <cell r="B560">
            <v>141.3810483870968</v>
          </cell>
          <cell r="D560">
            <v>84.828629032258078</v>
          </cell>
          <cell r="F560">
            <v>90.48387096774195</v>
          </cell>
        </row>
        <row r="561">
          <cell r="B561">
            <v>1273.7479838709678</v>
          </cell>
          <cell r="D561">
            <v>764.2487903225807</v>
          </cell>
          <cell r="F561">
            <v>815.1987096774194</v>
          </cell>
        </row>
        <row r="562">
          <cell r="B562">
            <v>36</v>
          </cell>
          <cell r="D562">
            <v>21.6</v>
          </cell>
          <cell r="F562">
            <v>23.04</v>
          </cell>
        </row>
        <row r="563">
          <cell r="B563">
            <v>108</v>
          </cell>
          <cell r="D563">
            <v>64.8</v>
          </cell>
          <cell r="F563">
            <v>69.12</v>
          </cell>
        </row>
        <row r="564">
          <cell r="B564">
            <v>83.999999999999986</v>
          </cell>
          <cell r="D564">
            <v>50.4</v>
          </cell>
          <cell r="F564">
            <v>53.76</v>
          </cell>
        </row>
        <row r="565">
          <cell r="B565">
            <v>36</v>
          </cell>
          <cell r="D565">
            <v>21.6</v>
          </cell>
          <cell r="F565">
            <v>23.04</v>
          </cell>
        </row>
        <row r="566">
          <cell r="B566">
            <v>264</v>
          </cell>
          <cell r="D566">
            <v>158.4</v>
          </cell>
          <cell r="F566">
            <v>168.95999999999998</v>
          </cell>
        </row>
        <row r="567">
          <cell r="B567">
            <v>2437.7479838709678</v>
          </cell>
          <cell r="D567">
            <v>1462.6487903225807</v>
          </cell>
          <cell r="F567">
            <v>1560.1587096774192</v>
          </cell>
        </row>
        <row r="568">
          <cell r="B568">
            <v>135.25423728813561</v>
          </cell>
          <cell r="D568">
            <v>81.152542372881371</v>
          </cell>
          <cell r="F568">
            <v>86.562711864406793</v>
          </cell>
        </row>
        <row r="569">
          <cell r="B569">
            <v>96.610169491525411</v>
          </cell>
          <cell r="D569">
            <v>57.966101694915253</v>
          </cell>
          <cell r="F569">
            <v>61.83050847457627</v>
          </cell>
        </row>
        <row r="570">
          <cell r="B570">
            <v>154.57627118644069</v>
          </cell>
          <cell r="D570">
            <v>92.74576271186443</v>
          </cell>
          <cell r="F570">
            <v>98.928813559322052</v>
          </cell>
        </row>
        <row r="571">
          <cell r="B571">
            <v>66.101694915254228</v>
          </cell>
          <cell r="D571">
            <v>39.66101694915254</v>
          </cell>
          <cell r="F571">
            <v>42.305084745762713</v>
          </cell>
        </row>
        <row r="572">
          <cell r="B572">
            <v>66.101694915254228</v>
          </cell>
          <cell r="D572">
            <v>39.66101694915254</v>
          </cell>
          <cell r="F572">
            <v>42.305084745762713</v>
          </cell>
        </row>
        <row r="573">
          <cell r="B573">
            <v>95.338983050847446</v>
          </cell>
          <cell r="D573">
            <v>57.20338983050847</v>
          </cell>
          <cell r="F573">
            <v>61.016949152542367</v>
          </cell>
        </row>
        <row r="574">
          <cell r="B574">
            <v>95.338983050847446</v>
          </cell>
          <cell r="D574">
            <v>57.20338983050847</v>
          </cell>
          <cell r="F574">
            <v>61.016949152542367</v>
          </cell>
        </row>
        <row r="575">
          <cell r="B575">
            <v>95.338983050847446</v>
          </cell>
          <cell r="D575">
            <v>57.20338983050847</v>
          </cell>
          <cell r="F575">
            <v>61.016949152542367</v>
          </cell>
        </row>
        <row r="576">
          <cell r="B576">
            <v>95.338983050847446</v>
          </cell>
          <cell r="D576">
            <v>57.20338983050847</v>
          </cell>
          <cell r="F576">
            <v>61.016949152542367</v>
          </cell>
        </row>
        <row r="577">
          <cell r="B577">
            <v>900</v>
          </cell>
          <cell r="D577">
            <v>540</v>
          </cell>
          <cell r="F577">
            <v>575.99999999999989</v>
          </cell>
        </row>
        <row r="578">
          <cell r="B578">
            <v>159.57446808510639</v>
          </cell>
          <cell r="D578">
            <v>95.744680851063833</v>
          </cell>
          <cell r="F578">
            <v>102.12765957446808</v>
          </cell>
        </row>
        <row r="579">
          <cell r="B579">
            <v>183.51063829787236</v>
          </cell>
          <cell r="D579">
            <v>110.10638297872342</v>
          </cell>
          <cell r="F579">
            <v>117.44680851063831</v>
          </cell>
        </row>
        <row r="580">
          <cell r="B580">
            <v>79.787234042553195</v>
          </cell>
          <cell r="D580">
            <v>47.872340425531917</v>
          </cell>
          <cell r="F580">
            <v>51.063829787234042</v>
          </cell>
        </row>
        <row r="581">
          <cell r="B581">
            <v>63.829787234042563</v>
          </cell>
          <cell r="D581">
            <v>38.297872340425535</v>
          </cell>
          <cell r="F581">
            <v>40.851063829787236</v>
          </cell>
        </row>
        <row r="582">
          <cell r="B582">
            <v>79.787234042553195</v>
          </cell>
          <cell r="D582">
            <v>47.872340425531917</v>
          </cell>
          <cell r="F582">
            <v>51.063829787234042</v>
          </cell>
        </row>
        <row r="583">
          <cell r="B583">
            <v>95.744680851063805</v>
          </cell>
          <cell r="D583">
            <v>57.446808510638284</v>
          </cell>
          <cell r="F583">
            <v>61.27659574468084</v>
          </cell>
        </row>
        <row r="584">
          <cell r="B584">
            <v>47.872340425531902</v>
          </cell>
          <cell r="D584">
            <v>28.723404255319142</v>
          </cell>
          <cell r="F584">
            <v>30.63829787234042</v>
          </cell>
        </row>
        <row r="585">
          <cell r="B585">
            <v>39.893617021276597</v>
          </cell>
          <cell r="D585">
            <v>23.936170212765958</v>
          </cell>
          <cell r="F585">
            <v>25.531914893617021</v>
          </cell>
        </row>
        <row r="586">
          <cell r="B586">
            <v>750</v>
          </cell>
          <cell r="D586">
            <v>450.00000000000006</v>
          </cell>
          <cell r="F586">
            <v>480</v>
          </cell>
        </row>
        <row r="587">
          <cell r="B587">
            <v>1650</v>
          </cell>
          <cell r="D587">
            <v>990</v>
          </cell>
          <cell r="F587">
            <v>1056</v>
          </cell>
        </row>
        <row r="588">
          <cell r="B588">
            <v>56.817730518270238</v>
          </cell>
          <cell r="D588">
            <v>34.090638310962142</v>
          </cell>
          <cell r="F588">
            <v>36.363347531692952</v>
          </cell>
        </row>
        <row r="589">
          <cell r="B589">
            <v>55.681375907904844</v>
          </cell>
          <cell r="D589">
            <v>33.408825544742903</v>
          </cell>
          <cell r="F589">
            <v>35.636080581059097</v>
          </cell>
        </row>
        <row r="590">
          <cell r="B590">
            <v>81.818460334698685</v>
          </cell>
          <cell r="D590">
            <v>49.091076200819209</v>
          </cell>
          <cell r="F590">
            <v>52.363814614207158</v>
          </cell>
        </row>
        <row r="591">
          <cell r="B591">
            <v>52.841088966159553</v>
          </cell>
          <cell r="D591">
            <v>31.704653379695731</v>
          </cell>
          <cell r="F591">
            <v>33.818296938342115</v>
          </cell>
        </row>
        <row r="592">
          <cell r="B592">
            <v>52.841088966159553</v>
          </cell>
          <cell r="D592">
            <v>31.704653379695731</v>
          </cell>
          <cell r="F592">
            <v>33.818296938342115</v>
          </cell>
        </row>
        <row r="593">
          <cell r="B593">
            <v>75.000255306807119</v>
          </cell>
          <cell r="D593">
            <v>45.000153184084276</v>
          </cell>
          <cell r="F593">
            <v>48.000163396356562</v>
          </cell>
        </row>
        <row r="594">
          <cell r="B594">
            <v>375</v>
          </cell>
          <cell r="D594">
            <v>225</v>
          </cell>
          <cell r="F594">
            <v>240</v>
          </cell>
        </row>
        <row r="595">
          <cell r="B595">
            <v>180.87218516389822</v>
          </cell>
          <cell r="D595">
            <v>108.52331109833894</v>
          </cell>
          <cell r="F595">
            <v>115.75819850489486</v>
          </cell>
        </row>
        <row r="596">
          <cell r="B596">
            <v>168.81403948630495</v>
          </cell>
          <cell r="D596">
            <v>101.28842369178297</v>
          </cell>
          <cell r="F596">
            <v>108.04098527123517</v>
          </cell>
        </row>
        <row r="597">
          <cell r="B597">
            <v>31.35117876174235</v>
          </cell>
          <cell r="D597">
            <v>18.810707257045411</v>
          </cell>
          <cell r="F597">
            <v>20.064754407515103</v>
          </cell>
        </row>
        <row r="598">
          <cell r="B598">
            <v>231.52218491971485</v>
          </cell>
          <cell r="D598">
            <v>138.91331095182889</v>
          </cell>
          <cell r="F598">
            <v>148.17419834861749</v>
          </cell>
        </row>
        <row r="599">
          <cell r="B599">
            <v>326.44041166833966</v>
          </cell>
          <cell r="D599">
            <v>195.8642470010038</v>
          </cell>
          <cell r="F599">
            <v>208.92186346773738</v>
          </cell>
        </row>
        <row r="600">
          <cell r="B600">
            <v>939</v>
          </cell>
          <cell r="D600">
            <v>563.4</v>
          </cell>
          <cell r="F600">
            <v>600.96</v>
          </cell>
        </row>
        <row r="601">
          <cell r="B601">
            <v>202.29226376374416</v>
          </cell>
          <cell r="D601">
            <v>121.37535825824649</v>
          </cell>
          <cell r="F601">
            <v>129.46704880879625</v>
          </cell>
        </row>
        <row r="602">
          <cell r="B602">
            <v>160.20652892501317</v>
          </cell>
          <cell r="D602">
            <v>96.123917355007904</v>
          </cell>
          <cell r="F602">
            <v>102.53217851200844</v>
          </cell>
        </row>
        <row r="603">
          <cell r="B603">
            <v>54.550722812695042</v>
          </cell>
          <cell r="D603">
            <v>32.730433687617023</v>
          </cell>
          <cell r="F603">
            <v>34.912462600124826</v>
          </cell>
        </row>
        <row r="604">
          <cell r="B604">
            <v>160.20652892501317</v>
          </cell>
          <cell r="D604">
            <v>96.123917355007904</v>
          </cell>
          <cell r="F604">
            <v>102.53217851200844</v>
          </cell>
        </row>
        <row r="605">
          <cell r="B605">
            <v>118.19323276083925</v>
          </cell>
          <cell r="D605">
            <v>70.915939656503554</v>
          </cell>
          <cell r="F605">
            <v>75.643668966937128</v>
          </cell>
        </row>
        <row r="606">
          <cell r="B606">
            <v>54.550722812695042</v>
          </cell>
          <cell r="D606">
            <v>32.730433687617023</v>
          </cell>
          <cell r="F606">
            <v>34.912462600124826</v>
          </cell>
        </row>
        <row r="607">
          <cell r="B607">
            <v>750</v>
          </cell>
          <cell r="D607">
            <v>449.99999999999989</v>
          </cell>
          <cell r="F607">
            <v>479.99999999999989</v>
          </cell>
        </row>
        <row r="608">
          <cell r="B608">
            <v>27</v>
          </cell>
          <cell r="D608">
            <v>16.2</v>
          </cell>
          <cell r="F608">
            <v>17.28</v>
          </cell>
        </row>
        <row r="609">
          <cell r="B609">
            <v>36</v>
          </cell>
          <cell r="D609">
            <v>21.6</v>
          </cell>
          <cell r="F609">
            <v>23.04</v>
          </cell>
        </row>
        <row r="610">
          <cell r="B610">
            <v>54</v>
          </cell>
          <cell r="D610">
            <v>32.4</v>
          </cell>
          <cell r="F610">
            <v>34.56</v>
          </cell>
        </row>
        <row r="611">
          <cell r="B611">
            <v>36</v>
          </cell>
          <cell r="D611">
            <v>21.6</v>
          </cell>
          <cell r="F611">
            <v>23.04</v>
          </cell>
        </row>
        <row r="612">
          <cell r="B612">
            <v>36</v>
          </cell>
          <cell r="D612">
            <v>21.6</v>
          </cell>
          <cell r="F612">
            <v>23.04</v>
          </cell>
        </row>
        <row r="613">
          <cell r="B613">
            <v>36</v>
          </cell>
          <cell r="D613">
            <v>21.6</v>
          </cell>
          <cell r="F613">
            <v>23.04</v>
          </cell>
        </row>
        <row r="614">
          <cell r="B614">
            <v>225</v>
          </cell>
          <cell r="D614">
            <v>134.99999999999997</v>
          </cell>
          <cell r="F614">
            <v>143.99999999999997</v>
          </cell>
        </row>
        <row r="615">
          <cell r="B615">
            <v>2289</v>
          </cell>
          <cell r="D615">
            <v>1373.3999999999999</v>
          </cell>
          <cell r="F615">
            <v>1464.96</v>
          </cell>
        </row>
        <row r="616">
          <cell r="B616">
            <v>6376.7479838709678</v>
          </cell>
          <cell r="D616">
            <v>3826.0487903225803</v>
          </cell>
          <cell r="F616">
            <v>4081.1187096774192</v>
          </cell>
        </row>
        <row r="617">
          <cell r="B617">
            <v>188.12168789339083</v>
          </cell>
          <cell r="D617">
            <v>112.87301273603451</v>
          </cell>
          <cell r="F617">
            <v>120.39788025177013</v>
          </cell>
        </row>
        <row r="618">
          <cell r="B618">
            <v>47.030421973347707</v>
          </cell>
          <cell r="D618">
            <v>28.218253184008628</v>
          </cell>
          <cell r="F618">
            <v>30.099470062942533</v>
          </cell>
        </row>
        <row r="619">
          <cell r="B619">
            <v>15.049735031471267</v>
          </cell>
          <cell r="D619">
            <v>9.0298410188827596</v>
          </cell>
          <cell r="F619">
            <v>9.6318304201416112</v>
          </cell>
        </row>
        <row r="620">
          <cell r="B620">
            <v>54.589493432336702</v>
          </cell>
          <cell r="D620">
            <v>32.753696059402017</v>
          </cell>
          <cell r="F620">
            <v>34.937275796695488</v>
          </cell>
        </row>
        <row r="621">
          <cell r="B621">
            <v>222.90709818204152</v>
          </cell>
          <cell r="D621">
            <v>133.7442589092249</v>
          </cell>
          <cell r="F621">
            <v>142.66054283650658</v>
          </cell>
        </row>
        <row r="622">
          <cell r="B622">
            <v>85.978452155930256</v>
          </cell>
          <cell r="D622">
            <v>51.587071293558161</v>
          </cell>
          <cell r="F622">
            <v>55.026209379795368</v>
          </cell>
        </row>
        <row r="623">
          <cell r="B623">
            <v>126.10172982869774</v>
          </cell>
          <cell r="D623">
            <v>75.661037897218648</v>
          </cell>
          <cell r="F623">
            <v>80.705107090366553</v>
          </cell>
        </row>
        <row r="624">
          <cell r="B624">
            <v>131.83362663909313</v>
          </cell>
          <cell r="D624">
            <v>79.10017598345587</v>
          </cell>
          <cell r="F624">
            <v>84.373521049019601</v>
          </cell>
        </row>
        <row r="625">
          <cell r="B625">
            <v>142.38775486369093</v>
          </cell>
          <cell r="D625">
            <v>85.432652918214572</v>
          </cell>
          <cell r="F625">
            <v>91.128163112762209</v>
          </cell>
        </row>
        <row r="626">
          <cell r="B626">
            <v>1014.0000000000002</v>
          </cell>
          <cell r="D626">
            <v>608.4</v>
          </cell>
          <cell r="F626">
            <v>648.96</v>
          </cell>
        </row>
        <row r="627">
          <cell r="B627">
            <v>156</v>
          </cell>
          <cell r="D627">
            <v>93.6</v>
          </cell>
          <cell r="F627">
            <v>99.839999999999989</v>
          </cell>
        </row>
        <row r="628">
          <cell r="B628">
            <v>245.9315857654797</v>
          </cell>
          <cell r="D628">
            <v>147.55895145928781</v>
          </cell>
          <cell r="F628">
            <v>157.39621488990701</v>
          </cell>
        </row>
        <row r="629">
          <cell r="B629">
            <v>109.30292700687987</v>
          </cell>
          <cell r="D629">
            <v>65.581756204127927</v>
          </cell>
          <cell r="F629">
            <v>69.953873284403116</v>
          </cell>
        </row>
        <row r="630">
          <cell r="B630">
            <v>191.28012226203975</v>
          </cell>
          <cell r="D630">
            <v>114.76807335722386</v>
          </cell>
          <cell r="F630">
            <v>122.41927824770544</v>
          </cell>
        </row>
        <row r="631">
          <cell r="B631">
            <v>169.68397942600299</v>
          </cell>
          <cell r="D631">
            <v>101.8103876556018</v>
          </cell>
          <cell r="F631">
            <v>108.59774683264192</v>
          </cell>
        </row>
        <row r="632">
          <cell r="B632">
            <v>57</v>
          </cell>
          <cell r="D632">
            <v>34.200000000000003</v>
          </cell>
          <cell r="F632">
            <v>36.480000000000004</v>
          </cell>
        </row>
        <row r="633">
          <cell r="B633">
            <v>83.999999999999986</v>
          </cell>
          <cell r="D633">
            <v>50.4</v>
          </cell>
          <cell r="F633">
            <v>53.76</v>
          </cell>
        </row>
        <row r="634">
          <cell r="B634">
            <v>1013.1986144604024</v>
          </cell>
          <cell r="D634">
            <v>607.91916867624138</v>
          </cell>
          <cell r="F634">
            <v>648.44711325465755</v>
          </cell>
        </row>
        <row r="635">
          <cell r="B635">
            <v>24.000000000000004</v>
          </cell>
          <cell r="D635">
            <v>14.4</v>
          </cell>
          <cell r="F635">
            <v>15.360000000000001</v>
          </cell>
        </row>
        <row r="636">
          <cell r="B636">
            <v>20.999999999999996</v>
          </cell>
          <cell r="D636">
            <v>12.6</v>
          </cell>
          <cell r="F636">
            <v>13.44</v>
          </cell>
        </row>
        <row r="637">
          <cell r="B637">
            <v>96.000000000000014</v>
          </cell>
          <cell r="D637">
            <v>57.6</v>
          </cell>
          <cell r="F637">
            <v>61.440000000000005</v>
          </cell>
        </row>
        <row r="638">
          <cell r="B638">
            <v>20.999999999999996</v>
          </cell>
          <cell r="D638">
            <v>12.6</v>
          </cell>
          <cell r="F638">
            <v>13.44</v>
          </cell>
        </row>
        <row r="639">
          <cell r="B639">
            <v>20.999999999999996</v>
          </cell>
          <cell r="D639">
            <v>12.6</v>
          </cell>
          <cell r="F639">
            <v>13.44</v>
          </cell>
        </row>
        <row r="640">
          <cell r="B640">
            <v>6.0000000000000009</v>
          </cell>
          <cell r="D640">
            <v>3.6</v>
          </cell>
          <cell r="F640">
            <v>3.8400000000000003</v>
          </cell>
        </row>
        <row r="641">
          <cell r="B641">
            <v>6.0000000000000009</v>
          </cell>
          <cell r="D641">
            <v>3.6</v>
          </cell>
          <cell r="F641">
            <v>3.8400000000000003</v>
          </cell>
        </row>
        <row r="642">
          <cell r="B642">
            <v>9</v>
          </cell>
          <cell r="D642">
            <v>5.4</v>
          </cell>
          <cell r="F642">
            <v>5.76</v>
          </cell>
        </row>
        <row r="643">
          <cell r="B643">
            <v>9</v>
          </cell>
          <cell r="D643">
            <v>5.4</v>
          </cell>
          <cell r="F643">
            <v>5.76</v>
          </cell>
        </row>
        <row r="644">
          <cell r="B644">
            <v>6.0000000000000009</v>
          </cell>
          <cell r="D644">
            <v>3.6</v>
          </cell>
          <cell r="F644">
            <v>3.8400000000000003</v>
          </cell>
        </row>
        <row r="645">
          <cell r="B645">
            <v>6.0000000000000009</v>
          </cell>
          <cell r="D645">
            <v>3.6</v>
          </cell>
          <cell r="F645">
            <v>3.8400000000000003</v>
          </cell>
        </row>
        <row r="646">
          <cell r="B646">
            <v>225</v>
          </cell>
          <cell r="D646">
            <v>134.99999999999997</v>
          </cell>
          <cell r="F646">
            <v>144</v>
          </cell>
        </row>
        <row r="647">
          <cell r="B647">
            <v>2252.1986144604025</v>
          </cell>
          <cell r="D647">
            <v>1351.3191686762414</v>
          </cell>
          <cell r="F647">
            <v>1441.4071132546576</v>
          </cell>
        </row>
        <row r="648">
          <cell r="B648">
            <v>89.999999999999986</v>
          </cell>
          <cell r="D648">
            <v>53.999999999999993</v>
          </cell>
          <cell r="F648">
            <v>57.599999999999994</v>
          </cell>
        </row>
        <row r="649">
          <cell r="B649">
            <v>179.99999999999997</v>
          </cell>
          <cell r="D649">
            <v>107.99999999999999</v>
          </cell>
          <cell r="F649">
            <v>115.19999999999999</v>
          </cell>
        </row>
        <row r="650">
          <cell r="B650">
            <v>60</v>
          </cell>
          <cell r="D650">
            <v>36</v>
          </cell>
          <cell r="F650">
            <v>38.4</v>
          </cell>
        </row>
        <row r="651">
          <cell r="B651">
            <v>120</v>
          </cell>
          <cell r="D651">
            <v>72</v>
          </cell>
          <cell r="F651">
            <v>76.8</v>
          </cell>
        </row>
        <row r="652">
          <cell r="B652">
            <v>449.99999999999994</v>
          </cell>
          <cell r="D652">
            <v>270</v>
          </cell>
          <cell r="F652">
            <v>288</v>
          </cell>
        </row>
        <row r="653">
          <cell r="B653">
            <v>165</v>
          </cell>
          <cell r="D653">
            <v>99</v>
          </cell>
          <cell r="F653">
            <v>105.60000000000001</v>
          </cell>
        </row>
        <row r="654">
          <cell r="B654">
            <v>54</v>
          </cell>
          <cell r="D654">
            <v>32.4</v>
          </cell>
          <cell r="F654">
            <v>34.56</v>
          </cell>
        </row>
        <row r="655">
          <cell r="B655">
            <v>99</v>
          </cell>
          <cell r="D655">
            <v>59.4</v>
          </cell>
          <cell r="F655">
            <v>63.36</v>
          </cell>
        </row>
        <row r="656">
          <cell r="B656">
            <v>66</v>
          </cell>
          <cell r="D656">
            <v>39.6</v>
          </cell>
          <cell r="F656">
            <v>42.24</v>
          </cell>
        </row>
        <row r="657">
          <cell r="B657">
            <v>66</v>
          </cell>
          <cell r="D657">
            <v>39.6</v>
          </cell>
          <cell r="F657">
            <v>42.24</v>
          </cell>
        </row>
        <row r="658">
          <cell r="B658">
            <v>81</v>
          </cell>
          <cell r="D658">
            <v>48.6</v>
          </cell>
          <cell r="F658">
            <v>51.84</v>
          </cell>
        </row>
        <row r="659">
          <cell r="B659">
            <v>66</v>
          </cell>
          <cell r="D659">
            <v>39.6</v>
          </cell>
          <cell r="F659">
            <v>42.24</v>
          </cell>
        </row>
        <row r="660">
          <cell r="B660">
            <v>81</v>
          </cell>
          <cell r="D660">
            <v>48.6</v>
          </cell>
          <cell r="F660">
            <v>51.84</v>
          </cell>
        </row>
        <row r="661">
          <cell r="B661">
            <v>36</v>
          </cell>
          <cell r="D661">
            <v>21.6</v>
          </cell>
          <cell r="F661">
            <v>23.04</v>
          </cell>
        </row>
        <row r="662">
          <cell r="B662">
            <v>714</v>
          </cell>
          <cell r="D662">
            <v>428.40000000000009</v>
          </cell>
          <cell r="F662">
            <v>456.96000000000009</v>
          </cell>
        </row>
        <row r="663">
          <cell r="B663">
            <v>48.000000000000007</v>
          </cell>
          <cell r="D663">
            <v>28.8</v>
          </cell>
          <cell r="F663">
            <v>30.720000000000002</v>
          </cell>
        </row>
        <row r="664">
          <cell r="B664">
            <v>24.000000000000004</v>
          </cell>
          <cell r="D664">
            <v>14.4</v>
          </cell>
          <cell r="F664">
            <v>15.360000000000001</v>
          </cell>
        </row>
        <row r="665">
          <cell r="B665">
            <v>24.000000000000004</v>
          </cell>
          <cell r="D665">
            <v>14.4</v>
          </cell>
          <cell r="F665">
            <v>15.360000000000001</v>
          </cell>
        </row>
        <row r="666">
          <cell r="B666">
            <v>18</v>
          </cell>
          <cell r="D666">
            <v>10.8</v>
          </cell>
          <cell r="F666">
            <v>11.52</v>
          </cell>
        </row>
        <row r="667">
          <cell r="B667">
            <v>18</v>
          </cell>
          <cell r="D667">
            <v>10.8</v>
          </cell>
          <cell r="F667">
            <v>11.52</v>
          </cell>
        </row>
        <row r="668">
          <cell r="B668">
            <v>63</v>
          </cell>
          <cell r="D668">
            <v>37.800000000000004</v>
          </cell>
          <cell r="F668">
            <v>40.32</v>
          </cell>
        </row>
        <row r="669">
          <cell r="B669">
            <v>36</v>
          </cell>
          <cell r="D669">
            <v>21.6</v>
          </cell>
          <cell r="F669">
            <v>23.04</v>
          </cell>
        </row>
        <row r="670">
          <cell r="B670">
            <v>36</v>
          </cell>
          <cell r="D670">
            <v>21.6</v>
          </cell>
          <cell r="F670">
            <v>23.04</v>
          </cell>
        </row>
        <row r="671">
          <cell r="B671">
            <v>36</v>
          </cell>
          <cell r="D671">
            <v>21.6</v>
          </cell>
          <cell r="F671">
            <v>23.04</v>
          </cell>
        </row>
        <row r="672">
          <cell r="B672">
            <v>36</v>
          </cell>
          <cell r="D672">
            <v>21.6</v>
          </cell>
          <cell r="F672">
            <v>23.04</v>
          </cell>
        </row>
        <row r="673">
          <cell r="B673">
            <v>339</v>
          </cell>
          <cell r="D673">
            <v>203.39999999999998</v>
          </cell>
          <cell r="F673">
            <v>216.95999999999998</v>
          </cell>
        </row>
        <row r="674">
          <cell r="B674">
            <v>1503</v>
          </cell>
          <cell r="D674">
            <v>901.80000000000007</v>
          </cell>
          <cell r="F674">
            <v>961.92000000000007</v>
          </cell>
        </row>
        <row r="675">
          <cell r="B675">
            <v>3755.1986144604025</v>
          </cell>
          <cell r="D675">
            <v>2253.1191686762413</v>
          </cell>
          <cell r="F675">
            <v>2403.3271132546579</v>
          </cell>
        </row>
        <row r="676">
          <cell r="B676">
            <v>37499.208318757905</v>
          </cell>
          <cell r="D676">
            <v>22499.524991254741</v>
          </cell>
          <cell r="F676">
            <v>23999.493324005056</v>
          </cell>
        </row>
      </sheetData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25 Final"/>
      <sheetName val="Dealer wise Target May'25"/>
      <sheetName val="Zonewise Collection Target'25 "/>
      <sheetName val="June &amp; May 25"/>
      <sheetName val="Jan"/>
      <sheetName val="Feb"/>
      <sheetName val="All month (2)"/>
      <sheetName val="All month"/>
      <sheetName val="Growth Analysis"/>
      <sheetName val="December"/>
      <sheetName val="November TG &amp; Achv 25"/>
      <sheetName val="ASM"/>
      <sheetName val="ZSM &amp; DSM"/>
      <sheetName val="Sheet1"/>
      <sheetName val="Terr. &amp; Dealer Tgt FInal Aug "/>
      <sheetName val="Jan to April DN and Col"/>
      <sheetName val="Sheet2"/>
      <sheetName val="Value Target May'25"/>
      <sheetName val="Zone Volume Target May'25"/>
      <sheetName val="Terr. &amp; Dealer Tgt May'25 (2)"/>
      <sheetName val="Terr. &amp; Dealer Tgt May'25 ( (3)"/>
      <sheetName val="Sept National Final Target"/>
      <sheetName val="National DN &amp; COllection Oc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E1"/>
          <cell r="H1">
            <v>39709.975499999993</v>
          </cell>
          <cell r="I1">
            <v>25111.276949999999</v>
          </cell>
          <cell r="J1">
            <v>0.63236697161900801</v>
          </cell>
          <cell r="K1">
            <v>1000000000</v>
          </cell>
          <cell r="L1">
            <v>1083538552.53</v>
          </cell>
          <cell r="M1">
            <v>1.0835385525299999</v>
          </cell>
          <cell r="N1">
            <v>25469.156699999996</v>
          </cell>
          <cell r="O1">
            <v>25149.97</v>
          </cell>
          <cell r="P1">
            <v>0.98746771619650864</v>
          </cell>
          <cell r="Q1">
            <v>799999999.99856579</v>
          </cell>
          <cell r="R1">
            <v>780392667.92999995</v>
          </cell>
          <cell r="S1">
            <v>0.97549083491424871</v>
          </cell>
          <cell r="T1">
            <v>25469.156699999996</v>
          </cell>
          <cell r="U1">
            <v>16790.797500000001</v>
          </cell>
          <cell r="V1">
            <v>0.65926004923437465</v>
          </cell>
          <cell r="W1">
            <v>799999999.99999988</v>
          </cell>
          <cell r="X1">
            <v>814038134.00999999</v>
          </cell>
          <cell r="Y1">
            <v>1.0175476675125001</v>
          </cell>
        </row>
        <row r="2">
          <cell r="E2"/>
          <cell r="F2"/>
          <cell r="G2"/>
          <cell r="H2">
            <v>0.14499999999999999</v>
          </cell>
          <cell r="I2"/>
          <cell r="J2"/>
          <cell r="K2"/>
          <cell r="L2"/>
          <cell r="M2"/>
          <cell r="N2">
            <v>9.2999999999999999E-2</v>
          </cell>
          <cell r="O2"/>
          <cell r="P2"/>
          <cell r="Q2"/>
          <cell r="R2"/>
          <cell r="S2"/>
          <cell r="T2">
            <v>9.2999999999999999E-2</v>
          </cell>
          <cell r="U2"/>
          <cell r="V2"/>
          <cell r="W2"/>
          <cell r="X2"/>
          <cell r="Y2"/>
        </row>
        <row r="3">
          <cell r="E3"/>
          <cell r="F3"/>
          <cell r="G3"/>
          <cell r="H3" t="str">
            <v>April</v>
          </cell>
          <cell r="I3"/>
          <cell r="J3"/>
          <cell r="K3"/>
          <cell r="L3"/>
          <cell r="M3"/>
          <cell r="N3" t="str">
            <v>May</v>
          </cell>
          <cell r="O3"/>
          <cell r="P3"/>
          <cell r="Q3"/>
          <cell r="R3"/>
          <cell r="S3"/>
          <cell r="T3" t="str">
            <v>Jun</v>
          </cell>
          <cell r="U3"/>
          <cell r="V3"/>
          <cell r="W3"/>
          <cell r="X3"/>
          <cell r="Y3"/>
        </row>
        <row r="4">
          <cell r="E4" t="str">
            <v>Territory</v>
          </cell>
          <cell r="F4" t="str">
            <v>Covered Thana</v>
          </cell>
          <cell r="G4" t="str">
            <v>Tag Dealer Name</v>
          </cell>
          <cell r="H4" t="str">
            <v>April DN Target</v>
          </cell>
          <cell r="I4" t="str">
            <v>April DN Achievement</v>
          </cell>
          <cell r="J4" t="str">
            <v>%</v>
          </cell>
          <cell r="K4" t="str">
            <v>Apr Collection original Target</v>
          </cell>
          <cell r="L4" t="str">
            <v>Apr Collection Achievement</v>
          </cell>
          <cell r="M4" t="str">
            <v>%</v>
          </cell>
          <cell r="N4" t="str">
            <v>DN</v>
          </cell>
          <cell r="O4" t="str">
            <v>DN Achievement</v>
          </cell>
          <cell r="P4" t="str">
            <v>%</v>
          </cell>
          <cell r="Q4" t="str">
            <v>Collection Target</v>
          </cell>
          <cell r="R4" t="str">
            <v>Collection Achievement</v>
          </cell>
          <cell r="S4" t="str">
            <v>%</v>
          </cell>
          <cell r="T4" t="str">
            <v>DN Target</v>
          </cell>
          <cell r="U4" t="str">
            <v>DN Achievement</v>
          </cell>
          <cell r="V4" t="str">
            <v>%</v>
          </cell>
          <cell r="W4" t="str">
            <v>Collection Target</v>
          </cell>
          <cell r="X4" t="str">
            <v>Collection Achievement</v>
          </cell>
          <cell r="Y4" t="str">
            <v>%</v>
          </cell>
        </row>
        <row r="5">
          <cell r="E5" t="str">
            <v>Gobindaganj</v>
          </cell>
          <cell r="F5" t="str">
            <v>Gobindogonj</v>
          </cell>
          <cell r="G5" t="str">
            <v>08026- M/S Harun and brothers</v>
          </cell>
          <cell r="H5">
            <v>274.04999999999995</v>
          </cell>
          <cell r="I5">
            <v>456.45650000000001</v>
          </cell>
          <cell r="J5">
            <v>1.6655956942163841</v>
          </cell>
          <cell r="K5">
            <v>6901288.5691656992</v>
          </cell>
          <cell r="L5">
            <v>15081705</v>
          </cell>
          <cell r="M5">
            <v>2.1853462362642859</v>
          </cell>
          <cell r="N5">
            <v>175.77</v>
          </cell>
          <cell r="O5">
            <v>168.08</v>
          </cell>
          <cell r="P5">
            <v>0.95624964442168747</v>
          </cell>
          <cell r="Q5">
            <v>5521030.8553325599</v>
          </cell>
          <cell r="R5">
            <v>4722200</v>
          </cell>
          <cell r="S5">
            <v>0.85531128583333338</v>
          </cell>
          <cell r="T5">
            <v>175.77</v>
          </cell>
          <cell r="U5">
            <v>252.38249999999999</v>
          </cell>
          <cell r="V5">
            <v>1.4358678955453148</v>
          </cell>
          <cell r="W5">
            <v>5521030.8553325599</v>
          </cell>
          <cell r="X5">
            <v>11469703</v>
          </cell>
          <cell r="Y5">
            <v>2.0774567830791666</v>
          </cell>
        </row>
        <row r="6">
          <cell r="E6" t="str">
            <v>Palashbari</v>
          </cell>
          <cell r="F6" t="str">
            <v>Polashbari</v>
          </cell>
          <cell r="G6" t="str">
            <v>08001- M/S Anup Traders</v>
          </cell>
          <cell r="H6">
            <v>182.7</v>
          </cell>
          <cell r="I6">
            <v>0</v>
          </cell>
          <cell r="J6">
            <v>0</v>
          </cell>
          <cell r="K6">
            <v>4600859.0461104671</v>
          </cell>
          <cell r="L6">
            <v>0</v>
          </cell>
          <cell r="M6">
            <v>0</v>
          </cell>
          <cell r="N6">
            <v>117.17999999999999</v>
          </cell>
          <cell r="O6">
            <v>79.55</v>
          </cell>
          <cell r="P6">
            <v>0.67887011435398537</v>
          </cell>
          <cell r="Q6">
            <v>3680687.2368883733</v>
          </cell>
          <cell r="R6">
            <v>1870638.9</v>
          </cell>
          <cell r="S6">
            <v>0.50823087635705355</v>
          </cell>
          <cell r="T6">
            <v>117.17999999999999</v>
          </cell>
          <cell r="U6">
            <v>33.755000000000003</v>
          </cell>
          <cell r="V6">
            <v>0.28806110257723166</v>
          </cell>
          <cell r="W6">
            <v>3680687.2368883733</v>
          </cell>
          <cell r="X6">
            <v>2932788.4</v>
          </cell>
          <cell r="Y6">
            <v>0.79680456698607138</v>
          </cell>
        </row>
        <row r="7">
          <cell r="E7" t="str">
            <v>Sundarganj</v>
          </cell>
          <cell r="F7" t="str">
            <v>Sundorgonj</v>
          </cell>
          <cell r="G7" t="str">
            <v>08001- M/S Anup Traders</v>
          </cell>
          <cell r="H7">
            <v>271.44</v>
          </cell>
          <cell r="I7">
            <v>0</v>
          </cell>
          <cell r="J7">
            <v>0</v>
          </cell>
          <cell r="K7">
            <v>6835562.0113641219</v>
          </cell>
          <cell r="L7">
            <v>50000</v>
          </cell>
          <cell r="M7">
            <v>7.3146875E-3</v>
          </cell>
          <cell r="N7">
            <v>174.096</v>
          </cell>
          <cell r="O7">
            <v>119.33</v>
          </cell>
          <cell r="P7">
            <v>0.68542643139417325</v>
          </cell>
          <cell r="Q7">
            <v>5468449.6090912968</v>
          </cell>
          <cell r="R7">
            <v>2855958.35</v>
          </cell>
          <cell r="S7">
            <v>0.52226107108164066</v>
          </cell>
          <cell r="T7">
            <v>174.096</v>
          </cell>
          <cell r="U7">
            <v>50.6325</v>
          </cell>
          <cell r="V7">
            <v>0.29083092087124346</v>
          </cell>
          <cell r="W7">
            <v>5468449.6090912968</v>
          </cell>
          <cell r="X7">
            <v>4399182.5999999996</v>
          </cell>
          <cell r="Y7">
            <v>0.80446614936093752</v>
          </cell>
        </row>
        <row r="8">
          <cell r="E8" t="str">
            <v>Gaibandha sadar</v>
          </cell>
          <cell r="F8" t="str">
            <v>Gaibandha Sadar</v>
          </cell>
          <cell r="G8" t="str">
            <v>08001- M/S Anup Traders</v>
          </cell>
          <cell r="H8">
            <v>313.2</v>
          </cell>
          <cell r="I8">
            <v>1108.23785</v>
          </cell>
          <cell r="J8">
            <v>3.5384350255427841</v>
          </cell>
          <cell r="K8">
            <v>7887186.9361893721</v>
          </cell>
          <cell r="L8">
            <v>51167755</v>
          </cell>
          <cell r="M8">
            <v>6.4874530569604163</v>
          </cell>
          <cell r="N8">
            <v>200.88</v>
          </cell>
          <cell r="O8">
            <v>135.24</v>
          </cell>
          <cell r="P8">
            <v>0.67323775388291518</v>
          </cell>
          <cell r="Q8">
            <v>6309749.5489514973</v>
          </cell>
          <cell r="R8">
            <v>3180086.13</v>
          </cell>
          <cell r="S8">
            <v>0.50399561905407808</v>
          </cell>
          <cell r="T8">
            <v>200.88</v>
          </cell>
          <cell r="U8">
            <v>57.384999999999998</v>
          </cell>
          <cell r="V8">
            <v>0.2856680605336519</v>
          </cell>
          <cell r="W8">
            <v>6309749.5489514973</v>
          </cell>
          <cell r="X8">
            <v>4985740.28</v>
          </cell>
          <cell r="Y8">
            <v>0.79016452892785416</v>
          </cell>
        </row>
        <row r="9">
          <cell r="E9" t="str">
            <v>Saghata</v>
          </cell>
          <cell r="F9" t="str">
            <v>Saghata,Fulsori</v>
          </cell>
          <cell r="G9" t="str">
            <v>08001- M/S Anup Traders</v>
          </cell>
          <cell r="H9">
            <v>195.75</v>
          </cell>
          <cell r="I9">
            <v>0</v>
          </cell>
          <cell r="J9">
            <v>0</v>
          </cell>
          <cell r="K9">
            <v>4929491.8351183571</v>
          </cell>
          <cell r="L9">
            <v>0</v>
          </cell>
          <cell r="M9">
            <v>0</v>
          </cell>
          <cell r="N9">
            <v>125.55</v>
          </cell>
          <cell r="O9">
            <v>87.51</v>
          </cell>
          <cell r="P9">
            <v>0.69701314217443255</v>
          </cell>
          <cell r="Q9">
            <v>3943593.468094686</v>
          </cell>
          <cell r="R9">
            <v>2057702.79</v>
          </cell>
          <cell r="S9">
            <v>0.52178369972657501</v>
          </cell>
          <cell r="T9">
            <v>125.55</v>
          </cell>
          <cell r="U9">
            <v>37.1325</v>
          </cell>
          <cell r="V9">
            <v>0.29575866188769417</v>
          </cell>
          <cell r="W9">
            <v>3943593.4680946851</v>
          </cell>
          <cell r="X9">
            <v>3226067.24</v>
          </cell>
          <cell r="Y9">
            <v>0.81805268877236681</v>
          </cell>
        </row>
        <row r="10">
          <cell r="E10" t="str">
            <v>Sadullapur</v>
          </cell>
          <cell r="F10" t="str">
            <v>Sadullapur</v>
          </cell>
          <cell r="G10" t="str">
            <v>08001- M/S Anup Traders</v>
          </cell>
          <cell r="H10">
            <v>229.67999999999998</v>
          </cell>
          <cell r="I10">
            <v>0</v>
          </cell>
          <cell r="J10">
            <v>0</v>
          </cell>
          <cell r="K10">
            <v>5783937.0865388718</v>
          </cell>
          <cell r="L10">
            <v>0</v>
          </cell>
          <cell r="M10">
            <v>0</v>
          </cell>
          <cell r="N10">
            <v>147.31200000000001</v>
          </cell>
          <cell r="O10">
            <v>103.42</v>
          </cell>
          <cell r="P10">
            <v>0.70204735527316164</v>
          </cell>
          <cell r="Q10">
            <v>4627149.6692310972</v>
          </cell>
          <cell r="R10">
            <v>2431830.5699999998</v>
          </cell>
          <cell r="S10">
            <v>0.52555692896013495</v>
          </cell>
          <cell r="T10">
            <v>147.31200000000001</v>
          </cell>
          <cell r="U10">
            <v>43.8825</v>
          </cell>
          <cell r="V10">
            <v>0.29788815575105898</v>
          </cell>
          <cell r="W10">
            <v>4627149.6692310981</v>
          </cell>
          <cell r="X10">
            <v>3812624.92</v>
          </cell>
          <cell r="Y10">
            <v>0.82396835904241472</v>
          </cell>
        </row>
        <row r="11">
          <cell r="E11" t="str">
            <v>Mithapukur</v>
          </cell>
          <cell r="F11" t="str">
            <v>Mithapukur,Pirgonj</v>
          </cell>
          <cell r="G11" t="str">
            <v>08001- M/S Anup Traders</v>
          </cell>
          <cell r="H11">
            <v>292.32</v>
          </cell>
          <cell r="I11">
            <v>0</v>
          </cell>
          <cell r="J11">
            <v>0</v>
          </cell>
          <cell r="K11">
            <v>7361374.4737767465</v>
          </cell>
          <cell r="L11">
            <v>0</v>
          </cell>
          <cell r="M11">
            <v>0</v>
          </cell>
          <cell r="N11">
            <v>187.488</v>
          </cell>
          <cell r="O11">
            <v>127.29</v>
          </cell>
          <cell r="P11">
            <v>0.67892345110087049</v>
          </cell>
          <cell r="Q11">
            <v>5889099.579021397</v>
          </cell>
          <cell r="R11">
            <v>2993022.24</v>
          </cell>
          <cell r="S11">
            <v>0.50823087635705366</v>
          </cell>
          <cell r="T11">
            <v>187.488</v>
          </cell>
          <cell r="U11">
            <v>54.01</v>
          </cell>
          <cell r="V11">
            <v>0.2880717699266086</v>
          </cell>
          <cell r="W11">
            <v>5889099.579021397</v>
          </cell>
          <cell r="X11">
            <v>4692461.4400000004</v>
          </cell>
          <cell r="Y11">
            <v>0.79680456698607149</v>
          </cell>
        </row>
        <row r="12">
          <cell r="E12" t="str">
            <v>Pirgacha</v>
          </cell>
          <cell r="F12" t="str">
            <v>Pirgacha</v>
          </cell>
          <cell r="G12" t="str">
            <v>08001- M/S Anup Traders</v>
          </cell>
          <cell r="H12">
            <v>319.72499999999997</v>
          </cell>
          <cell r="I12">
            <v>0</v>
          </cell>
          <cell r="J12">
            <v>0</v>
          </cell>
          <cell r="K12">
            <v>8051503.3306933166</v>
          </cell>
          <cell r="L12">
            <v>50000</v>
          </cell>
          <cell r="M12">
            <v>6.2100204081632655E-3</v>
          </cell>
          <cell r="N12">
            <v>205.065</v>
          </cell>
          <cell r="O12">
            <v>143.19999999999999</v>
          </cell>
          <cell r="P12">
            <v>0.69831516836125129</v>
          </cell>
          <cell r="Q12">
            <v>6441202.6645546528</v>
          </cell>
          <cell r="R12">
            <v>3417150.02</v>
          </cell>
          <cell r="S12">
            <v>0.53051428404888779</v>
          </cell>
          <cell r="T12">
            <v>205.065</v>
          </cell>
          <cell r="U12">
            <v>60.76</v>
          </cell>
          <cell r="V12">
            <v>0.29629629629629628</v>
          </cell>
          <cell r="W12">
            <v>6441202.6645546528</v>
          </cell>
          <cell r="X12">
            <v>5279019.12</v>
          </cell>
          <cell r="Y12">
            <v>0.8195704117571021</v>
          </cell>
        </row>
        <row r="13">
          <cell r="E13" t="str">
            <v>Gaibandha Area</v>
          </cell>
          <cell r="F13"/>
          <cell r="G13"/>
          <cell r="H13">
            <v>2078.8649999999998</v>
          </cell>
          <cell r="I13">
            <v>1564.69435</v>
          </cell>
          <cell r="J13">
            <v>0.75266760948883171</v>
          </cell>
          <cell r="K13">
            <v>52351203.288956955</v>
          </cell>
          <cell r="L13">
            <v>66349460</v>
          </cell>
          <cell r="M13">
            <v>1.2673913077752668</v>
          </cell>
          <cell r="N13">
            <v>1333.3409999999999</v>
          </cell>
          <cell r="O13">
            <v>963.61999999999989</v>
          </cell>
          <cell r="P13">
            <v>0.72271084441264455</v>
          </cell>
          <cell r="Q13">
            <v>41880962.631165564</v>
          </cell>
          <cell r="R13">
            <v>23528588.999999996</v>
          </cell>
          <cell r="S13">
            <v>0.56179675732886047</v>
          </cell>
          <cell r="T13">
            <v>1333.3409999999999</v>
          </cell>
          <cell r="U13">
            <v>589.93999999999994</v>
          </cell>
          <cell r="V13">
            <v>0.44245245589837856</v>
          </cell>
          <cell r="W13">
            <v>41880962.631165564</v>
          </cell>
          <cell r="X13">
            <v>40797587</v>
          </cell>
          <cell r="Y13">
            <v>0.9741320265079253</v>
          </cell>
        </row>
        <row r="14">
          <cell r="E14" t="str">
            <v>Rangpur Sadar</v>
          </cell>
          <cell r="F14" t="str">
            <v>Rangpur  Sadar,Kaonia</v>
          </cell>
          <cell r="G14" t="str">
            <v>08048- M/S Amit Enterprise</v>
          </cell>
          <cell r="H14">
            <v>254.47499999999999</v>
          </cell>
          <cell r="I14">
            <v>398.53210000000001</v>
          </cell>
          <cell r="J14">
            <v>1.5660952942332254</v>
          </cell>
          <cell r="K14">
            <v>6408339.3856538646</v>
          </cell>
          <cell r="L14">
            <v>21885465</v>
          </cell>
          <cell r="M14">
            <v>3.4151538616999999</v>
          </cell>
          <cell r="N14">
            <v>163.215</v>
          </cell>
          <cell r="O14">
            <v>195.3</v>
          </cell>
          <cell r="P14">
            <v>1.1965811965811965</v>
          </cell>
          <cell r="Q14">
            <v>5126671.5085230917</v>
          </cell>
          <cell r="R14">
            <v>4981840.05</v>
          </cell>
          <cell r="S14">
            <v>0.97174941708624996</v>
          </cell>
          <cell r="T14">
            <v>163.215</v>
          </cell>
          <cell r="U14">
            <v>59.752499999999998</v>
          </cell>
          <cell r="V14">
            <v>0.36609686609686609</v>
          </cell>
          <cell r="W14">
            <v>5126671.5085230907</v>
          </cell>
          <cell r="X14">
            <v>4902939.6900000004</v>
          </cell>
          <cell r="Y14">
            <v>0.95635924436525022</v>
          </cell>
        </row>
        <row r="15">
          <cell r="E15" t="str">
            <v>Badarganj</v>
          </cell>
          <cell r="F15" t="str">
            <v>Badargonj</v>
          </cell>
          <cell r="G15" t="str">
            <v>08048- M/S Amit Enterprise</v>
          </cell>
          <cell r="H15">
            <v>274.04999999999995</v>
          </cell>
          <cell r="I15">
            <v>0</v>
          </cell>
          <cell r="J15">
            <v>0</v>
          </cell>
          <cell r="K15">
            <v>6901288.5691656992</v>
          </cell>
          <cell r="L15">
            <v>0</v>
          </cell>
          <cell r="M15">
            <v>0</v>
          </cell>
          <cell r="N15">
            <v>175.77</v>
          </cell>
          <cell r="O15">
            <v>213.05</v>
          </cell>
          <cell r="P15">
            <v>1.2120953518802982</v>
          </cell>
          <cell r="Q15">
            <v>5521030.8553325599</v>
          </cell>
          <cell r="R15">
            <v>5434734.5999999996</v>
          </cell>
          <cell r="S15">
            <v>0.98436953938607141</v>
          </cell>
          <cell r="T15">
            <v>175.77</v>
          </cell>
          <cell r="U15">
            <v>65.185000000000002</v>
          </cell>
          <cell r="V15">
            <v>0.37085395687546224</v>
          </cell>
          <cell r="W15">
            <v>5521030.8553325599</v>
          </cell>
          <cell r="X15">
            <v>5348661.4800000004</v>
          </cell>
          <cell r="Y15">
            <v>0.96877949429207155</v>
          </cell>
        </row>
        <row r="16">
          <cell r="E16" t="str">
            <v>Gangachara</v>
          </cell>
          <cell r="F16" t="str">
            <v>Gongachora,Taragonj</v>
          </cell>
          <cell r="G16" t="str">
            <v>08048- M/S Amit Enterprise</v>
          </cell>
          <cell r="H16">
            <v>234.89999999999998</v>
          </cell>
          <cell r="I16">
            <v>0</v>
          </cell>
          <cell r="J16">
            <v>0</v>
          </cell>
          <cell r="K16">
            <v>5915390.2021420281</v>
          </cell>
          <cell r="L16">
            <v>0</v>
          </cell>
          <cell r="M16">
            <v>0</v>
          </cell>
          <cell r="N16">
            <v>150.66</v>
          </cell>
          <cell r="O16">
            <v>183.46</v>
          </cell>
          <cell r="P16">
            <v>1.217708748174698</v>
          </cell>
          <cell r="Q16">
            <v>4732312.1617136225</v>
          </cell>
          <cell r="R16">
            <v>4679910.3499999996</v>
          </cell>
          <cell r="S16">
            <v>0.988926805772118</v>
          </cell>
          <cell r="T16">
            <v>150.66</v>
          </cell>
          <cell r="U16">
            <v>56.13</v>
          </cell>
          <cell r="V16">
            <v>0.37256073277578655</v>
          </cell>
          <cell r="W16">
            <v>4732312.1617136225</v>
          </cell>
          <cell r="X16">
            <v>4605791.83</v>
          </cell>
          <cell r="Y16">
            <v>0.97326458454342368</v>
          </cell>
        </row>
        <row r="17">
          <cell r="E17" t="str">
            <v>Ulipur</v>
          </cell>
          <cell r="F17" t="str">
            <v xml:space="preserve">Ulipur, Chilmari </v>
          </cell>
          <cell r="G17" t="str">
            <v>08034- M/S Bengal Traders</v>
          </cell>
          <cell r="H17">
            <v>84.215999999999994</v>
          </cell>
          <cell r="I17">
            <v>0</v>
          </cell>
          <cell r="J17">
            <v>0</v>
          </cell>
          <cell r="K17">
            <v>2120776.93173092</v>
          </cell>
          <cell r="L17">
            <v>0</v>
          </cell>
          <cell r="M17">
            <v>0</v>
          </cell>
          <cell r="N17">
            <v>54.014399999999995</v>
          </cell>
          <cell r="O17">
            <v>37.15</v>
          </cell>
          <cell r="P17">
            <v>0.68777955508160793</v>
          </cell>
          <cell r="Q17">
            <v>1696621.5453847358</v>
          </cell>
          <cell r="R17">
            <v>1114400</v>
          </cell>
          <cell r="S17">
            <v>0.65683475671487601</v>
          </cell>
          <cell r="T17">
            <v>54.014399999999995</v>
          </cell>
          <cell r="U17">
            <v>33.875</v>
          </cell>
          <cell r="V17">
            <v>0.62714757546135846</v>
          </cell>
          <cell r="W17">
            <v>1696621.5453847358</v>
          </cell>
          <cell r="X17">
            <v>1582000</v>
          </cell>
          <cell r="Y17">
            <v>0.93244130036157025</v>
          </cell>
        </row>
        <row r="18">
          <cell r="E18" t="str">
            <v>Kurigram Sadar</v>
          </cell>
          <cell r="F18" t="str">
            <v>Razarhat,Kurigram Sadar</v>
          </cell>
          <cell r="G18" t="str">
            <v>08034- M/S Bengal Traders</v>
          </cell>
          <cell r="H18">
            <v>216.28199999999998</v>
          </cell>
          <cell r="I18">
            <v>181.22830000000002</v>
          </cell>
          <cell r="J18">
            <v>0.83792594853015989</v>
          </cell>
          <cell r="K18">
            <v>5446540.7564907707</v>
          </cell>
          <cell r="L18">
            <v>7305870</v>
          </cell>
          <cell r="M18">
            <v>1.3413780097566372</v>
          </cell>
          <cell r="N18">
            <v>138.71879999999999</v>
          </cell>
          <cell r="O18">
            <v>95.52</v>
          </cell>
          <cell r="P18">
            <v>0.68858727151618959</v>
          </cell>
          <cell r="Q18">
            <v>4357232.6051926166</v>
          </cell>
          <cell r="R18">
            <v>2865600</v>
          </cell>
          <cell r="S18">
            <v>0.65766514199517301</v>
          </cell>
          <cell r="T18">
            <v>138.71879999999999</v>
          </cell>
          <cell r="U18">
            <v>87.107500000000002</v>
          </cell>
          <cell r="V18">
            <v>0.62794300412056625</v>
          </cell>
          <cell r="W18">
            <v>4357232.6051926166</v>
          </cell>
          <cell r="X18">
            <v>4068000</v>
          </cell>
          <cell r="Y18">
            <v>0.93362011363636377</v>
          </cell>
        </row>
        <row r="19">
          <cell r="E19" t="str">
            <v>Rangpur Area</v>
          </cell>
          <cell r="F19"/>
          <cell r="G19"/>
          <cell r="H19">
            <v>1063.923</v>
          </cell>
          <cell r="I19">
            <v>579.7604</v>
          </cell>
          <cell r="J19">
            <v>0.54492702949367577</v>
          </cell>
          <cell r="K19">
            <v>26792335.845183279</v>
          </cell>
          <cell r="L19">
            <v>29191335</v>
          </cell>
          <cell r="M19">
            <v>1.089540500263922</v>
          </cell>
          <cell r="N19">
            <v>682.37819999999999</v>
          </cell>
          <cell r="O19">
            <v>724.48</v>
          </cell>
          <cell r="P19">
            <v>1.0616986298800284</v>
          </cell>
          <cell r="Q19">
            <v>21433868.676146626</v>
          </cell>
          <cell r="R19">
            <v>19076485</v>
          </cell>
          <cell r="S19">
            <v>0.89001595037436632</v>
          </cell>
          <cell r="T19">
            <v>682.37819999999999</v>
          </cell>
          <cell r="U19">
            <v>302.05</v>
          </cell>
          <cell r="V19">
            <v>0.44264309733224189</v>
          </cell>
          <cell r="W19">
            <v>21433868.676146626</v>
          </cell>
          <cell r="X19">
            <v>20507393</v>
          </cell>
          <cell r="Y19">
            <v>0.95677515383969458</v>
          </cell>
        </row>
        <row r="20">
          <cell r="E20" t="str">
            <v>Bhrungamari</v>
          </cell>
          <cell r="F20" t="str">
            <v xml:space="preserve">Bhurungamari , Koachkata </v>
          </cell>
          <cell r="G20" t="str">
            <v>08056-M/S Gofur's Trading (Kurigram)</v>
          </cell>
          <cell r="H20">
            <v>152.25</v>
          </cell>
          <cell r="I20">
            <v>230.42790000000002</v>
          </cell>
          <cell r="J20">
            <v>1.5134837438423647</v>
          </cell>
          <cell r="K20">
            <v>3834049.2050920557</v>
          </cell>
          <cell r="L20">
            <v>11643691.51</v>
          </cell>
          <cell r="M20">
            <v>3.0369175999452085</v>
          </cell>
          <cell r="N20">
            <v>97.65</v>
          </cell>
          <cell r="O20">
            <v>54.93</v>
          </cell>
          <cell r="P20">
            <v>0.56251920122887866</v>
          </cell>
          <cell r="Q20">
            <v>3067239.3640736444</v>
          </cell>
          <cell r="R20">
            <v>1600146.8</v>
          </cell>
          <cell r="S20">
            <v>0.52168957491300005</v>
          </cell>
          <cell r="T20">
            <v>97.65</v>
          </cell>
          <cell r="U20">
            <v>79.432500000000005</v>
          </cell>
          <cell r="V20">
            <v>0.8134408602150538</v>
          </cell>
          <cell r="W20">
            <v>3067239.3640736444</v>
          </cell>
          <cell r="X20">
            <v>8216433.5</v>
          </cell>
          <cell r="Y20">
            <v>2.678771535159107</v>
          </cell>
        </row>
        <row r="21">
          <cell r="E21" t="str">
            <v>Nageshwari</v>
          </cell>
          <cell r="F21" t="str">
            <v>Nageshwari</v>
          </cell>
          <cell r="G21" t="str">
            <v>08056-M/S Gofur's Trading (Kurigram)</v>
          </cell>
          <cell r="H21">
            <v>130.5</v>
          </cell>
          <cell r="I21">
            <v>120.419</v>
          </cell>
          <cell r="J21">
            <v>0.92275095785440608</v>
          </cell>
          <cell r="K21">
            <v>3286327.890078905</v>
          </cell>
          <cell r="L21">
            <v>4616848</v>
          </cell>
          <cell r="M21">
            <v>1.4048652947679998</v>
          </cell>
          <cell r="N21">
            <v>83.7</v>
          </cell>
          <cell r="O21">
            <v>47.09</v>
          </cell>
          <cell r="P21">
            <v>0.56260454002389493</v>
          </cell>
          <cell r="Q21">
            <v>2629062.3120631236</v>
          </cell>
          <cell r="R21">
            <v>1371554.4</v>
          </cell>
          <cell r="S21">
            <v>0.52168957491300005</v>
          </cell>
          <cell r="T21">
            <v>83.7</v>
          </cell>
          <cell r="U21">
            <v>47.174999999999997</v>
          </cell>
          <cell r="V21">
            <v>0.56362007168458772</v>
          </cell>
          <cell r="W21">
            <v>2629062.3120631236</v>
          </cell>
          <cell r="X21">
            <v>4309683</v>
          </cell>
          <cell r="Y21">
            <v>1.6392471871912502</v>
          </cell>
        </row>
        <row r="22">
          <cell r="E22" t="str">
            <v>Fulbari_Kurigram</v>
          </cell>
          <cell r="F22" t="str">
            <v>Fulbari</v>
          </cell>
          <cell r="G22" t="str">
            <v>08056-M/S Gofur's Trading (Kurigram)</v>
          </cell>
          <cell r="H22">
            <v>152.25</v>
          </cell>
          <cell r="I22">
            <v>0</v>
          </cell>
          <cell r="J22">
            <v>0</v>
          </cell>
          <cell r="K22">
            <v>3834049.2050920557</v>
          </cell>
          <cell r="L22">
            <v>0</v>
          </cell>
          <cell r="M22">
            <v>0</v>
          </cell>
          <cell r="N22">
            <v>97.65</v>
          </cell>
          <cell r="O22">
            <v>54.93</v>
          </cell>
          <cell r="P22">
            <v>0.56251920122887866</v>
          </cell>
          <cell r="Q22">
            <v>3067239.3640736444</v>
          </cell>
          <cell r="R22">
            <v>1600146.8</v>
          </cell>
          <cell r="S22">
            <v>0.52168957491300005</v>
          </cell>
          <cell r="T22">
            <v>97.65</v>
          </cell>
          <cell r="U22">
            <v>55.037500000000001</v>
          </cell>
          <cell r="V22">
            <v>0.56362007168458783</v>
          </cell>
          <cell r="W22">
            <v>3067239.3640736444</v>
          </cell>
          <cell r="X22">
            <v>2826463.5</v>
          </cell>
          <cell r="Y22">
            <v>0.92150079094125004</v>
          </cell>
        </row>
        <row r="23">
          <cell r="E23" t="str">
            <v>Hatibandha</v>
          </cell>
          <cell r="F23" t="str">
            <v xml:space="preserve">Hatibandha </v>
          </cell>
          <cell r="G23" t="str">
            <v>08019-M/S PS Traders</v>
          </cell>
          <cell r="H23">
            <v>108.74999999999999</v>
          </cell>
          <cell r="I23">
            <v>0</v>
          </cell>
          <cell r="J23">
            <v>0</v>
          </cell>
          <cell r="K23">
            <v>2738606.5750657539</v>
          </cell>
          <cell r="L23">
            <v>0</v>
          </cell>
          <cell r="M23">
            <v>0</v>
          </cell>
          <cell r="N23">
            <v>69.75</v>
          </cell>
          <cell r="O23">
            <v>110.09</v>
          </cell>
          <cell r="P23">
            <v>1.5783512544802867</v>
          </cell>
          <cell r="Q23">
            <v>2190885.2600526032</v>
          </cell>
          <cell r="R23">
            <v>2920033.62</v>
          </cell>
          <cell r="S23">
            <v>1.33280992539513</v>
          </cell>
          <cell r="T23">
            <v>69.75</v>
          </cell>
          <cell r="U23">
            <v>55.237499999999997</v>
          </cell>
          <cell r="V23">
            <v>0.79193548387096768</v>
          </cell>
          <cell r="W23">
            <v>2190885.2600526032</v>
          </cell>
          <cell r="X23">
            <v>2093554.52</v>
          </cell>
          <cell r="Y23">
            <v>0.95557469766797998</v>
          </cell>
        </row>
        <row r="24">
          <cell r="E24" t="str">
            <v>Patgram</v>
          </cell>
          <cell r="F24" t="str">
            <v>Patgram</v>
          </cell>
          <cell r="G24" t="str">
            <v>08019-M/S PS Traders</v>
          </cell>
          <cell r="H24">
            <v>174</v>
          </cell>
          <cell r="I24">
            <v>241.29599999999999</v>
          </cell>
          <cell r="J24">
            <v>1.3867586206896552</v>
          </cell>
          <cell r="K24">
            <v>4381770.5201052064</v>
          </cell>
          <cell r="L24">
            <v>11681106</v>
          </cell>
          <cell r="M24">
            <v>2.6658415693844999</v>
          </cell>
          <cell r="N24">
            <v>111.6</v>
          </cell>
          <cell r="O24">
            <v>179.63</v>
          </cell>
          <cell r="P24">
            <v>1.6095878136200716</v>
          </cell>
          <cell r="Q24">
            <v>3505416.4160841652</v>
          </cell>
          <cell r="R24">
            <v>4764265.38</v>
          </cell>
          <cell r="S24">
            <v>1.3591153844489812</v>
          </cell>
          <cell r="T24">
            <v>111.6</v>
          </cell>
          <cell r="U24">
            <v>90.125</v>
          </cell>
          <cell r="V24">
            <v>0.8075716845878137</v>
          </cell>
          <cell r="W24">
            <v>3505416.4160841652</v>
          </cell>
          <cell r="X24">
            <v>3415799.48</v>
          </cell>
          <cell r="Y24">
            <v>0.9744347245956374</v>
          </cell>
        </row>
        <row r="25">
          <cell r="E25" t="str">
            <v>Kaliganj_Lalmonirhat</v>
          </cell>
          <cell r="F25" t="str">
            <v xml:space="preserve">Kaligonj </v>
          </cell>
          <cell r="G25" t="str">
            <v>08005-M/S Meherun Traders</v>
          </cell>
          <cell r="H25">
            <v>239.24999999999997</v>
          </cell>
          <cell r="I25">
            <v>0</v>
          </cell>
          <cell r="J25">
            <v>0</v>
          </cell>
          <cell r="K25">
            <v>6024934.4651446575</v>
          </cell>
          <cell r="L25">
            <v>400000</v>
          </cell>
          <cell r="M25">
            <v>6.6390763636363648E-2</v>
          </cell>
          <cell r="N25">
            <v>153.44999999999999</v>
          </cell>
          <cell r="O25">
            <v>203.59</v>
          </cell>
          <cell r="P25">
            <v>1.3267513848159012</v>
          </cell>
          <cell r="Q25">
            <v>4819947.5721157268</v>
          </cell>
          <cell r="R25">
            <v>6137454.9299999997</v>
          </cell>
          <cell r="S25">
            <v>1.2733447487077023</v>
          </cell>
          <cell r="T25">
            <v>153.44999999999999</v>
          </cell>
          <cell r="U25">
            <v>72.790000000000006</v>
          </cell>
          <cell r="V25">
            <v>0.47435646790485508</v>
          </cell>
          <cell r="W25">
            <v>4819947.5721157268</v>
          </cell>
          <cell r="X25">
            <v>3979802.22</v>
          </cell>
          <cell r="Y25">
            <v>0.82569408908592279</v>
          </cell>
        </row>
        <row r="26">
          <cell r="E26" t="str">
            <v>Lalmonirhat Sadar</v>
          </cell>
          <cell r="F26" t="str">
            <v>Lalmonirhat</v>
          </cell>
          <cell r="G26" t="str">
            <v>08005-M/S Meherun Traders</v>
          </cell>
          <cell r="H26">
            <v>152.25</v>
          </cell>
          <cell r="I26">
            <v>133.19549999999998</v>
          </cell>
          <cell r="J26">
            <v>0.87484729064039402</v>
          </cell>
          <cell r="K26">
            <v>3834049.2050920557</v>
          </cell>
          <cell r="L26">
            <v>8785754</v>
          </cell>
          <cell r="M26">
            <v>2.2915078889262857</v>
          </cell>
          <cell r="N26">
            <v>97.65</v>
          </cell>
          <cell r="O26">
            <v>127.83</v>
          </cell>
          <cell r="P26">
            <v>1.3090629800307219</v>
          </cell>
          <cell r="Q26">
            <v>3067239.3640736444</v>
          </cell>
          <cell r="R26">
            <v>3853750.77</v>
          </cell>
          <cell r="S26">
            <v>1.2564232238079323</v>
          </cell>
          <cell r="T26">
            <v>97.65</v>
          </cell>
          <cell r="U26">
            <v>45.704999999999998</v>
          </cell>
          <cell r="V26">
            <v>0.46804915514592932</v>
          </cell>
          <cell r="W26">
            <v>3067239.3640736444</v>
          </cell>
          <cell r="X26">
            <v>2498945.58</v>
          </cell>
          <cell r="Y26">
            <v>0.81472141016119293</v>
          </cell>
        </row>
        <row r="27">
          <cell r="E27" t="str">
            <v>Aditmari</v>
          </cell>
          <cell r="F27" t="str">
            <v>Aditmari</v>
          </cell>
          <cell r="G27" t="str">
            <v>08005-M/S Meherun Traders</v>
          </cell>
          <cell r="H27">
            <v>163.125</v>
          </cell>
          <cell r="I27">
            <v>0</v>
          </cell>
          <cell r="J27">
            <v>0</v>
          </cell>
          <cell r="K27">
            <v>4107909.8625986311</v>
          </cell>
          <cell r="L27">
            <v>0</v>
          </cell>
          <cell r="M27">
            <v>0</v>
          </cell>
          <cell r="N27">
            <v>104.625</v>
          </cell>
          <cell r="O27">
            <v>142.04</v>
          </cell>
          <cell r="P27">
            <v>1.357610513739546</v>
          </cell>
          <cell r="Q27">
            <v>3286327.890078905</v>
          </cell>
          <cell r="R27">
            <v>4281945.3</v>
          </cell>
          <cell r="S27">
            <v>1.3029574172822997</v>
          </cell>
          <cell r="T27">
            <v>104.625</v>
          </cell>
          <cell r="U27">
            <v>50.784999999999997</v>
          </cell>
          <cell r="V27">
            <v>0.48540023894862599</v>
          </cell>
          <cell r="W27">
            <v>3286327.890078905</v>
          </cell>
          <cell r="X27">
            <v>2776606.2</v>
          </cell>
          <cell r="Y27">
            <v>0.84489627720420002</v>
          </cell>
        </row>
        <row r="28">
          <cell r="E28" t="str">
            <v>Lalmonirhat Area</v>
          </cell>
          <cell r="F28"/>
          <cell r="G28"/>
          <cell r="H28">
            <v>1272.375</v>
          </cell>
          <cell r="I28">
            <v>725.33840000000009</v>
          </cell>
          <cell r="J28">
            <v>0.57006652912859812</v>
          </cell>
          <cell r="K28">
            <v>32041696.928269323</v>
          </cell>
          <cell r="L28">
            <v>37127399.509999998</v>
          </cell>
          <cell r="M28">
            <v>1.1587213871074264</v>
          </cell>
          <cell r="N28">
            <v>816.07499999999993</v>
          </cell>
          <cell r="O28">
            <v>920.13</v>
          </cell>
          <cell r="P28">
            <v>1.1275066629905341</v>
          </cell>
          <cell r="Q28">
            <v>25633357.542615458</v>
          </cell>
          <cell r="R28">
            <v>26529298</v>
          </cell>
          <cell r="S28">
            <v>1.0349521304766667</v>
          </cell>
          <cell r="T28">
            <v>816.07499999999993</v>
          </cell>
          <cell r="U28">
            <v>496.28750000000002</v>
          </cell>
          <cell r="V28">
            <v>0.60813957050516199</v>
          </cell>
          <cell r="W28">
            <v>25633357.542615458</v>
          </cell>
          <cell r="X28">
            <v>30117287.999999996</v>
          </cell>
          <cell r="Y28">
            <v>1.1749256003599997</v>
          </cell>
        </row>
        <row r="29">
          <cell r="E29" t="str">
            <v>Debiganj</v>
          </cell>
          <cell r="F29" t="str">
            <v>Debigonj</v>
          </cell>
          <cell r="G29" t="str">
            <v>08009-MS Janata Steel</v>
          </cell>
          <cell r="H29">
            <v>365.4</v>
          </cell>
          <cell r="I29">
            <v>0</v>
          </cell>
          <cell r="J29">
            <v>0</v>
          </cell>
          <cell r="K29">
            <v>9201718.0922209341</v>
          </cell>
          <cell r="L29">
            <v>0</v>
          </cell>
          <cell r="M29">
            <v>0</v>
          </cell>
          <cell r="N29">
            <v>234.35999999999999</v>
          </cell>
          <cell r="O29">
            <v>323.3</v>
          </cell>
          <cell r="P29">
            <v>1.3795016214371054</v>
          </cell>
          <cell r="Q29">
            <v>7361374.4737767465</v>
          </cell>
          <cell r="R29">
            <v>9902304</v>
          </cell>
          <cell r="S29">
            <v>1.3451705296714285</v>
          </cell>
          <cell r="T29">
            <v>234.35999999999999</v>
          </cell>
          <cell r="U29">
            <v>231.16749999999999</v>
          </cell>
          <cell r="V29">
            <v>0.98637779484553678</v>
          </cell>
          <cell r="W29">
            <v>7361374.4737767465</v>
          </cell>
          <cell r="X29">
            <v>13348800</v>
          </cell>
          <cell r="Y29">
            <v>1.8133570092857143</v>
          </cell>
        </row>
        <row r="30">
          <cell r="E30" t="str">
            <v>Boda</v>
          </cell>
          <cell r="F30" t="str">
            <v>Boda</v>
          </cell>
          <cell r="G30" t="str">
            <v>08009-MS Janata Steel</v>
          </cell>
          <cell r="H30">
            <v>391.5</v>
          </cell>
          <cell r="I30">
            <v>686.27324999999996</v>
          </cell>
          <cell r="J30">
            <v>1.7529329501915707</v>
          </cell>
          <cell r="K30">
            <v>9858983.6702367142</v>
          </cell>
          <cell r="L30">
            <v>31100000</v>
          </cell>
          <cell r="M30">
            <v>3.1544833666666667</v>
          </cell>
          <cell r="N30">
            <v>251.1</v>
          </cell>
          <cell r="O30">
            <v>350.24</v>
          </cell>
          <cell r="P30">
            <v>1.3948227797690165</v>
          </cell>
          <cell r="Q30">
            <v>7887186.9361893721</v>
          </cell>
          <cell r="R30">
            <v>10727496</v>
          </cell>
          <cell r="S30">
            <v>1.3601168688899998</v>
          </cell>
          <cell r="T30">
            <v>251.1</v>
          </cell>
          <cell r="U30">
            <v>250.4325</v>
          </cell>
          <cell r="V30">
            <v>0.99734169653524496</v>
          </cell>
          <cell r="W30">
            <v>7887186.9361893702</v>
          </cell>
          <cell r="X30">
            <v>14461200</v>
          </cell>
          <cell r="Y30">
            <v>1.8335054205000003</v>
          </cell>
        </row>
        <row r="31">
          <cell r="E31" t="str">
            <v>Tetulia</v>
          </cell>
          <cell r="F31" t="str">
            <v>Tetulia</v>
          </cell>
          <cell r="G31" t="str">
            <v>08008-M/S Sheikh Traders</v>
          </cell>
          <cell r="H31">
            <v>127.2375</v>
          </cell>
          <cell r="I31">
            <v>0</v>
          </cell>
          <cell r="J31">
            <v>0</v>
          </cell>
          <cell r="K31">
            <v>3204169.6928269323</v>
          </cell>
          <cell r="L31">
            <v>0</v>
          </cell>
          <cell r="M31">
            <v>0</v>
          </cell>
          <cell r="N31">
            <v>81.607500000000002</v>
          </cell>
          <cell r="O31">
            <v>90.89</v>
          </cell>
          <cell r="P31">
            <v>1.1137456728854578</v>
          </cell>
          <cell r="Q31">
            <v>2563335.7542615458</v>
          </cell>
          <cell r="R31">
            <v>2911637.7</v>
          </cell>
          <cell r="S31">
            <v>1.1358783940649999</v>
          </cell>
          <cell r="T31">
            <v>81.607500000000002</v>
          </cell>
          <cell r="U31">
            <v>59.435000000000002</v>
          </cell>
          <cell r="V31">
            <v>0.72830315841068527</v>
          </cell>
          <cell r="W31">
            <v>2563335.7542615454</v>
          </cell>
          <cell r="X31">
            <v>2524353.7200000002</v>
          </cell>
          <cell r="Y31">
            <v>0.98479245873400023</v>
          </cell>
        </row>
        <row r="32">
          <cell r="E32" t="str">
            <v>Panchagarh Sadar</v>
          </cell>
          <cell r="F32" t="str">
            <v>Panchagarh Sadar</v>
          </cell>
          <cell r="G32" t="str">
            <v>08008-M/S Sheikh Traders</v>
          </cell>
          <cell r="H32">
            <v>313.2</v>
          </cell>
          <cell r="I32">
            <v>84.048999999999992</v>
          </cell>
          <cell r="J32">
            <v>0.26835568326947634</v>
          </cell>
          <cell r="K32">
            <v>7887186.9361893721</v>
          </cell>
          <cell r="L32">
            <v>4704269</v>
          </cell>
          <cell r="M32">
            <v>0.59644446594958322</v>
          </cell>
          <cell r="N32">
            <v>200.88</v>
          </cell>
          <cell r="O32">
            <v>222.52</v>
          </cell>
          <cell r="P32">
            <v>1.1077260055754681</v>
          </cell>
          <cell r="Q32">
            <v>6309749.5489514973</v>
          </cell>
          <cell r="R32">
            <v>7128492.2999999998</v>
          </cell>
          <cell r="S32">
            <v>1.1297583596142187</v>
          </cell>
          <cell r="T32">
            <v>200.88</v>
          </cell>
          <cell r="U32">
            <v>145.51249999999999</v>
          </cell>
          <cell r="V32">
            <v>0.72437524890481875</v>
          </cell>
          <cell r="W32">
            <v>6309749.5489514973</v>
          </cell>
          <cell r="X32">
            <v>6180314.2800000003</v>
          </cell>
          <cell r="Y32">
            <v>0.97948646488306246</v>
          </cell>
        </row>
        <row r="33">
          <cell r="E33" t="str">
            <v>Atwari</v>
          </cell>
          <cell r="F33" t="str">
            <v>Atwari</v>
          </cell>
          <cell r="G33" t="str">
            <v>08054-Kamalosh Traders</v>
          </cell>
          <cell r="H33">
            <v>234.89999999999998</v>
          </cell>
          <cell r="I33">
            <v>241.47799999999998</v>
          </cell>
          <cell r="J33">
            <v>1.0280034057045551</v>
          </cell>
          <cell r="K33">
            <v>5915390.2021420281</v>
          </cell>
          <cell r="L33">
            <v>10000000</v>
          </cell>
          <cell r="M33">
            <v>1.6905055555555557</v>
          </cell>
          <cell r="N33">
            <v>150.66</v>
          </cell>
          <cell r="O33">
            <v>119.07</v>
          </cell>
          <cell r="P33">
            <v>0.79032258064516125</v>
          </cell>
          <cell r="Q33">
            <v>4732312.1617136225</v>
          </cell>
          <cell r="R33">
            <v>3844032.5</v>
          </cell>
          <cell r="S33">
            <v>0.81229478712326397</v>
          </cell>
          <cell r="T33">
            <v>150.66</v>
          </cell>
          <cell r="U33">
            <v>100.7625</v>
          </cell>
          <cell r="V33">
            <v>0.66880724810832337</v>
          </cell>
          <cell r="W33">
            <v>4732312.1617136225</v>
          </cell>
          <cell r="X33">
            <v>4758415.0999999996</v>
          </cell>
          <cell r="Y33">
            <v>1.0055158952736805</v>
          </cell>
        </row>
        <row r="34">
          <cell r="E34" t="str">
            <v>Baliadangi</v>
          </cell>
          <cell r="F34" t="str">
            <v>Baliadangi</v>
          </cell>
          <cell r="G34" t="str">
            <v>08054-Kamalosh Traders</v>
          </cell>
          <cell r="H34">
            <v>163.125</v>
          </cell>
          <cell r="I34">
            <v>0</v>
          </cell>
          <cell r="J34">
            <v>0</v>
          </cell>
          <cell r="K34">
            <v>4107909.8625986311</v>
          </cell>
          <cell r="L34">
            <v>0</v>
          </cell>
          <cell r="M34">
            <v>0</v>
          </cell>
          <cell r="N34">
            <v>104.625</v>
          </cell>
          <cell r="O34">
            <v>81.47</v>
          </cell>
          <cell r="P34">
            <v>0.77868578255675025</v>
          </cell>
          <cell r="Q34">
            <v>3286327.890078905</v>
          </cell>
          <cell r="R34">
            <v>2630127.5</v>
          </cell>
          <cell r="S34">
            <v>0.80032412710249989</v>
          </cell>
          <cell r="T34">
            <v>104.625</v>
          </cell>
          <cell r="U34">
            <v>68.942499999999995</v>
          </cell>
          <cell r="V34">
            <v>0.65894862604540017</v>
          </cell>
          <cell r="W34">
            <v>3286327.890078905</v>
          </cell>
          <cell r="X34">
            <v>3255757.7</v>
          </cell>
          <cell r="Y34">
            <v>0.99069776629069994</v>
          </cell>
        </row>
        <row r="35">
          <cell r="E35" t="str">
            <v>Ruhia</v>
          </cell>
          <cell r="F35" t="str">
            <v>Ruhia</v>
          </cell>
          <cell r="G35" t="str">
            <v>08054-Kamalosh Traders</v>
          </cell>
          <cell r="H35">
            <v>228.37499999999997</v>
          </cell>
          <cell r="I35">
            <v>0</v>
          </cell>
          <cell r="J35">
            <v>0</v>
          </cell>
          <cell r="K35">
            <v>5751073.8076380827</v>
          </cell>
          <cell r="L35">
            <v>0</v>
          </cell>
          <cell r="M35">
            <v>0</v>
          </cell>
          <cell r="N35">
            <v>146.47499999999999</v>
          </cell>
          <cell r="O35">
            <v>112.81</v>
          </cell>
          <cell r="P35">
            <v>0.77016555726233149</v>
          </cell>
          <cell r="Q35">
            <v>4600859.0461104661</v>
          </cell>
          <cell r="R35">
            <v>3641715</v>
          </cell>
          <cell r="S35">
            <v>0.79152935647500011</v>
          </cell>
          <cell r="T35">
            <v>146.47499999999999</v>
          </cell>
          <cell r="U35">
            <v>95.46</v>
          </cell>
          <cell r="V35">
            <v>0.65171530977982595</v>
          </cell>
          <cell r="W35">
            <v>4600859.0461104661</v>
          </cell>
          <cell r="X35">
            <v>4507972.2</v>
          </cell>
          <cell r="Y35">
            <v>0.97981097765014302</v>
          </cell>
        </row>
        <row r="36">
          <cell r="E36" t="str">
            <v>Panchagarh Area</v>
          </cell>
          <cell r="F36"/>
          <cell r="G36"/>
          <cell r="H36">
            <v>1823.7374999999997</v>
          </cell>
          <cell r="I36">
            <v>1011.8002499999999</v>
          </cell>
          <cell r="J36">
            <v>0.55479489235704149</v>
          </cell>
          <cell r="K36">
            <v>45926432.263852686</v>
          </cell>
          <cell r="L36">
            <v>45804269</v>
          </cell>
          <cell r="M36">
            <v>0.99734002277488387</v>
          </cell>
          <cell r="N36">
            <v>1169.7075</v>
          </cell>
          <cell r="O36">
            <v>1300.3</v>
          </cell>
          <cell r="P36">
            <v>1.1116454327257028</v>
          </cell>
          <cell r="Q36">
            <v>36741145.811082155</v>
          </cell>
          <cell r="R36">
            <v>40785805</v>
          </cell>
          <cell r="S36">
            <v>1.1100852763197675</v>
          </cell>
          <cell r="T36">
            <v>1169.7075</v>
          </cell>
          <cell r="U36">
            <v>951.7125000000002</v>
          </cell>
          <cell r="V36">
            <v>0.81363289540333816</v>
          </cell>
          <cell r="W36">
            <v>36741145.811082155</v>
          </cell>
          <cell r="X36">
            <v>49036813.000000007</v>
          </cell>
          <cell r="Y36">
            <v>1.3346566068500003</v>
          </cell>
        </row>
        <row r="37">
          <cell r="E37" t="str">
            <v>Domar</v>
          </cell>
          <cell r="F37" t="str">
            <v>Domar</v>
          </cell>
          <cell r="G37" t="str">
            <v>08045-M/S Janani Traders</v>
          </cell>
          <cell r="H37">
            <v>130.5</v>
          </cell>
          <cell r="I37">
            <v>85.111000000000004</v>
          </cell>
          <cell r="J37">
            <v>0.65219157088122603</v>
          </cell>
          <cell r="K37">
            <v>3286327.890078905</v>
          </cell>
          <cell r="L37">
            <v>3514000</v>
          </cell>
          <cell r="M37">
            <v>1.0692785739999999</v>
          </cell>
          <cell r="N37">
            <v>83.7</v>
          </cell>
          <cell r="O37">
            <v>60.24</v>
          </cell>
          <cell r="P37">
            <v>0.71971326164874549</v>
          </cell>
          <cell r="Q37">
            <v>2629062.3120631236</v>
          </cell>
          <cell r="R37">
            <v>1791000</v>
          </cell>
          <cell r="S37">
            <v>0.68123147625000002</v>
          </cell>
          <cell r="T37">
            <v>83.7</v>
          </cell>
          <cell r="U37">
            <v>60.807499999999997</v>
          </cell>
          <cell r="V37">
            <v>0.72649342891278368</v>
          </cell>
          <cell r="W37">
            <v>2629062.3120631236</v>
          </cell>
          <cell r="X37">
            <v>2279000</v>
          </cell>
          <cell r="Y37">
            <v>0.86684898625000006</v>
          </cell>
        </row>
        <row r="38">
          <cell r="E38" t="str">
            <v>Jaldhaka</v>
          </cell>
          <cell r="F38" t="str">
            <v>Jal Dhaka</v>
          </cell>
          <cell r="G38" t="str">
            <v>08046-M/S Al Amin traders</v>
          </cell>
          <cell r="H38">
            <v>130.5</v>
          </cell>
          <cell r="I38">
            <v>0</v>
          </cell>
          <cell r="J38">
            <v>0</v>
          </cell>
          <cell r="K38">
            <v>3286327.890078905</v>
          </cell>
          <cell r="L38">
            <v>0</v>
          </cell>
          <cell r="M38">
            <v>0</v>
          </cell>
          <cell r="N38">
            <v>83.7</v>
          </cell>
          <cell r="O38">
            <v>124.23</v>
          </cell>
          <cell r="P38">
            <v>1.4842293906810036</v>
          </cell>
          <cell r="Q38">
            <v>2629062.3120631236</v>
          </cell>
          <cell r="R38">
            <v>3322557.12</v>
          </cell>
          <cell r="S38">
            <v>1.2637802857524001</v>
          </cell>
          <cell r="T38">
            <v>83.7</v>
          </cell>
          <cell r="U38">
            <v>64.0625</v>
          </cell>
          <cell r="V38">
            <v>0.76538231780167265</v>
          </cell>
          <cell r="W38">
            <v>2629062.3120631236</v>
          </cell>
          <cell r="X38">
            <v>2274085.44</v>
          </cell>
          <cell r="Y38">
            <v>0.86497966577880003</v>
          </cell>
        </row>
        <row r="39">
          <cell r="E39" t="str">
            <v>Nilphamari Sadar</v>
          </cell>
          <cell r="F39" t="str">
            <v>Nilfamari Sadar</v>
          </cell>
          <cell r="G39" t="str">
            <v>08046-M/S Al Amin traders</v>
          </cell>
          <cell r="H39">
            <v>261</v>
          </cell>
          <cell r="I39">
            <v>521.69000000000005</v>
          </cell>
          <cell r="J39">
            <v>1.9988122605363987</v>
          </cell>
          <cell r="K39">
            <v>6572655.7801578101</v>
          </cell>
          <cell r="L39">
            <v>20975628</v>
          </cell>
          <cell r="M39">
            <v>3.1913474098739996</v>
          </cell>
          <cell r="N39">
            <v>167.4</v>
          </cell>
          <cell r="O39">
            <v>240.7</v>
          </cell>
          <cell r="P39">
            <v>1.4378733572281959</v>
          </cell>
          <cell r="Q39">
            <v>5258124.6241262471</v>
          </cell>
          <cell r="R39">
            <v>6437454.4199999999</v>
          </cell>
          <cell r="S39">
            <v>1.2242871518226377</v>
          </cell>
          <cell r="T39">
            <v>167.4</v>
          </cell>
          <cell r="U39">
            <v>124.12</v>
          </cell>
          <cell r="V39">
            <v>0.74145758661887695</v>
          </cell>
          <cell r="W39">
            <v>5258124.6241262471</v>
          </cell>
          <cell r="X39">
            <v>4406040.54</v>
          </cell>
          <cell r="Y39">
            <v>0.83794905122321262</v>
          </cell>
        </row>
        <row r="40">
          <cell r="E40" t="str">
            <v>Sayedpur</v>
          </cell>
          <cell r="F40" t="str">
            <v>Sayedpur</v>
          </cell>
          <cell r="G40" t="str">
            <v>08046-M/S Al Amin traders</v>
          </cell>
          <cell r="H40">
            <v>163.125</v>
          </cell>
          <cell r="I40">
            <v>0</v>
          </cell>
          <cell r="J40">
            <v>0</v>
          </cell>
          <cell r="K40">
            <v>4107909.8625986311</v>
          </cell>
          <cell r="L40">
            <v>0</v>
          </cell>
          <cell r="M40">
            <v>0</v>
          </cell>
          <cell r="N40">
            <v>104.625</v>
          </cell>
          <cell r="O40">
            <v>155.29</v>
          </cell>
          <cell r="P40">
            <v>1.4842532855436081</v>
          </cell>
          <cell r="Q40">
            <v>3286327.890078905</v>
          </cell>
          <cell r="R40">
            <v>4153196.4</v>
          </cell>
          <cell r="S40">
            <v>1.2637802857523999</v>
          </cell>
          <cell r="T40">
            <v>104.625</v>
          </cell>
          <cell r="U40">
            <v>80.077500000000001</v>
          </cell>
          <cell r="V40">
            <v>0.76537634408602151</v>
          </cell>
          <cell r="W40">
            <v>3286327.890078905</v>
          </cell>
          <cell r="X40">
            <v>2842606.8</v>
          </cell>
          <cell r="Y40">
            <v>0.86497966577879981</v>
          </cell>
        </row>
        <row r="41">
          <cell r="E41" t="str">
            <v>Dimla</v>
          </cell>
          <cell r="F41" t="str">
            <v>Dimla</v>
          </cell>
          <cell r="G41" t="str">
            <v>08046-M/S Al Amin traders</v>
          </cell>
          <cell r="H41">
            <v>179.4375</v>
          </cell>
          <cell r="I41">
            <v>0</v>
          </cell>
          <cell r="J41">
            <v>0</v>
          </cell>
          <cell r="K41">
            <v>4518700.8488584943</v>
          </cell>
          <cell r="L41">
            <v>0</v>
          </cell>
          <cell r="M41">
            <v>0</v>
          </cell>
          <cell r="N41">
            <v>115.08750000000001</v>
          </cell>
          <cell r="O41">
            <v>163.05000000000001</v>
          </cell>
          <cell r="P41">
            <v>1.4167481264255457</v>
          </cell>
          <cell r="Q41">
            <v>3614960.6790867955</v>
          </cell>
          <cell r="R41">
            <v>4360856.22</v>
          </cell>
          <cell r="S41">
            <v>1.2063357273091089</v>
          </cell>
          <cell r="T41">
            <v>115.08750000000001</v>
          </cell>
          <cell r="U41">
            <v>84.082499999999996</v>
          </cell>
          <cell r="V41">
            <v>0.730596285434995</v>
          </cell>
          <cell r="W41">
            <v>3614960.6790867946</v>
          </cell>
          <cell r="X41">
            <v>2984737.14</v>
          </cell>
          <cell r="Y41">
            <v>0.8256624082434002</v>
          </cell>
        </row>
        <row r="42">
          <cell r="E42" t="str">
            <v>Kishoreganj_Nilphamari</v>
          </cell>
          <cell r="F42" t="str">
            <v>Kishorgonj</v>
          </cell>
          <cell r="G42" t="str">
            <v>08046-M/S Al Amin traders</v>
          </cell>
          <cell r="H42">
            <v>97.875</v>
          </cell>
          <cell r="I42">
            <v>0</v>
          </cell>
          <cell r="J42">
            <v>0</v>
          </cell>
          <cell r="K42">
            <v>2464745.9175591785</v>
          </cell>
          <cell r="L42">
            <v>0</v>
          </cell>
          <cell r="M42">
            <v>0</v>
          </cell>
          <cell r="N42">
            <v>62.774999999999999</v>
          </cell>
          <cell r="O42">
            <v>93.17</v>
          </cell>
          <cell r="P42">
            <v>1.4841895659099962</v>
          </cell>
          <cell r="Q42">
            <v>1971796.734047343</v>
          </cell>
          <cell r="R42">
            <v>2491917.84</v>
          </cell>
          <cell r="S42">
            <v>1.2637802857523999</v>
          </cell>
          <cell r="T42">
            <v>62.774999999999999</v>
          </cell>
          <cell r="U42">
            <v>48.047499999999999</v>
          </cell>
          <cell r="V42">
            <v>0.76539227399442455</v>
          </cell>
          <cell r="W42">
            <v>1971796.7340473426</v>
          </cell>
          <cell r="X42">
            <v>1705564.08</v>
          </cell>
          <cell r="Y42">
            <v>0.86497966577880014</v>
          </cell>
        </row>
        <row r="43">
          <cell r="E43" t="str">
            <v>Nilphamari Area</v>
          </cell>
          <cell r="F43"/>
          <cell r="G43"/>
          <cell r="H43">
            <v>962.4375</v>
          </cell>
          <cell r="I43">
            <v>606.80100000000004</v>
          </cell>
          <cell r="J43">
            <v>0.63048353789207101</v>
          </cell>
          <cell r="K43">
            <v>24236668.189331926</v>
          </cell>
          <cell r="L43">
            <v>24489628</v>
          </cell>
          <cell r="M43">
            <v>1.0104370703387118</v>
          </cell>
          <cell r="N43">
            <v>617.28750000000002</v>
          </cell>
          <cell r="O43">
            <v>836.68</v>
          </cell>
          <cell r="P43">
            <v>1.3554138063706132</v>
          </cell>
          <cell r="Q43">
            <v>19389334.551465537</v>
          </cell>
          <cell r="R43">
            <v>22556982</v>
          </cell>
          <cell r="S43">
            <v>1.1633706118240679</v>
          </cell>
          <cell r="T43">
            <v>617.28750000000002</v>
          </cell>
          <cell r="U43">
            <v>461.19749999999999</v>
          </cell>
          <cell r="V43">
            <v>0.7471356539699896</v>
          </cell>
          <cell r="W43">
            <v>19389334.551465534</v>
          </cell>
          <cell r="X43">
            <v>16492034.000000002</v>
          </cell>
          <cell r="Y43">
            <v>0.85057246066000025</v>
          </cell>
        </row>
        <row r="44">
          <cell r="E44" t="str">
            <v>Pirganj_Thakurgaon</v>
          </cell>
          <cell r="F44" t="str">
            <v xml:space="preserve">Pirgonj </v>
          </cell>
          <cell r="G44" t="str">
            <v>08053- S R Traders</v>
          </cell>
          <cell r="H44">
            <v>234.89999999999998</v>
          </cell>
          <cell r="I44">
            <v>0</v>
          </cell>
          <cell r="J44">
            <v>0</v>
          </cell>
          <cell r="K44">
            <v>5915390.2021420281</v>
          </cell>
          <cell r="L44">
            <v>0</v>
          </cell>
          <cell r="M44">
            <v>0</v>
          </cell>
          <cell r="N44">
            <v>150.66</v>
          </cell>
          <cell r="O44">
            <v>150.88</v>
          </cell>
          <cell r="P44">
            <v>1.0014602416036107</v>
          </cell>
          <cell r="Q44">
            <v>4732312.1617136225</v>
          </cell>
          <cell r="R44">
            <v>3190535.05</v>
          </cell>
          <cell r="S44">
            <v>0.67420215340246525</v>
          </cell>
          <cell r="T44">
            <v>150.66</v>
          </cell>
          <cell r="U44">
            <v>66.297499999999999</v>
          </cell>
          <cell r="V44">
            <v>0.44004712597902562</v>
          </cell>
          <cell r="W44">
            <v>4732312.1617136225</v>
          </cell>
          <cell r="X44">
            <v>3002979</v>
          </cell>
          <cell r="Y44">
            <v>0.63456908533958334</v>
          </cell>
        </row>
        <row r="45">
          <cell r="E45" t="str">
            <v>Ranisankail</v>
          </cell>
          <cell r="F45" t="str">
            <v xml:space="preserve">Ranisankail,  Horipur </v>
          </cell>
          <cell r="G45" t="str">
            <v>08053- S R Traders</v>
          </cell>
          <cell r="H45">
            <v>274.04999999999995</v>
          </cell>
          <cell r="I45">
            <v>0</v>
          </cell>
          <cell r="J45">
            <v>0</v>
          </cell>
          <cell r="K45">
            <v>6901288.5691656992</v>
          </cell>
          <cell r="L45">
            <v>0</v>
          </cell>
          <cell r="M45">
            <v>0</v>
          </cell>
          <cell r="N45">
            <v>175.77</v>
          </cell>
          <cell r="O45">
            <v>171.69</v>
          </cell>
          <cell r="P45">
            <v>0.97678784775558958</v>
          </cell>
          <cell r="Q45">
            <v>5521030.8553325599</v>
          </cell>
          <cell r="R45">
            <v>3630608.85</v>
          </cell>
          <cell r="S45">
            <v>0.65759618903294648</v>
          </cell>
          <cell r="T45">
            <v>175.77</v>
          </cell>
          <cell r="U45">
            <v>75.442499999999995</v>
          </cell>
          <cell r="V45">
            <v>0.42921146953405015</v>
          </cell>
          <cell r="W45">
            <v>5521030.8553325599</v>
          </cell>
          <cell r="X45">
            <v>3417183</v>
          </cell>
          <cell r="Y45">
            <v>0.61893930491250004</v>
          </cell>
        </row>
        <row r="46">
          <cell r="E46" t="str">
            <v>Thakurgaon Sadar</v>
          </cell>
          <cell r="F46" t="str">
            <v>Thakurgaon sadar</v>
          </cell>
          <cell r="G46" t="str">
            <v>08053- S R Traders</v>
          </cell>
          <cell r="H46">
            <v>313.2</v>
          </cell>
          <cell r="I46">
            <v>578.64565000000005</v>
          </cell>
          <cell r="J46">
            <v>1.847527618135377</v>
          </cell>
          <cell r="K46">
            <v>7887186.9361893721</v>
          </cell>
          <cell r="L46">
            <v>25170081</v>
          </cell>
          <cell r="M46">
            <v>3.1912621323212496</v>
          </cell>
          <cell r="N46">
            <v>200.88</v>
          </cell>
          <cell r="O46">
            <v>197.7</v>
          </cell>
          <cell r="P46">
            <v>0.98416965352449215</v>
          </cell>
          <cell r="Q46">
            <v>6309749.5489514973</v>
          </cell>
          <cell r="R46">
            <v>4180701.1</v>
          </cell>
          <cell r="S46">
            <v>0.66257797834380205</v>
          </cell>
          <cell r="T46">
            <v>200.88</v>
          </cell>
          <cell r="U46">
            <v>86.875</v>
          </cell>
          <cell r="V46">
            <v>0.43247212266029472</v>
          </cell>
          <cell r="W46">
            <v>6309749.5489514973</v>
          </cell>
          <cell r="X46">
            <v>3934938</v>
          </cell>
          <cell r="Y46">
            <v>0.62362823904062503</v>
          </cell>
        </row>
        <row r="47">
          <cell r="E47" t="str">
            <v>Birganj</v>
          </cell>
          <cell r="F47" t="str">
            <v xml:space="preserve">Birgonj </v>
          </cell>
          <cell r="G47" t="str">
            <v>08015-M/S Al Haj Traders</v>
          </cell>
          <cell r="H47">
            <v>176.17499999999998</v>
          </cell>
          <cell r="I47">
            <v>385.40394999999995</v>
          </cell>
          <cell r="J47">
            <v>2.1876199801333902</v>
          </cell>
          <cell r="K47">
            <v>4436542.6516065216</v>
          </cell>
          <cell r="L47">
            <v>22600017</v>
          </cell>
          <cell r="M47">
            <v>5.0940605725533334</v>
          </cell>
          <cell r="N47">
            <v>112.995</v>
          </cell>
          <cell r="O47">
            <v>109.29</v>
          </cell>
          <cell r="P47">
            <v>0.96721093853710338</v>
          </cell>
          <cell r="Q47">
            <v>3549234.1212852169</v>
          </cell>
          <cell r="R47">
            <v>3614710.8</v>
          </cell>
          <cell r="S47">
            <v>1.0184481148544444</v>
          </cell>
          <cell r="T47">
            <v>112.995</v>
          </cell>
          <cell r="U47">
            <v>72.457499999999996</v>
          </cell>
          <cell r="V47">
            <v>0.64124518784016982</v>
          </cell>
          <cell r="W47">
            <v>3549234.1212852169</v>
          </cell>
          <cell r="X47">
            <v>2335287.36</v>
          </cell>
          <cell r="Y47">
            <v>0.65796937598311112</v>
          </cell>
        </row>
        <row r="48">
          <cell r="E48" t="str">
            <v>Khansama</v>
          </cell>
          <cell r="F48" t="str">
            <v xml:space="preserve">Khansama </v>
          </cell>
          <cell r="G48" t="str">
            <v>08015-M/S Al Haj Traders</v>
          </cell>
          <cell r="H48">
            <v>156.6</v>
          </cell>
          <cell r="I48">
            <v>0</v>
          </cell>
          <cell r="J48">
            <v>0</v>
          </cell>
          <cell r="K48">
            <v>3943593.468094686</v>
          </cell>
          <cell r="L48">
            <v>0</v>
          </cell>
          <cell r="M48">
            <v>0</v>
          </cell>
          <cell r="N48">
            <v>100.44</v>
          </cell>
          <cell r="O48">
            <v>100.18</v>
          </cell>
          <cell r="P48">
            <v>0.99741138988450828</v>
          </cell>
          <cell r="Q48">
            <v>3154874.7744757487</v>
          </cell>
          <cell r="R48">
            <v>3313484.9</v>
          </cell>
          <cell r="S48">
            <v>1.0502746184436458</v>
          </cell>
          <cell r="T48">
            <v>100.44</v>
          </cell>
          <cell r="U48">
            <v>66.42</v>
          </cell>
          <cell r="V48">
            <v>0.66129032258064524</v>
          </cell>
          <cell r="W48">
            <v>3154874.7744757487</v>
          </cell>
          <cell r="X48">
            <v>2140680.08</v>
          </cell>
          <cell r="Y48">
            <v>0.67853091898258333</v>
          </cell>
        </row>
        <row r="49">
          <cell r="E49" t="str">
            <v>Bochaganj</v>
          </cell>
          <cell r="F49" t="str">
            <v xml:space="preserve">Bochagonj </v>
          </cell>
          <cell r="G49" t="str">
            <v>08015-M/S Al Haj Traders</v>
          </cell>
          <cell r="H49">
            <v>195.75</v>
          </cell>
          <cell r="I49">
            <v>0</v>
          </cell>
          <cell r="J49">
            <v>0</v>
          </cell>
          <cell r="K49">
            <v>4929491.8351183571</v>
          </cell>
          <cell r="L49">
            <v>0</v>
          </cell>
          <cell r="M49">
            <v>0</v>
          </cell>
          <cell r="N49">
            <v>125.55</v>
          </cell>
          <cell r="O49">
            <v>122.95</v>
          </cell>
          <cell r="P49">
            <v>0.97929111907606536</v>
          </cell>
          <cell r="Q49">
            <v>3943593.468094686</v>
          </cell>
          <cell r="R49">
            <v>4066549.65</v>
          </cell>
          <cell r="S49">
            <v>1.0311787162901249</v>
          </cell>
          <cell r="T49">
            <v>125.55</v>
          </cell>
          <cell r="U49">
            <v>81.515000000000001</v>
          </cell>
          <cell r="V49">
            <v>0.64926324173636007</v>
          </cell>
          <cell r="W49">
            <v>3943593.4680946851</v>
          </cell>
          <cell r="X49">
            <v>2627198.2799999998</v>
          </cell>
          <cell r="Y49">
            <v>0.66619399318290007</v>
          </cell>
        </row>
        <row r="50">
          <cell r="E50" t="str">
            <v>kaharole</v>
          </cell>
          <cell r="F50" t="str">
            <v xml:space="preserve">Kaharol </v>
          </cell>
          <cell r="G50" t="str">
            <v>08015-M/S Al Haj Traders</v>
          </cell>
          <cell r="H50">
            <v>195.75</v>
          </cell>
          <cell r="I50">
            <v>0</v>
          </cell>
          <cell r="J50">
            <v>0</v>
          </cell>
          <cell r="K50">
            <v>4929491.8351183571</v>
          </cell>
          <cell r="L50">
            <v>0</v>
          </cell>
          <cell r="M50">
            <v>0</v>
          </cell>
          <cell r="N50">
            <v>125.55</v>
          </cell>
          <cell r="O50">
            <v>122.95</v>
          </cell>
          <cell r="P50">
            <v>0.97929111907606536</v>
          </cell>
          <cell r="Q50">
            <v>3943593.468094686</v>
          </cell>
          <cell r="R50">
            <v>4066549.65</v>
          </cell>
          <cell r="S50">
            <v>1.0311787162901249</v>
          </cell>
          <cell r="T50">
            <v>125.55</v>
          </cell>
          <cell r="U50">
            <v>81.515000000000001</v>
          </cell>
          <cell r="V50">
            <v>0.64926324173636007</v>
          </cell>
          <cell r="W50">
            <v>3943593.4680946851</v>
          </cell>
          <cell r="X50">
            <v>2627198.2799999998</v>
          </cell>
          <cell r="Y50">
            <v>0.66619399318290007</v>
          </cell>
        </row>
        <row r="51">
          <cell r="E51" t="str">
            <v>Thakurgaon Area</v>
          </cell>
          <cell r="F51"/>
          <cell r="G51"/>
          <cell r="H51">
            <v>1546.4249999999997</v>
          </cell>
          <cell r="I51">
            <v>964.04960000000005</v>
          </cell>
          <cell r="J51">
            <v>0.62340533811856391</v>
          </cell>
          <cell r="K51">
            <v>38942985.497435018</v>
          </cell>
          <cell r="L51">
            <v>47770098</v>
          </cell>
          <cell r="M51">
            <v>1.2266675856977216</v>
          </cell>
          <cell r="N51">
            <v>991.8449999999998</v>
          </cell>
          <cell r="O51">
            <v>975.6400000000001</v>
          </cell>
          <cell r="P51">
            <v>0.98366176166638974</v>
          </cell>
          <cell r="Q51">
            <v>31154388.397948019</v>
          </cell>
          <cell r="R51">
            <v>26063139.999999996</v>
          </cell>
          <cell r="S51">
            <v>0.83658005630168764</v>
          </cell>
          <cell r="T51">
            <v>991.8449999999998</v>
          </cell>
          <cell r="U51">
            <v>530.52250000000004</v>
          </cell>
          <cell r="V51">
            <v>0.53488448295852697</v>
          </cell>
          <cell r="W51">
            <v>31154388.397948015</v>
          </cell>
          <cell r="X51">
            <v>20085464</v>
          </cell>
          <cell r="Y51">
            <v>0.64470737616286922</v>
          </cell>
        </row>
        <row r="52">
          <cell r="E52" t="str">
            <v>Birol</v>
          </cell>
          <cell r="F52" t="str">
            <v>Birol</v>
          </cell>
          <cell r="G52" t="str">
            <v>08033-M/s Nur Steel</v>
          </cell>
          <cell r="H52">
            <v>244.68749999999997</v>
          </cell>
          <cell r="I52">
            <v>0</v>
          </cell>
          <cell r="J52">
            <v>0</v>
          </cell>
          <cell r="K52">
            <v>6161864.7938979454</v>
          </cell>
          <cell r="L52">
            <v>0</v>
          </cell>
          <cell r="M52">
            <v>0</v>
          </cell>
          <cell r="N52">
            <v>156.9375</v>
          </cell>
          <cell r="O52">
            <v>196.57</v>
          </cell>
          <cell r="P52">
            <v>1.252536837913182</v>
          </cell>
          <cell r="Q52">
            <v>4929491.8351183571</v>
          </cell>
          <cell r="R52">
            <v>5661173.5</v>
          </cell>
          <cell r="S52">
            <v>1.1484294303256666</v>
          </cell>
          <cell r="T52">
            <v>156.9375</v>
          </cell>
          <cell r="U52">
            <v>157.82</v>
          </cell>
          <cell r="V52">
            <v>1.0056232576662685</v>
          </cell>
          <cell r="W52">
            <v>4929491.8351183571</v>
          </cell>
          <cell r="X52">
            <v>9222132.4000000004</v>
          </cell>
          <cell r="Y52">
            <v>1.8708079267522668</v>
          </cell>
        </row>
        <row r="53">
          <cell r="E53" t="str">
            <v>Chirirbandar</v>
          </cell>
          <cell r="F53" t="str">
            <v xml:space="preserve">Chilirbondor </v>
          </cell>
          <cell r="G53" t="str">
            <v>08033-M/s Nur Steel</v>
          </cell>
          <cell r="H53">
            <v>212.06249999999997</v>
          </cell>
          <cell r="I53">
            <v>0</v>
          </cell>
          <cell r="J53">
            <v>0</v>
          </cell>
          <cell r="K53">
            <v>5340282.8213782199</v>
          </cell>
          <cell r="L53">
            <v>50000</v>
          </cell>
          <cell r="M53">
            <v>9.362800000000001E-3</v>
          </cell>
          <cell r="N53">
            <v>136.01249999999999</v>
          </cell>
          <cell r="O53">
            <v>170.93</v>
          </cell>
          <cell r="P53">
            <v>1.2567227276904698</v>
          </cell>
          <cell r="Q53">
            <v>4272226.2571025752</v>
          </cell>
          <cell r="R53">
            <v>4924390</v>
          </cell>
          <cell r="S53">
            <v>1.1526519673000002</v>
          </cell>
          <cell r="T53">
            <v>136.01249999999999</v>
          </cell>
          <cell r="U53">
            <v>137.23500000000001</v>
          </cell>
          <cell r="V53">
            <v>1.0089881444720157</v>
          </cell>
          <cell r="W53">
            <v>4272226.2571025752</v>
          </cell>
          <cell r="X53">
            <v>8020876</v>
          </cell>
          <cell r="Y53">
            <v>1.8774464453200004</v>
          </cell>
        </row>
        <row r="54">
          <cell r="E54" t="str">
            <v>Dinajpur Sadar</v>
          </cell>
          <cell r="F54" t="str">
            <v xml:space="preserve">Dinajpur Sadar </v>
          </cell>
          <cell r="G54" t="str">
            <v>08033-M/s Nur Steel</v>
          </cell>
          <cell r="H54">
            <v>244.68749999999997</v>
          </cell>
          <cell r="I54">
            <v>1227.26225</v>
          </cell>
          <cell r="J54">
            <v>5.01563116219668</v>
          </cell>
          <cell r="K54">
            <v>6161864.7938979454</v>
          </cell>
          <cell r="L54">
            <v>45832080</v>
          </cell>
          <cell r="M54">
            <v>7.4380210428160014</v>
          </cell>
          <cell r="N54">
            <v>156.9375</v>
          </cell>
          <cell r="O54">
            <v>196.57</v>
          </cell>
          <cell r="P54">
            <v>1.252536837913182</v>
          </cell>
          <cell r="Q54">
            <v>4929491.8351183571</v>
          </cell>
          <cell r="R54">
            <v>5648673.5</v>
          </cell>
          <cell r="S54">
            <v>1.1458936719923334</v>
          </cell>
          <cell r="T54">
            <v>156.9375</v>
          </cell>
          <cell r="U54">
            <v>157.82</v>
          </cell>
          <cell r="V54">
            <v>1.0056232576662685</v>
          </cell>
          <cell r="W54">
            <v>4929491.8351183571</v>
          </cell>
          <cell r="X54">
            <v>9209632.4000000004</v>
          </cell>
          <cell r="Y54">
            <v>1.8682721684189334</v>
          </cell>
        </row>
        <row r="55">
          <cell r="E55" t="str">
            <v>Parbatipur</v>
          </cell>
          <cell r="F55" t="str">
            <v xml:space="preserve">Parbotipur </v>
          </cell>
          <cell r="G55" t="str">
            <v>08033-M/s Nur Steel</v>
          </cell>
          <cell r="H55">
            <v>179.4375</v>
          </cell>
          <cell r="I55">
            <v>0</v>
          </cell>
          <cell r="J55">
            <v>0</v>
          </cell>
          <cell r="K55">
            <v>4518700.8488584943</v>
          </cell>
          <cell r="L55">
            <v>0</v>
          </cell>
          <cell r="M55">
            <v>0</v>
          </cell>
          <cell r="N55">
            <v>115.08750000000001</v>
          </cell>
          <cell r="O55">
            <v>136.74</v>
          </cell>
          <cell r="P55">
            <v>1.188139459107201</v>
          </cell>
          <cell r="Q55">
            <v>3614960.6790867955</v>
          </cell>
          <cell r="R55">
            <v>3942012</v>
          </cell>
          <cell r="S55">
            <v>1.0904716122654545</v>
          </cell>
          <cell r="T55">
            <v>115.08750000000001</v>
          </cell>
          <cell r="U55">
            <v>109.78749999999999</v>
          </cell>
          <cell r="V55">
            <v>0.95394808298034095</v>
          </cell>
          <cell r="W55">
            <v>3614960.6790867946</v>
          </cell>
          <cell r="X55">
            <v>6419200.7999999998</v>
          </cell>
          <cell r="Y55">
            <v>1.7757318460298184</v>
          </cell>
        </row>
        <row r="56">
          <cell r="E56" t="str">
            <v>Fulbari_Dinajpur</v>
          </cell>
          <cell r="F56" t="str">
            <v xml:space="preserve">Phulbari </v>
          </cell>
          <cell r="G56" t="str">
            <v>08033-M/s Nur Steel</v>
          </cell>
          <cell r="H56">
            <v>195.75</v>
          </cell>
          <cell r="I56">
            <v>0</v>
          </cell>
          <cell r="J56">
            <v>0</v>
          </cell>
          <cell r="K56">
            <v>4929491.8351183571</v>
          </cell>
          <cell r="L56">
            <v>0</v>
          </cell>
          <cell r="M56">
            <v>0</v>
          </cell>
          <cell r="N56">
            <v>125.55</v>
          </cell>
          <cell r="O56">
            <v>153.83000000000001</v>
          </cell>
          <cell r="P56">
            <v>1.2252489048187973</v>
          </cell>
          <cell r="Q56">
            <v>3943593.468094686</v>
          </cell>
          <cell r="R56">
            <v>4420701</v>
          </cell>
          <cell r="S56">
            <v>1.1209829399925</v>
          </cell>
          <cell r="T56">
            <v>125.55</v>
          </cell>
          <cell r="U56">
            <v>123.51</v>
          </cell>
          <cell r="V56">
            <v>0.98375149342891288</v>
          </cell>
          <cell r="W56">
            <v>3943593.4680946851</v>
          </cell>
          <cell r="X56">
            <v>7207538.4000000004</v>
          </cell>
          <cell r="Y56">
            <v>1.8276575560620003</v>
          </cell>
        </row>
        <row r="57">
          <cell r="E57" t="str">
            <v>Hakimpur</v>
          </cell>
          <cell r="F57" t="str">
            <v xml:space="preserve">Hakimpur , Ghoraghat </v>
          </cell>
          <cell r="G57" t="str">
            <v>08055 -M/S Bhai Bhai Enterprise (Dinajpur)</v>
          </cell>
          <cell r="H57">
            <v>212.06249999999997</v>
          </cell>
          <cell r="I57">
            <v>0</v>
          </cell>
          <cell r="J57">
            <v>0</v>
          </cell>
          <cell r="K57">
            <v>5340282.8213782199</v>
          </cell>
          <cell r="L57">
            <v>0</v>
          </cell>
          <cell r="M57">
            <v>0</v>
          </cell>
          <cell r="N57">
            <v>136.01249999999999</v>
          </cell>
          <cell r="O57">
            <v>78.34</v>
          </cell>
          <cell r="P57">
            <v>0.57597647275066632</v>
          </cell>
          <cell r="Q57">
            <v>4272226.2571025752</v>
          </cell>
          <cell r="R57">
            <v>1846193.84</v>
          </cell>
          <cell r="S57">
            <v>0.43213859212880013</v>
          </cell>
          <cell r="T57">
            <v>136.01249999999999</v>
          </cell>
          <cell r="U57">
            <v>7.4550000000000001</v>
          </cell>
          <cell r="V57">
            <v>5.4811138682106429E-2</v>
          </cell>
          <cell r="W57">
            <v>4272226.2571025752</v>
          </cell>
          <cell r="X57">
            <v>274368.59999999998</v>
          </cell>
          <cell r="Y57">
            <v>6.4221458202000009E-2</v>
          </cell>
        </row>
        <row r="58">
          <cell r="E58" t="str">
            <v>Birampur</v>
          </cell>
          <cell r="F58" t="str">
            <v xml:space="preserve">Birampur </v>
          </cell>
          <cell r="G58" t="str">
            <v>08055 -M/S Bhai Bhai Enterprise (Dinajpur)</v>
          </cell>
          <cell r="H58">
            <v>244.68749999999997</v>
          </cell>
          <cell r="I58">
            <v>469.55050000000006</v>
          </cell>
          <cell r="J58">
            <v>1.9189803320561947</v>
          </cell>
          <cell r="K58">
            <v>6161864.7938979454</v>
          </cell>
          <cell r="L58">
            <v>17626404</v>
          </cell>
          <cell r="M58">
            <v>2.8605632531008003</v>
          </cell>
          <cell r="N58">
            <v>156.9375</v>
          </cell>
          <cell r="O58">
            <v>90.97</v>
          </cell>
          <cell r="P58">
            <v>0.57965750696933493</v>
          </cell>
          <cell r="Q58">
            <v>4929491.8351183571</v>
          </cell>
          <cell r="R58">
            <v>2143967.04</v>
          </cell>
          <cell r="S58">
            <v>0.43492658304575998</v>
          </cell>
          <cell r="T58">
            <v>156.9375</v>
          </cell>
          <cell r="U58">
            <v>8.6575000000000006</v>
          </cell>
          <cell r="V58">
            <v>5.5165272799681406E-2</v>
          </cell>
          <cell r="W58">
            <v>4929491.8351183571</v>
          </cell>
          <cell r="X58">
            <v>318621.59999999998</v>
          </cell>
          <cell r="Y58">
            <v>6.46357901904E-2</v>
          </cell>
        </row>
        <row r="59">
          <cell r="E59" t="str">
            <v>Nawabganj_Dinajpur</v>
          </cell>
          <cell r="F59" t="str">
            <v xml:space="preserve">Nawabganj </v>
          </cell>
          <cell r="G59" t="str">
            <v>08055 -M/S Bhai Bhai Enterprise (Dinajpur)</v>
          </cell>
          <cell r="H59">
            <v>228.37499999999997</v>
          </cell>
          <cell r="I59">
            <v>0</v>
          </cell>
          <cell r="J59">
            <v>0</v>
          </cell>
          <cell r="K59">
            <v>5751073.8076380827</v>
          </cell>
          <cell r="L59">
            <v>0</v>
          </cell>
          <cell r="M59">
            <v>0</v>
          </cell>
          <cell r="N59">
            <v>146.47499999999999</v>
          </cell>
          <cell r="O59">
            <v>83.39</v>
          </cell>
          <cell r="P59">
            <v>0.56931216931216932</v>
          </cell>
          <cell r="Q59">
            <v>4600859.0461104661</v>
          </cell>
          <cell r="R59">
            <v>1995303.12</v>
          </cell>
          <cell r="S59">
            <v>0.43368055834851438</v>
          </cell>
          <cell r="T59">
            <v>146.47499999999999</v>
          </cell>
          <cell r="U59">
            <v>7.9375</v>
          </cell>
          <cell r="V59">
            <v>5.4190134835296125E-2</v>
          </cell>
          <cell r="W59">
            <v>4600859.0461104661</v>
          </cell>
          <cell r="X59">
            <v>312069.8</v>
          </cell>
          <cell r="Y59">
            <v>6.7828593936999998E-2</v>
          </cell>
        </row>
        <row r="60">
          <cell r="E60" t="str">
            <v>Dinajpur Area</v>
          </cell>
          <cell r="F60"/>
          <cell r="G60"/>
          <cell r="H60">
            <v>1761.75</v>
          </cell>
          <cell r="I60">
            <v>1696.8127500000001</v>
          </cell>
          <cell r="J60">
            <v>0.96314048531289909</v>
          </cell>
          <cell r="K60">
            <v>44365426.51606521</v>
          </cell>
          <cell r="L60">
            <v>63508484</v>
          </cell>
          <cell r="M60">
            <v>1.4314859336921482</v>
          </cell>
          <cell r="N60">
            <v>1129.9499999999998</v>
          </cell>
          <cell r="O60">
            <v>1107.3400000000001</v>
          </cell>
          <cell r="P60">
            <v>0.9799902650559762</v>
          </cell>
          <cell r="Q60">
            <v>35492341.212852173</v>
          </cell>
          <cell r="R60">
            <v>30582414</v>
          </cell>
          <cell r="S60">
            <v>0.86166234615499993</v>
          </cell>
          <cell r="T60">
            <v>1129.9499999999998</v>
          </cell>
          <cell r="U60">
            <v>710.22250000000008</v>
          </cell>
          <cell r="V60">
            <v>0.62854329837603451</v>
          </cell>
          <cell r="W60">
            <v>35492341.212852165</v>
          </cell>
          <cell r="X60">
            <v>40984440</v>
          </cell>
          <cell r="Y60">
            <v>1.1547403918555557</v>
          </cell>
        </row>
        <row r="61">
          <cell r="E61" t="str">
            <v>Rangpur Zone</v>
          </cell>
          <cell r="F61"/>
          <cell r="G61"/>
          <cell r="H61">
            <v>10509.512999999999</v>
          </cell>
          <cell r="I61">
            <v>7149.2567499999996</v>
          </cell>
          <cell r="J61">
            <v>0.68026527489903676</v>
          </cell>
          <cell r="K61">
            <v>264656748.5290944</v>
          </cell>
          <cell r="L61">
            <v>314240673.50999999</v>
          </cell>
          <cell r="M61">
            <v>1.1873518255494426</v>
          </cell>
          <cell r="N61">
            <v>6740.5841999999993</v>
          </cell>
          <cell r="O61">
            <v>6828.19</v>
          </cell>
          <cell r="P61">
            <v>1.0129967666600768</v>
          </cell>
          <cell r="Q61">
            <v>211725398.82327554</v>
          </cell>
          <cell r="R61">
            <v>189122713</v>
          </cell>
          <cell r="S61">
            <v>0.89324527926787989</v>
          </cell>
          <cell r="T61">
            <v>6740.5841999999993</v>
          </cell>
          <cell r="U61">
            <v>4041.9325000000003</v>
          </cell>
          <cell r="V61">
            <v>0.59964127441654103</v>
          </cell>
          <cell r="W61">
            <v>211725398.82327551</v>
          </cell>
          <cell r="X61">
            <v>218021019</v>
          </cell>
          <cell r="Y61">
            <v>1.0297348367825221</v>
          </cell>
        </row>
        <row r="62">
          <cell r="E62" t="str">
            <v>Panchbibi</v>
          </cell>
          <cell r="F62" t="str">
            <v>Pachbiby</v>
          </cell>
          <cell r="G62" t="str">
            <v>09046-M/S Saha Traders</v>
          </cell>
          <cell r="H62">
            <v>271.44</v>
          </cell>
          <cell r="I62">
            <v>337.25199999999995</v>
          </cell>
          <cell r="J62">
            <v>1.2424550545240198</v>
          </cell>
          <cell r="K62">
            <v>6835562.0113641219</v>
          </cell>
          <cell r="L62">
            <v>17850001</v>
          </cell>
          <cell r="M62">
            <v>2.61134358379375</v>
          </cell>
          <cell r="N62">
            <v>174.096</v>
          </cell>
          <cell r="O62">
            <v>199.02</v>
          </cell>
          <cell r="P62">
            <v>1.1431623931623931</v>
          </cell>
          <cell r="Q62">
            <v>5468449.6090912968</v>
          </cell>
          <cell r="R62">
            <v>3319047.6</v>
          </cell>
          <cell r="S62">
            <v>0.60694489979062505</v>
          </cell>
          <cell r="T62">
            <v>174.096</v>
          </cell>
          <cell r="U62">
            <v>143.24250000000001</v>
          </cell>
          <cell r="V62">
            <v>0.82277881169010203</v>
          </cell>
          <cell r="W62">
            <v>5468449.6090912968</v>
          </cell>
          <cell r="X62">
            <v>6502768.7999999998</v>
          </cell>
          <cell r="Y62">
            <v>1.18914304141875</v>
          </cell>
        </row>
        <row r="63">
          <cell r="E63" t="str">
            <v>Jaypurhat</v>
          </cell>
          <cell r="F63" t="str">
            <v>Jaypurhat</v>
          </cell>
          <cell r="G63" t="str">
            <v>09046-M/S Saha Traders</v>
          </cell>
          <cell r="H63">
            <v>137.02499999999998</v>
          </cell>
          <cell r="I63">
            <v>0</v>
          </cell>
          <cell r="J63">
            <v>0</v>
          </cell>
          <cell r="K63">
            <v>3450644.2845828496</v>
          </cell>
          <cell r="L63">
            <v>0</v>
          </cell>
          <cell r="M63">
            <v>0</v>
          </cell>
          <cell r="N63">
            <v>87.885000000000005</v>
          </cell>
          <cell r="O63">
            <v>102.53</v>
          </cell>
          <cell r="P63">
            <v>1.1666382204016612</v>
          </cell>
          <cell r="Q63">
            <v>2760515.42766628</v>
          </cell>
          <cell r="R63">
            <v>1709812.4</v>
          </cell>
          <cell r="S63">
            <v>0.61938157739095234</v>
          </cell>
          <cell r="T63">
            <v>87.885000000000005</v>
          </cell>
          <cell r="U63">
            <v>73.790000000000006</v>
          </cell>
          <cell r="V63">
            <v>0.83961995789952781</v>
          </cell>
          <cell r="W63">
            <v>2760515.42766628</v>
          </cell>
          <cell r="X63">
            <v>3349911.2</v>
          </cell>
          <cell r="Y63">
            <v>1.213509320189524</v>
          </cell>
        </row>
        <row r="64">
          <cell r="E64" t="str">
            <v>Dhamoirhat</v>
          </cell>
          <cell r="F64" t="str">
            <v>Dhamorhat</v>
          </cell>
          <cell r="G64" t="str">
            <v>09040-M/S Hamim Enterprise</v>
          </cell>
          <cell r="H64">
            <v>146.16</v>
          </cell>
          <cell r="I64">
            <v>96.805000000000007</v>
          </cell>
          <cell r="J64">
            <v>0.66232211275314734</v>
          </cell>
          <cell r="K64">
            <v>3680687.2368883733</v>
          </cell>
          <cell r="L64">
            <v>5001600</v>
          </cell>
          <cell r="M64">
            <v>1.3588766657142857</v>
          </cell>
          <cell r="N64">
            <v>93.744</v>
          </cell>
          <cell r="O64">
            <v>109.4</v>
          </cell>
          <cell r="P64">
            <v>1.1670080218467316</v>
          </cell>
          <cell r="Q64">
            <v>2944549.7895106985</v>
          </cell>
          <cell r="R64">
            <v>2847932</v>
          </cell>
          <cell r="S64">
            <v>0.9671875850580357</v>
          </cell>
          <cell r="T64">
            <v>93.744</v>
          </cell>
          <cell r="U64">
            <v>36.137500000000003</v>
          </cell>
          <cell r="V64">
            <v>0.3854913381123059</v>
          </cell>
          <cell r="W64">
            <v>2944549.7895106985</v>
          </cell>
          <cell r="X64">
            <v>2325893</v>
          </cell>
          <cell r="Y64">
            <v>0.78989766390959826</v>
          </cell>
        </row>
        <row r="65">
          <cell r="E65" t="str">
            <v xml:space="preserve">Naogaon Sadar </v>
          </cell>
          <cell r="F65" t="str">
            <v>Naogaon Sador, Bodholgachi</v>
          </cell>
          <cell r="G65" t="str">
            <v>09031-M/S Rohul KuddusTraders</v>
          </cell>
          <cell r="H65">
            <v>137.02499999999998</v>
          </cell>
          <cell r="I65">
            <v>48.667499999999997</v>
          </cell>
          <cell r="J65">
            <v>0.35517241379310349</v>
          </cell>
          <cell r="K65">
            <v>3450644.2845828496</v>
          </cell>
          <cell r="L65">
            <v>2961960</v>
          </cell>
          <cell r="M65">
            <v>0.85837882891428585</v>
          </cell>
          <cell r="N65">
            <v>87.885000000000005</v>
          </cell>
          <cell r="O65">
            <v>72.599999999999994</v>
          </cell>
          <cell r="P65">
            <v>0.82607953575695503</v>
          </cell>
          <cell r="Q65">
            <v>2760515.42766628</v>
          </cell>
          <cell r="R65">
            <v>1786400</v>
          </cell>
          <cell r="S65">
            <v>0.64712552666666667</v>
          </cell>
          <cell r="T65">
            <v>87.885000000000005</v>
          </cell>
          <cell r="U65">
            <v>48.234999999999999</v>
          </cell>
          <cell r="V65">
            <v>0.54884223701428003</v>
          </cell>
          <cell r="W65">
            <v>2760515.42766628</v>
          </cell>
          <cell r="X65">
            <v>2551000</v>
          </cell>
          <cell r="Y65">
            <v>0.92410278690476189</v>
          </cell>
        </row>
        <row r="66">
          <cell r="E66" t="str">
            <v>Raninagar</v>
          </cell>
          <cell r="F66" t="str">
            <v>Raninagor, Atrai</v>
          </cell>
          <cell r="G66" t="str">
            <v>09032 M/S Soyaib Traders</v>
          </cell>
          <cell r="H66">
            <v>248.47199999999998</v>
          </cell>
          <cell r="I66">
            <v>169.77025</v>
          </cell>
          <cell r="J66">
            <v>0.68325706719469403</v>
          </cell>
          <cell r="K66">
            <v>6257168.3027102342</v>
          </cell>
          <cell r="L66">
            <v>6298000</v>
          </cell>
          <cell r="M66">
            <v>1.0065255871848739</v>
          </cell>
          <cell r="N66">
            <v>159.3648</v>
          </cell>
          <cell r="O66">
            <v>141.93</v>
          </cell>
          <cell r="P66">
            <v>0.89059817475377245</v>
          </cell>
          <cell r="Q66">
            <v>5005734.6421681875</v>
          </cell>
          <cell r="R66">
            <v>4000000</v>
          </cell>
          <cell r="S66">
            <v>0.7990835084033614</v>
          </cell>
          <cell r="T66">
            <v>159.3648</v>
          </cell>
          <cell r="U66">
            <v>85.382499999999993</v>
          </cell>
          <cell r="V66">
            <v>0.53576762246117082</v>
          </cell>
          <cell r="W66">
            <v>5005734.6421681875</v>
          </cell>
          <cell r="X66">
            <v>3705000</v>
          </cell>
          <cell r="Y66">
            <v>0.74015109965861348</v>
          </cell>
        </row>
        <row r="67">
          <cell r="E67" t="str">
            <v>Patnitala</v>
          </cell>
          <cell r="F67" t="str">
            <v>Patnitala</v>
          </cell>
          <cell r="G67" t="str">
            <v>09033-M/S Sony Enterprise</v>
          </cell>
          <cell r="H67">
            <v>344.52</v>
          </cell>
          <cell r="I67">
            <v>966.36765000000003</v>
          </cell>
          <cell r="J67">
            <v>2.8049682166492516</v>
          </cell>
          <cell r="K67">
            <v>8675905.6298083086</v>
          </cell>
          <cell r="L67">
            <v>34345602</v>
          </cell>
          <cell r="M67">
            <v>3.9587339311295455</v>
          </cell>
          <cell r="N67">
            <v>220.96799999999999</v>
          </cell>
          <cell r="O67">
            <v>147.59</v>
          </cell>
          <cell r="P67">
            <v>0.66792476738713302</v>
          </cell>
          <cell r="Q67">
            <v>6940724.5038466472</v>
          </cell>
          <cell r="R67">
            <v>4932434.4000000004</v>
          </cell>
          <cell r="S67">
            <v>0.71065122917159096</v>
          </cell>
          <cell r="T67">
            <v>220.96799999999999</v>
          </cell>
          <cell r="U67">
            <v>139.42500000000001</v>
          </cell>
          <cell r="V67">
            <v>0.63097371565113514</v>
          </cell>
          <cell r="W67">
            <v>6940724.5038466463</v>
          </cell>
          <cell r="X67">
            <v>5537549.4000000004</v>
          </cell>
          <cell r="Y67">
            <v>0.79783449075539781</v>
          </cell>
        </row>
        <row r="68">
          <cell r="E68" t="str">
            <v>Sapahar</v>
          </cell>
          <cell r="F68" t="str">
            <v>Shapahar, Porsa</v>
          </cell>
          <cell r="G68" t="str">
            <v>09033-M/S Sony Enterprise</v>
          </cell>
          <cell r="H68">
            <v>240.11999999999998</v>
          </cell>
          <cell r="I68">
            <v>0</v>
          </cell>
          <cell r="J68">
            <v>0</v>
          </cell>
          <cell r="K68">
            <v>6046843.3177451836</v>
          </cell>
          <cell r="L68">
            <v>0</v>
          </cell>
          <cell r="M68">
            <v>0</v>
          </cell>
          <cell r="N68">
            <v>154.00800000000001</v>
          </cell>
          <cell r="O68">
            <v>99.84</v>
          </cell>
          <cell r="P68">
            <v>0.64827801153186848</v>
          </cell>
          <cell r="Q68">
            <v>4837474.6541961478</v>
          </cell>
          <cell r="R68">
            <v>3336646.8</v>
          </cell>
          <cell r="S68">
            <v>0.68974972243124999</v>
          </cell>
          <cell r="T68">
            <v>154.00800000000001</v>
          </cell>
          <cell r="U68">
            <v>94.317499999999995</v>
          </cell>
          <cell r="V68">
            <v>0.61241948470209329</v>
          </cell>
          <cell r="W68">
            <v>4837474.6541961478</v>
          </cell>
          <cell r="X68">
            <v>3745989.3</v>
          </cell>
          <cell r="Y68">
            <v>0.77436877043906249</v>
          </cell>
        </row>
        <row r="69">
          <cell r="E69" t="str">
            <v>Mohadevpur</v>
          </cell>
          <cell r="F69" t="str">
            <v>Mohadevpur</v>
          </cell>
          <cell r="G69" t="str">
            <v>09033-M/S Sony Enterprise</v>
          </cell>
          <cell r="H69">
            <v>438.47999999999996</v>
          </cell>
          <cell r="I69">
            <v>0</v>
          </cell>
          <cell r="J69">
            <v>0</v>
          </cell>
          <cell r="K69">
            <v>11042061.71066512</v>
          </cell>
          <cell r="L69">
            <v>0</v>
          </cell>
          <cell r="M69">
            <v>0</v>
          </cell>
          <cell r="N69">
            <v>281.23199999999997</v>
          </cell>
          <cell r="O69">
            <v>186.66</v>
          </cell>
          <cell r="P69">
            <v>0.66372247823860731</v>
          </cell>
          <cell r="Q69">
            <v>8833649.3685320951</v>
          </cell>
          <cell r="R69">
            <v>6238078.7999999998</v>
          </cell>
          <cell r="S69">
            <v>0.70617233487008935</v>
          </cell>
          <cell r="T69">
            <v>281.23199999999997</v>
          </cell>
          <cell r="U69">
            <v>176.33</v>
          </cell>
          <cell r="V69">
            <v>0.62699123855037842</v>
          </cell>
          <cell r="W69">
            <v>8833649.3685320932</v>
          </cell>
          <cell r="X69">
            <v>7003371.2999999998</v>
          </cell>
          <cell r="Y69">
            <v>0.79280612211618329</v>
          </cell>
        </row>
        <row r="70">
          <cell r="E70" t="str">
            <v>Naogaon Area</v>
          </cell>
          <cell r="F70" t="str">
            <v>Naogaon</v>
          </cell>
          <cell r="G70"/>
          <cell r="H70">
            <v>1963.2419999999997</v>
          </cell>
          <cell r="I70">
            <v>1618.8624</v>
          </cell>
          <cell r="J70">
            <v>0.82458627107610794</v>
          </cell>
          <cell r="K70">
            <v>49439516.778347045</v>
          </cell>
          <cell r="L70">
            <v>66457163</v>
          </cell>
          <cell r="M70">
            <v>1.3442114189333287</v>
          </cell>
          <cell r="N70">
            <v>1259.1828</v>
          </cell>
          <cell r="O70">
            <v>1059.5700000000002</v>
          </cell>
          <cell r="P70">
            <v>0.84147432763535213</v>
          </cell>
          <cell r="Q70">
            <v>39551613.422677636</v>
          </cell>
          <cell r="R70">
            <v>28170352</v>
          </cell>
          <cell r="S70">
            <v>0.71224280281441099</v>
          </cell>
          <cell r="T70">
            <v>1259.1828</v>
          </cell>
          <cell r="U70">
            <v>796.86000000000013</v>
          </cell>
          <cell r="V70">
            <v>0.63283901273111431</v>
          </cell>
          <cell r="W70">
            <v>39551613.422677629</v>
          </cell>
          <cell r="X70">
            <v>34721483</v>
          </cell>
          <cell r="Y70">
            <v>0.87787779044411407</v>
          </cell>
        </row>
        <row r="71">
          <cell r="E71" t="str">
            <v>Bogura Sadar</v>
          </cell>
          <cell r="F71" t="str">
            <v>Bogura sador, Sahjahanpur, Gabtoli</v>
          </cell>
          <cell r="G71" t="str">
            <v>09052-M/S Humayun Kobir Milon</v>
          </cell>
          <cell r="H71">
            <v>206.01599999999999</v>
          </cell>
          <cell r="I71">
            <v>182.857</v>
          </cell>
          <cell r="J71">
            <v>0.88758640105622866</v>
          </cell>
          <cell r="K71">
            <v>5188016.2958045639</v>
          </cell>
          <cell r="L71">
            <v>6806050</v>
          </cell>
          <cell r="M71">
            <v>1.3118790712943413</v>
          </cell>
          <cell r="N71">
            <v>132.1344</v>
          </cell>
          <cell r="O71">
            <v>84.67</v>
          </cell>
          <cell r="P71">
            <v>0.6407869563111499</v>
          </cell>
          <cell r="Q71">
            <v>4150413.0366436513</v>
          </cell>
          <cell r="R71">
            <v>1904000</v>
          </cell>
          <cell r="S71">
            <v>0.45874952280405407</v>
          </cell>
          <cell r="T71">
            <v>132.1344</v>
          </cell>
          <cell r="U71">
            <v>133.0325</v>
          </cell>
          <cell r="V71">
            <v>1.0067968674319481</v>
          </cell>
          <cell r="W71">
            <v>4150413.0366436522</v>
          </cell>
          <cell r="X71">
            <v>4714310</v>
          </cell>
          <cell r="Y71">
            <v>1.1358652641020901</v>
          </cell>
        </row>
        <row r="72">
          <cell r="E72" t="str">
            <v>Sonatala</v>
          </cell>
          <cell r="F72" t="str">
            <v>Sonatola, Shariakhandi</v>
          </cell>
          <cell r="G72" t="str">
            <v>09027-Ahmmed Traders (Bagra)-Dr</v>
          </cell>
          <cell r="H72">
            <v>116.92799999999998</v>
          </cell>
          <cell r="I72">
            <v>0</v>
          </cell>
          <cell r="J72">
            <v>0</v>
          </cell>
          <cell r="K72">
            <v>2944549.7895106981</v>
          </cell>
          <cell r="L72">
            <v>0</v>
          </cell>
          <cell r="M72">
            <v>0</v>
          </cell>
          <cell r="N72">
            <v>74.995199999999997</v>
          </cell>
          <cell r="O72">
            <v>66.23</v>
          </cell>
          <cell r="P72">
            <v>0.88312318655060595</v>
          </cell>
          <cell r="Q72">
            <v>2355639.8316085585</v>
          </cell>
          <cell r="R72">
            <v>2812800</v>
          </cell>
          <cell r="S72">
            <v>1.194070486607143</v>
          </cell>
          <cell r="T72">
            <v>74.995199999999997</v>
          </cell>
          <cell r="U72">
            <v>84.775000000000006</v>
          </cell>
          <cell r="V72">
            <v>1.1304056792968085</v>
          </cell>
          <cell r="W72">
            <v>2355639.8316085585</v>
          </cell>
          <cell r="X72">
            <v>3160950</v>
          </cell>
          <cell r="Y72">
            <v>1.3418647271902904</v>
          </cell>
        </row>
        <row r="73">
          <cell r="E73" t="str">
            <v>Shibganj_Bogura</v>
          </cell>
          <cell r="F73" t="str">
            <v>Shibgonj</v>
          </cell>
          <cell r="G73" t="str">
            <v>09025-Mondol Traders (Bogra)-Dr</v>
          </cell>
          <cell r="H73">
            <v>299.4975</v>
          </cell>
          <cell r="I73">
            <v>278.02809999999999</v>
          </cell>
          <cell r="J73">
            <v>0.92831526139617193</v>
          </cell>
          <cell r="K73">
            <v>7542122.5077310866</v>
          </cell>
          <cell r="L73">
            <v>9691000</v>
          </cell>
          <cell r="M73">
            <v>1.2849168108932461</v>
          </cell>
          <cell r="N73">
            <v>192.0915</v>
          </cell>
          <cell r="O73">
            <v>66.23</v>
          </cell>
          <cell r="P73">
            <v>0.34478360572956118</v>
          </cell>
          <cell r="Q73">
            <v>6033698.0061848694</v>
          </cell>
          <cell r="R73">
            <v>2812800</v>
          </cell>
          <cell r="S73">
            <v>0.4661817673202614</v>
          </cell>
          <cell r="T73">
            <v>192.0915</v>
          </cell>
          <cell r="U73">
            <v>84.775000000000006</v>
          </cell>
          <cell r="V73">
            <v>0.44132613884528993</v>
          </cell>
          <cell r="W73">
            <v>6033698.0061848694</v>
          </cell>
          <cell r="X73">
            <v>3160950</v>
          </cell>
          <cell r="Y73">
            <v>0.52388269959150324</v>
          </cell>
        </row>
        <row r="74">
          <cell r="E74" t="str">
            <v>Sherpur_Bogura</v>
          </cell>
          <cell r="F74" t="str">
            <v>Sharpur, Dhonut</v>
          </cell>
          <cell r="G74" t="str">
            <v>09021-Bhai Bhai Store (Bogra)-Dr</v>
          </cell>
          <cell r="H74">
            <v>264.91499999999996</v>
          </cell>
          <cell r="I74">
            <v>300.07249999999999</v>
          </cell>
          <cell r="J74">
            <v>1.1327123794424627</v>
          </cell>
          <cell r="K74">
            <v>6671245.6168601755</v>
          </cell>
          <cell r="L74">
            <v>11258080</v>
          </cell>
          <cell r="M74">
            <v>1.6875529168866998</v>
          </cell>
          <cell r="N74">
            <v>169.911</v>
          </cell>
          <cell r="O74">
            <v>156.08000000000001</v>
          </cell>
          <cell r="P74">
            <v>0.91859856042280963</v>
          </cell>
          <cell r="Q74">
            <v>5336996.4934881404</v>
          </cell>
          <cell r="R74">
            <v>6093740</v>
          </cell>
          <cell r="S74">
            <v>1.1417920186822661</v>
          </cell>
          <cell r="T74">
            <v>169.911</v>
          </cell>
          <cell r="U74">
            <v>131.98750000000001</v>
          </cell>
          <cell r="V74">
            <v>0.77680373842776518</v>
          </cell>
          <cell r="W74">
            <v>5336996.4934881404</v>
          </cell>
          <cell r="X74">
            <v>7819682</v>
          </cell>
          <cell r="Y74">
            <v>1.4651840242992613</v>
          </cell>
        </row>
        <row r="75">
          <cell r="E75" t="str">
            <v>Dupchanchia</v>
          </cell>
          <cell r="F75" t="str">
            <v>Dupchacha , Adhomdigi</v>
          </cell>
          <cell r="G75" t="str">
            <v>09019-M/S Sumon Traders</v>
          </cell>
          <cell r="H75">
            <v>252.12599999999998</v>
          </cell>
          <cell r="I75">
            <v>337.19900000000001</v>
          </cell>
          <cell r="J75">
            <v>1.337422558561989</v>
          </cell>
          <cell r="K75">
            <v>6349185.4836324444</v>
          </cell>
          <cell r="L75">
            <v>13710475</v>
          </cell>
          <cell r="M75">
            <v>2.1594069090191508</v>
          </cell>
          <cell r="N75">
            <v>161.70839999999998</v>
          </cell>
          <cell r="O75">
            <v>79.58</v>
          </cell>
          <cell r="P75">
            <v>0.49212038459350294</v>
          </cell>
          <cell r="Q75">
            <v>5079348.3869059552</v>
          </cell>
          <cell r="R75">
            <v>2745300</v>
          </cell>
          <cell r="S75">
            <v>0.54048271370341616</v>
          </cell>
          <cell r="T75">
            <v>161.70839999999998</v>
          </cell>
          <cell r="U75">
            <v>64.912499999999994</v>
          </cell>
          <cell r="V75">
            <v>0.40141699503550837</v>
          </cell>
          <cell r="W75">
            <v>5079348.3869059552</v>
          </cell>
          <cell r="X75">
            <v>4230000</v>
          </cell>
          <cell r="Y75">
            <v>0.83278398680124222</v>
          </cell>
        </row>
        <row r="76">
          <cell r="E76" t="str">
            <v>Kahaloo</v>
          </cell>
          <cell r="F76" t="str">
            <v>Khalu, Nondhigram</v>
          </cell>
          <cell r="G76" t="str">
            <v>09019-M/S Sumon Traders</v>
          </cell>
          <cell r="H76">
            <v>164.42999999999998</v>
          </cell>
          <cell r="I76">
            <v>0</v>
          </cell>
          <cell r="J76">
            <v>0</v>
          </cell>
          <cell r="K76">
            <v>4140773.1414994192</v>
          </cell>
          <cell r="L76">
            <v>0</v>
          </cell>
          <cell r="M76">
            <v>0</v>
          </cell>
          <cell r="N76">
            <v>105.462</v>
          </cell>
          <cell r="O76">
            <v>53.06</v>
          </cell>
          <cell r="P76">
            <v>0.50311960706225944</v>
          </cell>
          <cell r="Q76">
            <v>3312618.5131995361</v>
          </cell>
          <cell r="R76">
            <v>1830200</v>
          </cell>
          <cell r="S76">
            <v>0.55249344067460315</v>
          </cell>
          <cell r="T76">
            <v>105.462</v>
          </cell>
          <cell r="U76">
            <v>43.274999999999999</v>
          </cell>
          <cell r="V76">
            <v>0.41033737270296405</v>
          </cell>
          <cell r="W76">
            <v>3312618.5131995361</v>
          </cell>
          <cell r="X76">
            <v>2820000</v>
          </cell>
          <cell r="Y76">
            <v>0.85129029761904762</v>
          </cell>
        </row>
        <row r="77">
          <cell r="E77" t="str">
            <v>Akkelpur</v>
          </cell>
          <cell r="F77" t="str">
            <v>Akkelpur</v>
          </cell>
          <cell r="G77" t="str">
            <v>09023-M/S Mondol Traders</v>
          </cell>
          <cell r="H77">
            <v>97.44</v>
          </cell>
          <cell r="I77">
            <v>0</v>
          </cell>
          <cell r="J77">
            <v>0</v>
          </cell>
          <cell r="K77">
            <v>2453791.491258916</v>
          </cell>
          <cell r="L77">
            <v>0</v>
          </cell>
          <cell r="M77">
            <v>0</v>
          </cell>
          <cell r="N77">
            <v>62.496000000000002</v>
          </cell>
          <cell r="O77">
            <v>79.05</v>
          </cell>
          <cell r="P77">
            <v>1.2648809523809523</v>
          </cell>
          <cell r="Q77">
            <v>1963033.1930071323</v>
          </cell>
          <cell r="R77">
            <v>1464520</v>
          </cell>
          <cell r="S77">
            <v>0.74604953457589296</v>
          </cell>
          <cell r="T77">
            <v>62.496000000000002</v>
          </cell>
          <cell r="U77">
            <v>24.605</v>
          </cell>
          <cell r="V77">
            <v>0.39370519713261648</v>
          </cell>
          <cell r="W77">
            <v>1963033.1930071327</v>
          </cell>
          <cell r="X77">
            <v>2369390</v>
          </cell>
          <cell r="Y77">
            <v>1.207004552159598</v>
          </cell>
        </row>
        <row r="78">
          <cell r="E78" t="str">
            <v>Kalai</v>
          </cell>
          <cell r="F78" t="str">
            <v>Kalai, Khatlal</v>
          </cell>
          <cell r="G78" t="str">
            <v>09023-M/S Mondol Traders</v>
          </cell>
          <cell r="H78">
            <v>139.19999999999999</v>
          </cell>
          <cell r="I78">
            <v>313.07875000000001</v>
          </cell>
          <cell r="J78">
            <v>2.2491289511494257</v>
          </cell>
          <cell r="K78">
            <v>3505416.4160841643</v>
          </cell>
          <cell r="L78">
            <v>13620200</v>
          </cell>
          <cell r="M78">
            <v>3.885472760812501</v>
          </cell>
          <cell r="N78">
            <v>89.28</v>
          </cell>
          <cell r="O78">
            <v>113.75</v>
          </cell>
          <cell r="P78">
            <v>1.2740815412186379</v>
          </cell>
          <cell r="Q78">
            <v>2804333.1328673321</v>
          </cell>
          <cell r="R78">
            <v>2107480</v>
          </cell>
          <cell r="S78">
            <v>0.75150843360937503</v>
          </cell>
          <cell r="T78">
            <v>89.28</v>
          </cell>
          <cell r="U78">
            <v>35.405000000000001</v>
          </cell>
          <cell r="V78">
            <v>0.39656137992831542</v>
          </cell>
          <cell r="W78">
            <v>2804333.1328673321</v>
          </cell>
          <cell r="X78">
            <v>3409610</v>
          </cell>
          <cell r="Y78">
            <v>1.2158362927851563</v>
          </cell>
        </row>
        <row r="79">
          <cell r="E79" t="str">
            <v>Bogura  Area</v>
          </cell>
          <cell r="F79"/>
          <cell r="G79"/>
          <cell r="H79">
            <v>1540.5525</v>
          </cell>
          <cell r="I79">
            <v>1411.2353499999999</v>
          </cell>
          <cell r="J79">
            <v>0.91605794025195497</v>
          </cell>
          <cell r="K79">
            <v>38795100.742381468</v>
          </cell>
          <cell r="L79">
            <v>55085805</v>
          </cell>
          <cell r="M79">
            <v>1.4199165344561626</v>
          </cell>
          <cell r="N79">
            <v>988.07849999999996</v>
          </cell>
          <cell r="O79">
            <v>698.65</v>
          </cell>
          <cell r="P79">
            <v>0.70707944763498043</v>
          </cell>
          <cell r="Q79">
            <v>31036080.593905177</v>
          </cell>
          <cell r="R79">
            <v>21770840</v>
          </cell>
          <cell r="S79">
            <v>0.70146872876323585</v>
          </cell>
          <cell r="T79">
            <v>988.07849999999996</v>
          </cell>
          <cell r="U79">
            <v>602.76749999999993</v>
          </cell>
          <cell r="V79">
            <v>0.61004009296832185</v>
          </cell>
          <cell r="W79">
            <v>31036080.593905177</v>
          </cell>
          <cell r="X79">
            <v>31684892</v>
          </cell>
          <cell r="Y79">
            <v>1.0209050689932231</v>
          </cell>
        </row>
        <row r="80">
          <cell r="E80" t="str">
            <v>Natore</v>
          </cell>
          <cell r="F80" t="str">
            <v>Nator Sador, Bagatipara, Gorudashpur</v>
          </cell>
          <cell r="G80" t="str">
            <v>09057-M/S Adi Saha Trading -2</v>
          </cell>
          <cell r="H80">
            <v>143.54999999999998</v>
          </cell>
          <cell r="I80">
            <v>84.677500000000009</v>
          </cell>
          <cell r="J80">
            <v>0.58988157436433308</v>
          </cell>
          <cell r="K80">
            <v>3614960.6790867946</v>
          </cell>
          <cell r="L80">
            <v>3321250</v>
          </cell>
          <cell r="M80">
            <v>0.91875134886363652</v>
          </cell>
          <cell r="N80">
            <v>92.07</v>
          </cell>
          <cell r="O80">
            <v>157.61000000000001</v>
          </cell>
          <cell r="P80">
            <v>1.7118496795916154</v>
          </cell>
          <cell r="Q80">
            <v>2891968.5432694363</v>
          </cell>
          <cell r="R80">
            <v>3800640</v>
          </cell>
          <cell r="S80">
            <v>1.3142051661818182</v>
          </cell>
          <cell r="T80">
            <v>92.07</v>
          </cell>
          <cell r="U80">
            <v>144.66499999999999</v>
          </cell>
          <cell r="V80">
            <v>1.5712501357662649</v>
          </cell>
          <cell r="W80">
            <v>2891968.5432694359</v>
          </cell>
          <cell r="X80">
            <v>6516450</v>
          </cell>
          <cell r="Y80">
            <v>2.2532921442613638</v>
          </cell>
        </row>
        <row r="81">
          <cell r="E81" t="str">
            <v>Singra</v>
          </cell>
          <cell r="F81" t="str">
            <v xml:space="preserve">Singra,Noldanga </v>
          </cell>
          <cell r="G81" t="str">
            <v>09056-M/S Karmakar Hardware</v>
          </cell>
          <cell r="H81">
            <v>143.54999999999998</v>
          </cell>
          <cell r="I81">
            <v>96.897999999999996</v>
          </cell>
          <cell r="J81">
            <v>0.6750121908742599</v>
          </cell>
          <cell r="K81">
            <v>3614960.6790867946</v>
          </cell>
          <cell r="L81">
            <v>5804170</v>
          </cell>
          <cell r="M81">
            <v>1.6055969940636365</v>
          </cell>
          <cell r="N81">
            <v>92.07</v>
          </cell>
          <cell r="O81">
            <v>84.67</v>
          </cell>
          <cell r="P81">
            <v>0.9196263712392746</v>
          </cell>
          <cell r="Q81">
            <v>2891968.5432694363</v>
          </cell>
          <cell r="R81">
            <v>1192410</v>
          </cell>
          <cell r="S81">
            <v>0.41231776285227273</v>
          </cell>
          <cell r="T81">
            <v>92.07</v>
          </cell>
          <cell r="U81">
            <v>72.522499999999994</v>
          </cell>
          <cell r="V81">
            <v>0.78768871510806993</v>
          </cell>
          <cell r="W81">
            <v>2891968.5432694359</v>
          </cell>
          <cell r="X81">
            <v>3186280</v>
          </cell>
          <cell r="Y81">
            <v>1.1017685539545456</v>
          </cell>
        </row>
        <row r="82">
          <cell r="E82" t="str">
            <v>Bagmara</v>
          </cell>
          <cell r="F82" t="str">
            <v>Bagmara</v>
          </cell>
          <cell r="G82" t="str">
            <v>09012-M/S Sharan Traders (Rajshahi) Dr</v>
          </cell>
          <cell r="H82">
            <v>182.7</v>
          </cell>
          <cell r="I82">
            <v>133.26875000000001</v>
          </cell>
          <cell r="J82">
            <v>0.72944033935413255</v>
          </cell>
          <cell r="K82">
            <v>4600859.0461104671</v>
          </cell>
          <cell r="L82">
            <v>7261960</v>
          </cell>
          <cell r="M82">
            <v>1.5783921931142855</v>
          </cell>
          <cell r="N82">
            <v>117.17999999999999</v>
          </cell>
          <cell r="O82">
            <v>205.16</v>
          </cell>
          <cell r="P82">
            <v>1.750810718552654</v>
          </cell>
          <cell r="Q82">
            <v>3680687.2368883733</v>
          </cell>
          <cell r="R82">
            <v>6394000</v>
          </cell>
          <cell r="S82">
            <v>1.7371755839285714</v>
          </cell>
          <cell r="T82">
            <v>117.17999999999999</v>
          </cell>
          <cell r="U82">
            <v>60.484999999999999</v>
          </cell>
          <cell r="V82">
            <v>0.51617170165557269</v>
          </cell>
          <cell r="W82">
            <v>3680687.2368883733</v>
          </cell>
          <cell r="X82">
            <v>7207000</v>
          </cell>
          <cell r="Y82">
            <v>1.9580582473214285</v>
          </cell>
        </row>
        <row r="83">
          <cell r="E83" t="str">
            <v>Niamatpur</v>
          </cell>
          <cell r="F83" t="str">
            <v>Niamatpur</v>
          </cell>
          <cell r="G83" t="str">
            <v>09030-M/S Satata Traders</v>
          </cell>
          <cell r="H83">
            <v>297.53999999999996</v>
          </cell>
          <cell r="I83">
            <v>0</v>
          </cell>
          <cell r="J83">
            <v>0</v>
          </cell>
          <cell r="K83">
            <v>7492827.5893799011</v>
          </cell>
          <cell r="L83">
            <v>0</v>
          </cell>
          <cell r="M83">
            <v>0</v>
          </cell>
          <cell r="N83">
            <v>190.83600000000001</v>
          </cell>
          <cell r="O83">
            <v>203.65</v>
          </cell>
          <cell r="P83">
            <v>1.0671466599593367</v>
          </cell>
          <cell r="Q83">
            <v>5994262.0715039223</v>
          </cell>
          <cell r="R83">
            <v>4558035.75</v>
          </cell>
          <cell r="S83">
            <v>0.76039981162458881</v>
          </cell>
          <cell r="T83">
            <v>190.83600000000001</v>
          </cell>
          <cell r="U83">
            <v>160.2825</v>
          </cell>
          <cell r="V83">
            <v>0.83989656039740923</v>
          </cell>
          <cell r="W83">
            <v>5994262.0715039233</v>
          </cell>
          <cell r="X83">
            <v>7468818.4199999999</v>
          </cell>
          <cell r="Y83">
            <v>1.2459946413597696</v>
          </cell>
        </row>
        <row r="84">
          <cell r="E84" t="str">
            <v>Manda</v>
          </cell>
          <cell r="F84" t="str">
            <v>Manda</v>
          </cell>
          <cell r="G84" t="str">
            <v>09030-M/S Satata Traders</v>
          </cell>
          <cell r="H84">
            <v>282.66300000000001</v>
          </cell>
          <cell r="I84">
            <v>447.423</v>
          </cell>
          <cell r="J84">
            <v>1.5828849194977765</v>
          </cell>
          <cell r="K84">
            <v>7118186.2099109087</v>
          </cell>
          <cell r="L84">
            <v>20327215</v>
          </cell>
          <cell r="M84">
            <v>2.8556733977677742</v>
          </cell>
          <cell r="N84">
            <v>181.29420000000002</v>
          </cell>
          <cell r="O84">
            <v>195.67</v>
          </cell>
          <cell r="P84">
            <v>1.0792954214751491</v>
          </cell>
          <cell r="Q84">
            <v>5694548.9679287272</v>
          </cell>
          <cell r="R84">
            <v>4379289.25</v>
          </cell>
          <cell r="S84">
            <v>0.76903180123023418</v>
          </cell>
          <cell r="T84">
            <v>181.29420000000002</v>
          </cell>
          <cell r="U84">
            <v>153.995</v>
          </cell>
          <cell r="V84">
            <v>0.84942044477981082</v>
          </cell>
          <cell r="W84">
            <v>5694548.9679287272</v>
          </cell>
          <cell r="X84">
            <v>7175923.5800000001</v>
          </cell>
          <cell r="Y84">
            <v>1.2601390593731414</v>
          </cell>
        </row>
        <row r="85">
          <cell r="E85" t="str">
            <v>Puthia</v>
          </cell>
          <cell r="F85" t="str">
            <v>Potia</v>
          </cell>
          <cell r="G85" t="str">
            <v>09049- M/S A Rob Hardware</v>
          </cell>
          <cell r="H85">
            <v>208.79999999999998</v>
          </cell>
          <cell r="I85">
            <v>169.26049999999998</v>
          </cell>
          <cell r="J85">
            <v>0.81063457854406129</v>
          </cell>
          <cell r="K85">
            <v>5258124.6241262471</v>
          </cell>
          <cell r="L85">
            <v>8409214</v>
          </cell>
          <cell r="M85">
            <v>1.5992800857962501</v>
          </cell>
          <cell r="N85">
            <v>133.91999999999999</v>
          </cell>
          <cell r="O85">
            <v>135.13999999999999</v>
          </cell>
          <cell r="P85">
            <v>1.0091099163679809</v>
          </cell>
          <cell r="Q85">
            <v>4206499.699300997</v>
          </cell>
          <cell r="R85">
            <v>6467325.4000000004</v>
          </cell>
          <cell r="S85">
            <v>1.5374600885089067</v>
          </cell>
          <cell r="T85">
            <v>133.91999999999999</v>
          </cell>
          <cell r="U85">
            <v>75.05</v>
          </cell>
          <cell r="V85">
            <v>0.56040919952210277</v>
          </cell>
          <cell r="W85">
            <v>4206499.699300997</v>
          </cell>
          <cell r="X85">
            <v>2763017.6</v>
          </cell>
          <cell r="Y85">
            <v>0.65684483478250022</v>
          </cell>
        </row>
        <row r="86">
          <cell r="E86" t="str">
            <v>Bagha</v>
          </cell>
          <cell r="F86" t="str">
            <v xml:space="preserve">Bagha, </v>
          </cell>
          <cell r="G86" t="str">
            <v>09049- M/S A Rob Hardware</v>
          </cell>
          <cell r="H86">
            <v>130.5</v>
          </cell>
          <cell r="I86">
            <v>0</v>
          </cell>
          <cell r="J86">
            <v>0</v>
          </cell>
          <cell r="K86">
            <v>3286327.890078905</v>
          </cell>
          <cell r="L86">
            <v>0</v>
          </cell>
          <cell r="M86">
            <v>0</v>
          </cell>
          <cell r="N86">
            <v>83.7</v>
          </cell>
          <cell r="O86">
            <v>82.83</v>
          </cell>
          <cell r="P86">
            <v>0.98960573476702507</v>
          </cell>
          <cell r="Q86">
            <v>2629062.3120631236</v>
          </cell>
          <cell r="R86">
            <v>3963844.6</v>
          </cell>
          <cell r="S86">
            <v>1.5077027964732501</v>
          </cell>
          <cell r="T86">
            <v>83.7</v>
          </cell>
          <cell r="U86">
            <v>45.997500000000002</v>
          </cell>
          <cell r="V86">
            <v>0.54955197132616485</v>
          </cell>
          <cell r="W86">
            <v>2629062.3120631236</v>
          </cell>
          <cell r="X86">
            <v>1693462.4</v>
          </cell>
          <cell r="Y86">
            <v>0.64413170894799998</v>
          </cell>
        </row>
        <row r="87">
          <cell r="E87" t="str">
            <v>Rajshahi Area</v>
          </cell>
          <cell r="F87" t="str">
            <v>Rajshahi Area</v>
          </cell>
          <cell r="G87"/>
          <cell r="H87">
            <v>1389.3029999999999</v>
          </cell>
          <cell r="I87">
            <v>931.52774999999997</v>
          </cell>
          <cell r="J87">
            <v>0.6705000637010069</v>
          </cell>
          <cell r="K87">
            <v>34986246.717780016</v>
          </cell>
          <cell r="L87">
            <v>45123809</v>
          </cell>
          <cell r="M87">
            <v>1.2897584975031937</v>
          </cell>
          <cell r="N87">
            <v>891.0702</v>
          </cell>
          <cell r="O87">
            <v>1064.73</v>
          </cell>
          <cell r="P87">
            <v>1.1948890222117181</v>
          </cell>
          <cell r="Q87">
            <v>27988997.374224015</v>
          </cell>
          <cell r="R87">
            <v>30755545</v>
          </cell>
          <cell r="S87">
            <v>1.0988441132344309</v>
          </cell>
          <cell r="T87">
            <v>891.0702</v>
          </cell>
          <cell r="U87">
            <v>712.99749999999995</v>
          </cell>
          <cell r="V87">
            <v>0.80015861825476819</v>
          </cell>
          <cell r="W87">
            <v>27988997.374224015</v>
          </cell>
          <cell r="X87">
            <v>36010952</v>
          </cell>
          <cell r="Y87">
            <v>1.28661100354969</v>
          </cell>
        </row>
        <row r="88">
          <cell r="E88" t="str">
            <v>Rajshahi Sadar</v>
          </cell>
          <cell r="F88" t="str">
            <v>Poba, Rajshahi Sador</v>
          </cell>
          <cell r="G88" t="str">
            <v>09055-Sanjana Enterprise</v>
          </cell>
          <cell r="H88">
            <v>132.06599999999997</v>
          </cell>
          <cell r="I88">
            <v>0</v>
          </cell>
          <cell r="J88">
            <v>0</v>
          </cell>
          <cell r="K88">
            <v>3325763.8247598507</v>
          </cell>
          <cell r="L88">
            <v>0</v>
          </cell>
          <cell r="M88">
            <v>0</v>
          </cell>
          <cell r="N88">
            <v>84.704399999999993</v>
          </cell>
          <cell r="O88">
            <v>84.28</v>
          </cell>
          <cell r="P88">
            <v>0.99498963454082678</v>
          </cell>
          <cell r="Q88">
            <v>2660611.0598078812</v>
          </cell>
          <cell r="R88">
            <v>4792853.4000000004</v>
          </cell>
          <cell r="S88">
            <v>1.8014107632650693</v>
          </cell>
          <cell r="T88">
            <v>84.704399999999993</v>
          </cell>
          <cell r="U88">
            <v>43.397500000000001</v>
          </cell>
          <cell r="V88">
            <v>0.51234056318207799</v>
          </cell>
          <cell r="W88">
            <v>2660611.0598078812</v>
          </cell>
          <cell r="X88">
            <v>1490582.4</v>
          </cell>
          <cell r="Y88">
            <v>0.56024062386166007</v>
          </cell>
        </row>
        <row r="89">
          <cell r="E89" t="str">
            <v>Mohanpur</v>
          </cell>
          <cell r="F89" t="str">
            <v>Mohonpur,Tanor</v>
          </cell>
          <cell r="G89" t="str">
            <v>09055-Sanjana Enterprise</v>
          </cell>
          <cell r="H89">
            <v>274.04999999999995</v>
          </cell>
          <cell r="I89">
            <v>0</v>
          </cell>
          <cell r="J89">
            <v>0</v>
          </cell>
          <cell r="K89">
            <v>6901288.5691656992</v>
          </cell>
          <cell r="L89">
            <v>0</v>
          </cell>
          <cell r="M89">
            <v>0</v>
          </cell>
          <cell r="N89">
            <v>175.77</v>
          </cell>
          <cell r="O89">
            <v>172.78</v>
          </cell>
          <cell r="P89">
            <v>0.98298913352676787</v>
          </cell>
          <cell r="Q89">
            <v>5521030.8553325599</v>
          </cell>
          <cell r="R89">
            <v>9825349.4700000007</v>
          </cell>
          <cell r="S89">
            <v>1.7796222711760536</v>
          </cell>
          <cell r="T89">
            <v>175.77</v>
          </cell>
          <cell r="U89">
            <v>88.962500000000006</v>
          </cell>
          <cell r="V89">
            <v>0.50613017010866479</v>
          </cell>
          <cell r="W89">
            <v>5521030.8553325599</v>
          </cell>
          <cell r="X89">
            <v>3055693.92</v>
          </cell>
          <cell r="Y89">
            <v>0.55346438012542853</v>
          </cell>
        </row>
        <row r="90">
          <cell r="E90" t="str">
            <v>Shibganj_Chapai</v>
          </cell>
          <cell r="F90" t="str">
            <v>Shibgonj,Bolahat</v>
          </cell>
          <cell r="G90" t="str">
            <v>09055-Sanjana Enterprise</v>
          </cell>
          <cell r="H90">
            <v>129.19499999999999</v>
          </cell>
          <cell r="I90">
            <v>0</v>
          </cell>
          <cell r="J90">
            <v>0</v>
          </cell>
          <cell r="K90">
            <v>3253464.6111781155</v>
          </cell>
          <cell r="L90">
            <v>0</v>
          </cell>
          <cell r="M90">
            <v>0</v>
          </cell>
          <cell r="N90">
            <v>82.863</v>
          </cell>
          <cell r="O90">
            <v>80.069999999999993</v>
          </cell>
          <cell r="P90">
            <v>0.96629376199268668</v>
          </cell>
          <cell r="Q90">
            <v>2602771.688942492</v>
          </cell>
          <cell r="R90">
            <v>4553210.7300000004</v>
          </cell>
          <cell r="S90">
            <v>1.7493700078818566</v>
          </cell>
          <cell r="T90">
            <v>82.863</v>
          </cell>
          <cell r="U90">
            <v>41.227499999999999</v>
          </cell>
          <cell r="V90">
            <v>0.4975381050649868</v>
          </cell>
          <cell r="W90">
            <v>2602771.688942492</v>
          </cell>
          <cell r="X90">
            <v>1416053.28</v>
          </cell>
          <cell r="Y90">
            <v>0.54405589472787896</v>
          </cell>
        </row>
        <row r="91">
          <cell r="E91" t="str">
            <v>Godagari</v>
          </cell>
          <cell r="F91" t="str">
            <v>Godhagari</v>
          </cell>
          <cell r="G91" t="str">
            <v>09055-Sanjana Enterprise</v>
          </cell>
          <cell r="H91">
            <v>71.774999999999991</v>
          </cell>
          <cell r="I91">
            <v>0</v>
          </cell>
          <cell r="J91">
            <v>0</v>
          </cell>
          <cell r="K91">
            <v>1807480.3395433973</v>
          </cell>
          <cell r="L91">
            <v>0</v>
          </cell>
          <cell r="M91">
            <v>0</v>
          </cell>
          <cell r="N91">
            <v>46.034999999999997</v>
          </cell>
          <cell r="O91">
            <v>42.14</v>
          </cell>
          <cell r="P91">
            <v>0.91539046377756061</v>
          </cell>
          <cell r="Q91">
            <v>1445984.2716347182</v>
          </cell>
          <cell r="R91">
            <v>2396426.7000000002</v>
          </cell>
          <cell r="S91">
            <v>1.6572979022038636</v>
          </cell>
          <cell r="T91">
            <v>46.034999999999997</v>
          </cell>
          <cell r="U91">
            <v>21.697500000000002</v>
          </cell>
          <cell r="V91">
            <v>0.47132616487455203</v>
          </cell>
          <cell r="W91">
            <v>1445984.2716347179</v>
          </cell>
          <cell r="X91">
            <v>745291.2</v>
          </cell>
          <cell r="Y91">
            <v>0.51542137395272725</v>
          </cell>
        </row>
        <row r="92">
          <cell r="E92" t="str">
            <v>Chapai sadar</v>
          </cell>
          <cell r="F92" t="str">
            <v>Chapainowabgonj Sador</v>
          </cell>
          <cell r="G92" t="str">
            <v>09055-Sanjana Enterprise</v>
          </cell>
          <cell r="H92">
            <v>66.989999999999995</v>
          </cell>
          <cell r="I92">
            <v>360.95625000000001</v>
          </cell>
          <cell r="J92">
            <v>5.3882109270040308</v>
          </cell>
          <cell r="K92">
            <v>1686981.6502405042</v>
          </cell>
          <cell r="L92">
            <v>14867775</v>
          </cell>
          <cell r="M92">
            <v>8.8132404984253263</v>
          </cell>
          <cell r="N92">
            <v>42.966000000000001</v>
          </cell>
          <cell r="O92">
            <v>42.14</v>
          </cell>
          <cell r="P92">
            <v>0.98077549690452914</v>
          </cell>
          <cell r="Q92">
            <v>1349585.3201924036</v>
          </cell>
          <cell r="R92">
            <v>2396426.7000000002</v>
          </cell>
          <cell r="S92">
            <v>1.7756763237898538</v>
          </cell>
          <cell r="T92">
            <v>42.966000000000001</v>
          </cell>
          <cell r="U92">
            <v>21.697500000000002</v>
          </cell>
          <cell r="V92">
            <v>0.50499231950844858</v>
          </cell>
          <cell r="W92">
            <v>1349585.3201924036</v>
          </cell>
          <cell r="X92">
            <v>745291.2</v>
          </cell>
          <cell r="Y92">
            <v>0.55223718637792196</v>
          </cell>
        </row>
        <row r="93">
          <cell r="E93" t="str">
            <v>Gomastapur</v>
          </cell>
          <cell r="F93" t="str">
            <v>Gomostapur,Nochal</v>
          </cell>
          <cell r="G93" t="str">
            <v>09047-M/S Masum Enterprise, 09013-Shapon Enterprise</v>
          </cell>
          <cell r="H93">
            <v>326.25</v>
          </cell>
          <cell r="I93">
            <v>361.18240000000003</v>
          </cell>
          <cell r="J93">
            <v>1.1070724904214559</v>
          </cell>
          <cell r="K93">
            <v>8215819.7251972621</v>
          </cell>
          <cell r="L93">
            <v>15439727</v>
          </cell>
          <cell r="M93">
            <v>1.8792679874228</v>
          </cell>
          <cell r="N93">
            <v>209.25</v>
          </cell>
          <cell r="O93">
            <v>288.7</v>
          </cell>
          <cell r="P93">
            <v>1.379689366786141</v>
          </cell>
          <cell r="Q93">
            <v>6572655.7801578101</v>
          </cell>
          <cell r="R93">
            <v>8384489</v>
          </cell>
          <cell r="S93">
            <v>1.2756622711494998</v>
          </cell>
          <cell r="T93">
            <v>209.25</v>
          </cell>
          <cell r="U93">
            <v>216.85749999999999</v>
          </cell>
          <cell r="V93">
            <v>1.0363560334528077</v>
          </cell>
          <cell r="W93">
            <v>6572655.7801578101</v>
          </cell>
          <cell r="X93">
            <v>13121476</v>
          </cell>
          <cell r="Y93">
            <v>1.9963735267579998</v>
          </cell>
        </row>
        <row r="94">
          <cell r="E94" t="str">
            <v>Chapainawabganj Area</v>
          </cell>
          <cell r="F94" t="str">
            <v>Chapai Area</v>
          </cell>
          <cell r="G94"/>
          <cell r="H94">
            <v>1000.3259999999999</v>
          </cell>
          <cell r="I94">
            <v>722.1386500000001</v>
          </cell>
          <cell r="J94">
            <v>0.72190330952109627</v>
          </cell>
          <cell r="K94">
            <v>25190798.720084827</v>
          </cell>
          <cell r="L94">
            <v>30307502</v>
          </cell>
          <cell r="M94">
            <v>1.203117945435989</v>
          </cell>
          <cell r="N94">
            <v>641.58839999999998</v>
          </cell>
          <cell r="O94">
            <v>710.1099999999999</v>
          </cell>
          <cell r="P94">
            <v>1.1067999359090657</v>
          </cell>
          <cell r="Q94">
            <v>20152638.976067863</v>
          </cell>
          <cell r="R94">
            <v>32348756</v>
          </cell>
          <cell r="S94">
            <v>1.6051870942766135</v>
          </cell>
          <cell r="T94">
            <v>641.58839999999998</v>
          </cell>
          <cell r="U94">
            <v>433.84</v>
          </cell>
          <cell r="V94">
            <v>0.67619676415596042</v>
          </cell>
          <cell r="W94">
            <v>20152638.976067863</v>
          </cell>
          <cell r="X94">
            <v>20574388</v>
          </cell>
          <cell r="Y94">
            <v>1.0209277318187946</v>
          </cell>
        </row>
        <row r="95">
          <cell r="E95" t="str">
            <v>Sirajganj Sadar</v>
          </cell>
          <cell r="F95" t="str">
            <v>Sirajganj, Kamarkhondho</v>
          </cell>
          <cell r="G95" t="str">
            <v xml:space="preserve">09001-M/S-Sohel Traders </v>
          </cell>
          <cell r="H95">
            <v>93.96</v>
          </cell>
          <cell r="I95">
            <v>133.43924999999999</v>
          </cell>
          <cell r="J95">
            <v>1.4201708173690932</v>
          </cell>
          <cell r="K95">
            <v>2366156.0808568117</v>
          </cell>
          <cell r="L95">
            <v>10224000</v>
          </cell>
          <cell r="M95">
            <v>4.3209321999999997</v>
          </cell>
          <cell r="N95">
            <v>60.264000000000003</v>
          </cell>
          <cell r="O95">
            <v>35.92</v>
          </cell>
          <cell r="P95">
            <v>0.59604407274658167</v>
          </cell>
          <cell r="Q95">
            <v>1892924.8646854493</v>
          </cell>
          <cell r="R95">
            <v>495000</v>
          </cell>
          <cell r="S95">
            <v>0.26150007812499998</v>
          </cell>
          <cell r="T95">
            <v>60.264000000000003</v>
          </cell>
          <cell r="U95">
            <v>44.875</v>
          </cell>
          <cell r="V95">
            <v>0.74464024956856489</v>
          </cell>
          <cell r="W95">
            <v>1892924.8646854493</v>
          </cell>
          <cell r="X95">
            <v>1590000</v>
          </cell>
          <cell r="Y95">
            <v>0.83996994791666657</v>
          </cell>
        </row>
        <row r="96">
          <cell r="E96" t="str">
            <v>Belkuchi</v>
          </cell>
          <cell r="F96" t="str">
            <v>Belkuchi, Anayatpur</v>
          </cell>
          <cell r="G96" t="str">
            <v xml:space="preserve">09001-M/S-Sohel Traders </v>
          </cell>
          <cell r="H96">
            <v>33.277499999999996</v>
          </cell>
          <cell r="I96">
            <v>0</v>
          </cell>
          <cell r="J96">
            <v>0</v>
          </cell>
          <cell r="K96">
            <v>838013.61197012058</v>
          </cell>
          <cell r="L96">
            <v>0</v>
          </cell>
          <cell r="M96">
            <v>0</v>
          </cell>
          <cell r="N96">
            <v>21.343499999999999</v>
          </cell>
          <cell r="O96">
            <v>13.06</v>
          </cell>
          <cell r="P96">
            <v>0.61189589336331907</v>
          </cell>
          <cell r="Q96">
            <v>670410.88957609655</v>
          </cell>
          <cell r="R96">
            <v>180000</v>
          </cell>
          <cell r="S96">
            <v>0.26849205882352939</v>
          </cell>
          <cell r="T96">
            <v>21.343499999999999</v>
          </cell>
          <cell r="U96">
            <v>16.087499999999999</v>
          </cell>
          <cell r="V96">
            <v>0.75374235715791693</v>
          </cell>
          <cell r="W96">
            <v>670410.88957609644</v>
          </cell>
          <cell r="X96">
            <v>570000</v>
          </cell>
          <cell r="Y96">
            <v>0.85022485294117667</v>
          </cell>
        </row>
        <row r="97">
          <cell r="E97" t="str">
            <v>Kazipur</v>
          </cell>
          <cell r="F97" t="str">
            <v>Kazipur</v>
          </cell>
          <cell r="G97" t="str">
            <v xml:space="preserve">09001-M/S-Sohel Traders </v>
          </cell>
          <cell r="H97">
            <v>48.9375</v>
          </cell>
          <cell r="I97">
            <v>0</v>
          </cell>
          <cell r="J97">
            <v>0</v>
          </cell>
          <cell r="K97">
            <v>1232372.9587795893</v>
          </cell>
          <cell r="L97">
            <v>0</v>
          </cell>
          <cell r="M97">
            <v>0</v>
          </cell>
          <cell r="N97">
            <v>31.387499999999999</v>
          </cell>
          <cell r="O97">
            <v>18.5</v>
          </cell>
          <cell r="P97">
            <v>0.58940661091198732</v>
          </cell>
          <cell r="Q97">
            <v>985898.36702367151</v>
          </cell>
          <cell r="R97">
            <v>255000</v>
          </cell>
          <cell r="S97">
            <v>0.25864735</v>
          </cell>
          <cell r="T97">
            <v>31.387499999999999</v>
          </cell>
          <cell r="U97">
            <v>23.7075</v>
          </cell>
          <cell r="V97">
            <v>0.75531660692951019</v>
          </cell>
          <cell r="W97">
            <v>985898.36702367128</v>
          </cell>
          <cell r="X97">
            <v>840000</v>
          </cell>
          <cell r="Y97">
            <v>0.85201480000000007</v>
          </cell>
        </row>
        <row r="98">
          <cell r="E98" t="str">
            <v>Bera</v>
          </cell>
          <cell r="F98" t="str">
            <v>Bera, Sathia</v>
          </cell>
          <cell r="G98" t="str">
            <v xml:space="preserve">09002-M/s Shaha traders </v>
          </cell>
          <cell r="H98">
            <v>57.942</v>
          </cell>
          <cell r="I98">
            <v>0</v>
          </cell>
          <cell r="J98">
            <v>0</v>
          </cell>
          <cell r="K98">
            <v>1459129.5831950337</v>
          </cell>
          <cell r="L98">
            <v>0</v>
          </cell>
          <cell r="M98">
            <v>0</v>
          </cell>
          <cell r="N98">
            <v>37.162800000000004</v>
          </cell>
          <cell r="O98">
            <v>85.1</v>
          </cell>
          <cell r="P98">
            <v>2.2899243329350853</v>
          </cell>
          <cell r="Q98">
            <v>1167303.666556027</v>
          </cell>
          <cell r="R98">
            <v>2528577.42</v>
          </cell>
          <cell r="S98">
            <v>2.1661693460282092</v>
          </cell>
          <cell r="T98">
            <v>37.162800000000004</v>
          </cell>
          <cell r="U98">
            <v>22.33</v>
          </cell>
          <cell r="V98">
            <v>0.60086968689119213</v>
          </cell>
          <cell r="W98">
            <v>1167303.666556027</v>
          </cell>
          <cell r="X98">
            <v>1503659.5</v>
          </cell>
          <cell r="Y98">
            <v>1.2881476714935247</v>
          </cell>
        </row>
        <row r="99">
          <cell r="E99" t="str">
            <v>Ullapara</v>
          </cell>
          <cell r="F99" t="str">
            <v>Ullapar, Sahajadpur</v>
          </cell>
          <cell r="G99" t="str">
            <v xml:space="preserve">09002-M/s Shaha traders </v>
          </cell>
          <cell r="H99">
            <v>84.824999999999989</v>
          </cell>
          <cell r="I99">
            <v>242.613</v>
          </cell>
          <cell r="J99">
            <v>2.8601591511936344</v>
          </cell>
          <cell r="K99">
            <v>2136113.128551288</v>
          </cell>
          <cell r="L99">
            <v>10572760</v>
          </cell>
          <cell r="M99">
            <v>4.9495318664000001</v>
          </cell>
          <cell r="N99">
            <v>54.405000000000001</v>
          </cell>
          <cell r="O99">
            <v>122.46</v>
          </cell>
          <cell r="P99">
            <v>2.2508960573476702</v>
          </cell>
          <cell r="Q99">
            <v>1708890.5028410302</v>
          </cell>
          <cell r="R99">
            <v>3638684.58</v>
          </cell>
          <cell r="S99">
            <v>2.1292672491015003</v>
          </cell>
          <cell r="T99">
            <v>54.405000000000001</v>
          </cell>
          <cell r="U99">
            <v>33.01</v>
          </cell>
          <cell r="V99">
            <v>0.60674570351989698</v>
          </cell>
          <cell r="W99">
            <v>1708890.5028410302</v>
          </cell>
          <cell r="X99">
            <v>2222801</v>
          </cell>
          <cell r="Y99">
            <v>1.3007275751750003</v>
          </cell>
        </row>
        <row r="100">
          <cell r="E100" t="str">
            <v>Tarash</v>
          </cell>
          <cell r="F100" t="str">
            <v>Taras,Solonga, Raigonj</v>
          </cell>
          <cell r="G100" t="str">
            <v xml:space="preserve">09001-M/S-Sohel Traders </v>
          </cell>
          <cell r="H100">
            <v>109.61999999999999</v>
          </cell>
          <cell r="I100">
            <v>0</v>
          </cell>
          <cell r="J100">
            <v>0</v>
          </cell>
          <cell r="K100">
            <v>2760515.42766628</v>
          </cell>
          <cell r="L100">
            <v>0</v>
          </cell>
          <cell r="M100">
            <v>0</v>
          </cell>
          <cell r="N100">
            <v>70.307999999999993</v>
          </cell>
          <cell r="O100">
            <v>41.36</v>
          </cell>
          <cell r="P100">
            <v>0.58826876031177111</v>
          </cell>
          <cell r="Q100">
            <v>2208412.3421330238</v>
          </cell>
          <cell r="R100">
            <v>570000</v>
          </cell>
          <cell r="S100">
            <v>0.25810397321428574</v>
          </cell>
          <cell r="T100">
            <v>70.307999999999993</v>
          </cell>
          <cell r="U100">
            <v>41.75</v>
          </cell>
          <cell r="V100">
            <v>0.59381578198782503</v>
          </cell>
          <cell r="W100">
            <v>2208412.3421330233</v>
          </cell>
          <cell r="X100">
            <v>2811189.5</v>
          </cell>
          <cell r="Y100">
            <v>1.2729459287864586</v>
          </cell>
        </row>
        <row r="101">
          <cell r="E101" t="str">
            <v>Sirajgonj Area</v>
          </cell>
          <cell r="F101" t="str">
            <v>Sirajgonj Area</v>
          </cell>
          <cell r="G101"/>
          <cell r="H101">
            <v>428.56200000000001</v>
          </cell>
          <cell r="I101">
            <v>376.05224999999996</v>
          </cell>
          <cell r="J101">
            <v>0.87747455444019751</v>
          </cell>
          <cell r="K101">
            <v>10792300.791019123</v>
          </cell>
          <cell r="L101">
            <v>20796760</v>
          </cell>
          <cell r="M101">
            <v>1.926999664177832</v>
          </cell>
          <cell r="N101">
            <v>274.87080000000003</v>
          </cell>
          <cell r="O101">
            <v>316.39999999999998</v>
          </cell>
          <cell r="P101">
            <v>1.151086255797269</v>
          </cell>
          <cell r="Q101">
            <v>8633840.6328152977</v>
          </cell>
          <cell r="R101">
            <v>7667262</v>
          </cell>
          <cell r="S101">
            <v>0.88804766338383079</v>
          </cell>
          <cell r="T101">
            <v>274.87080000000003</v>
          </cell>
          <cell r="U101">
            <v>181.76</v>
          </cell>
          <cell r="V101">
            <v>0.66125612469567507</v>
          </cell>
          <cell r="W101">
            <v>8633840.6328152977</v>
          </cell>
          <cell r="X101">
            <v>9537650</v>
          </cell>
          <cell r="Y101">
            <v>1.104682192505329</v>
          </cell>
        </row>
        <row r="102">
          <cell r="E102" t="str">
            <v>Sujanagar</v>
          </cell>
          <cell r="F102" t="str">
            <v>Sujanagar,Ataikula</v>
          </cell>
          <cell r="G102" t="str">
            <v xml:space="preserve">09050-M/S Kazi Tuhorol Islam </v>
          </cell>
          <cell r="H102">
            <v>132.23999999999998</v>
          </cell>
          <cell r="I102">
            <v>0</v>
          </cell>
          <cell r="J102">
            <v>0</v>
          </cell>
          <cell r="K102">
            <v>3330145.5952799562</v>
          </cell>
          <cell r="L102">
            <v>0</v>
          </cell>
          <cell r="M102">
            <v>0</v>
          </cell>
          <cell r="N102">
            <v>84.816000000000003</v>
          </cell>
          <cell r="O102">
            <v>92.48</v>
          </cell>
          <cell r="P102">
            <v>1.0903603093755896</v>
          </cell>
          <cell r="Q102">
            <v>2664116.4762239656</v>
          </cell>
          <cell r="R102">
            <v>3601581.75</v>
          </cell>
          <cell r="S102">
            <v>1.3518859937778576</v>
          </cell>
          <cell r="T102">
            <v>84.816000000000003</v>
          </cell>
          <cell r="U102">
            <v>49.3125</v>
          </cell>
          <cell r="V102">
            <v>0.58140563101301634</v>
          </cell>
          <cell r="W102">
            <v>2664116.4762239656</v>
          </cell>
          <cell r="X102">
            <v>3135673.8</v>
          </cell>
          <cell r="Y102">
            <v>1.1770032684323188</v>
          </cell>
        </row>
        <row r="103">
          <cell r="E103" t="str">
            <v>Pabna Sadar</v>
          </cell>
          <cell r="F103" t="str">
            <v>Pabna Sador</v>
          </cell>
          <cell r="G103" t="str">
            <v xml:space="preserve">09050-M/S Kazi Tuhorol Islam </v>
          </cell>
          <cell r="H103">
            <v>125.27999999999999</v>
          </cell>
          <cell r="I103">
            <v>144.79225</v>
          </cell>
          <cell r="J103">
            <v>1.1557491219667944</v>
          </cell>
          <cell r="K103">
            <v>3154874.7744757482</v>
          </cell>
          <cell r="L103">
            <v>6856640</v>
          </cell>
          <cell r="M103">
            <v>2.1733477523333335</v>
          </cell>
          <cell r="N103">
            <v>80.352000000000004</v>
          </cell>
          <cell r="O103">
            <v>88.85</v>
          </cell>
          <cell r="P103">
            <v>1.1057596575069693</v>
          </cell>
          <cell r="Q103">
            <v>2523899.8195805992</v>
          </cell>
          <cell r="R103">
            <v>3460343.25</v>
          </cell>
          <cell r="S103">
            <v>1.3710303488095701</v>
          </cell>
          <cell r="T103">
            <v>80.352000000000004</v>
          </cell>
          <cell r="U103">
            <v>47.377499999999998</v>
          </cell>
          <cell r="V103">
            <v>0.58962440262843485</v>
          </cell>
          <cell r="W103">
            <v>2523899.8195805992</v>
          </cell>
          <cell r="X103">
            <v>3012706.2</v>
          </cell>
          <cell r="Y103">
            <v>1.1936710707085936</v>
          </cell>
        </row>
        <row r="104">
          <cell r="E104" t="str">
            <v>Lalpur</v>
          </cell>
          <cell r="F104" t="str">
            <v>Lalpur, Baraigram</v>
          </cell>
          <cell r="G104" t="str">
            <v>09004-M/S Adi Shaha trading</v>
          </cell>
          <cell r="H104">
            <v>306.02249999999998</v>
          </cell>
          <cell r="I104">
            <v>0</v>
          </cell>
          <cell r="J104">
            <v>0</v>
          </cell>
          <cell r="K104">
            <v>7706438.9022350311</v>
          </cell>
          <cell r="L104">
            <v>0</v>
          </cell>
          <cell r="M104">
            <v>0</v>
          </cell>
          <cell r="N104">
            <v>196.2765</v>
          </cell>
          <cell r="O104">
            <v>240.39</v>
          </cell>
          <cell r="P104">
            <v>1.2247518169521057</v>
          </cell>
          <cell r="Q104">
            <v>6165151.1217880258</v>
          </cell>
          <cell r="R104">
            <v>6451608.5999999996</v>
          </cell>
          <cell r="S104">
            <v>1.0464639832103411</v>
          </cell>
          <cell r="T104">
            <v>196.2765</v>
          </cell>
          <cell r="U104">
            <v>131.26</v>
          </cell>
          <cell r="V104">
            <v>0.66875046172109243</v>
          </cell>
          <cell r="W104">
            <v>6165151.1217880258</v>
          </cell>
          <cell r="X104">
            <v>5827230</v>
          </cell>
          <cell r="Y104">
            <v>0.94518850955756917</v>
          </cell>
        </row>
        <row r="105">
          <cell r="E105" t="str">
            <v>Bhangura</v>
          </cell>
          <cell r="F105" t="str">
            <v>Bangura, Faridpur</v>
          </cell>
          <cell r="G105" t="str">
            <v>09004-M/S Adi Shaha trading</v>
          </cell>
          <cell r="H105">
            <v>66.11999999999999</v>
          </cell>
          <cell r="I105">
            <v>0</v>
          </cell>
          <cell r="J105">
            <v>0</v>
          </cell>
          <cell r="K105">
            <v>1665072.7976399781</v>
          </cell>
          <cell r="L105">
            <v>0</v>
          </cell>
          <cell r="M105">
            <v>0</v>
          </cell>
          <cell r="N105">
            <v>42.408000000000001</v>
          </cell>
          <cell r="O105">
            <v>53.42</v>
          </cell>
          <cell r="P105">
            <v>1.2596679871722316</v>
          </cell>
          <cell r="Q105">
            <v>1332058.2381119828</v>
          </cell>
          <cell r="R105">
            <v>1433690.8</v>
          </cell>
          <cell r="S105">
            <v>1.0762973862404606</v>
          </cell>
          <cell r="T105">
            <v>42.408000000000001</v>
          </cell>
          <cell r="U105">
            <v>29.17</v>
          </cell>
          <cell r="V105">
            <v>0.68784191661950578</v>
          </cell>
          <cell r="W105">
            <v>1332058.2381119828</v>
          </cell>
          <cell r="X105">
            <v>1294940</v>
          </cell>
          <cell r="Y105">
            <v>0.97213467320723679</v>
          </cell>
        </row>
        <row r="106">
          <cell r="E106" t="str">
            <v>Ishwardi</v>
          </cell>
          <cell r="F106" t="str">
            <v>Ishwardi</v>
          </cell>
          <cell r="G106" t="str">
            <v>09004-M/S Adi Shaha trading</v>
          </cell>
          <cell r="H106">
            <v>104.39999999999999</v>
          </cell>
          <cell r="I106">
            <v>0</v>
          </cell>
          <cell r="J106">
            <v>0</v>
          </cell>
          <cell r="K106">
            <v>2629062.3120631236</v>
          </cell>
          <cell r="L106">
            <v>0</v>
          </cell>
          <cell r="M106">
            <v>0</v>
          </cell>
          <cell r="N106">
            <v>66.959999999999994</v>
          </cell>
          <cell r="O106">
            <v>85.47</v>
          </cell>
          <cell r="P106">
            <v>1.2764336917562724</v>
          </cell>
          <cell r="Q106">
            <v>2103249.8496504985</v>
          </cell>
          <cell r="R106">
            <v>2293905.2799999998</v>
          </cell>
          <cell r="S106">
            <v>1.0906480180570002</v>
          </cell>
          <cell r="T106">
            <v>66.959999999999994</v>
          </cell>
          <cell r="U106">
            <v>46.67</v>
          </cell>
          <cell r="V106">
            <v>0.69698327359617696</v>
          </cell>
          <cell r="W106">
            <v>2103249.8496504985</v>
          </cell>
          <cell r="X106">
            <v>2071904</v>
          </cell>
          <cell r="Y106">
            <v>0.98509646885000024</v>
          </cell>
        </row>
        <row r="107">
          <cell r="E107" t="str">
            <v>Chatmohar</v>
          </cell>
          <cell r="F107" t="str">
            <v>Chatmohor, Atgoria</v>
          </cell>
          <cell r="G107" t="str">
            <v>09004-M/S Adi Shaha trading</v>
          </cell>
          <cell r="H107">
            <v>195.75</v>
          </cell>
          <cell r="I107">
            <v>424.27475000000004</v>
          </cell>
          <cell r="J107">
            <v>2.1674316730523628</v>
          </cell>
          <cell r="K107">
            <v>4929491.8351183571</v>
          </cell>
          <cell r="L107">
            <v>18898920</v>
          </cell>
          <cell r="M107">
            <v>3.8338475104800001</v>
          </cell>
          <cell r="N107">
            <v>125.55</v>
          </cell>
          <cell r="O107">
            <v>154.91999999999999</v>
          </cell>
          <cell r="P107">
            <v>1.2339307048984467</v>
          </cell>
          <cell r="Q107">
            <v>3943593.468094686</v>
          </cell>
          <cell r="R107">
            <v>4157703.32</v>
          </cell>
          <cell r="S107">
            <v>1.0542930841217666</v>
          </cell>
          <cell r="T107">
            <v>125.55</v>
          </cell>
          <cell r="U107">
            <v>84.59</v>
          </cell>
          <cell r="V107">
            <v>0.67375547590601359</v>
          </cell>
          <cell r="W107">
            <v>3943593.4680946851</v>
          </cell>
          <cell r="X107">
            <v>3755326</v>
          </cell>
          <cell r="Y107">
            <v>0.95225991988833347</v>
          </cell>
        </row>
        <row r="108">
          <cell r="E108" t="str">
            <v>Pabna Area</v>
          </cell>
          <cell r="F108" t="str">
            <v>Pabna Area</v>
          </cell>
          <cell r="G108"/>
          <cell r="H108">
            <v>929.8125</v>
          </cell>
          <cell r="I108">
            <v>569.06700000000001</v>
          </cell>
          <cell r="J108">
            <v>0.61202339181286547</v>
          </cell>
          <cell r="K108">
            <v>23415086.216812193</v>
          </cell>
          <cell r="L108">
            <v>25755560</v>
          </cell>
          <cell r="M108">
            <v>1.099955804625965</v>
          </cell>
          <cell r="N108">
            <v>596.36249999999995</v>
          </cell>
          <cell r="O108">
            <v>715.53</v>
          </cell>
          <cell r="P108">
            <v>1.1998239325913349</v>
          </cell>
          <cell r="Q108">
            <v>18732068.973449759</v>
          </cell>
          <cell r="R108">
            <v>21398833</v>
          </cell>
          <cell r="S108">
            <v>1.1423635600707016</v>
          </cell>
          <cell r="T108">
            <v>596.36249999999995</v>
          </cell>
          <cell r="U108">
            <v>388.38</v>
          </cell>
          <cell r="V108">
            <v>0.65124819216500041</v>
          </cell>
          <cell r="W108">
            <v>18732068.973449755</v>
          </cell>
          <cell r="X108">
            <v>19097780</v>
          </cell>
          <cell r="Y108">
            <v>1.0195232585929825</v>
          </cell>
        </row>
        <row r="109">
          <cell r="E109" t="str">
            <v>Rajshahi Zone</v>
          </cell>
          <cell r="F109"/>
          <cell r="G109"/>
          <cell r="H109">
            <v>7251.7979999999989</v>
          </cell>
          <cell r="I109">
            <v>5628.8833999999997</v>
          </cell>
          <cell r="J109">
            <v>0.77620521145238752</v>
          </cell>
          <cell r="K109">
            <v>182619049.9664247</v>
          </cell>
          <cell r="L109">
            <v>243526599</v>
          </cell>
          <cell r="M109">
            <v>1.3335224284912961</v>
          </cell>
          <cell r="N109">
            <v>4651.1532000000007</v>
          </cell>
          <cell r="O109">
            <v>4564.99</v>
          </cell>
          <cell r="P109">
            <v>0.98147487380118958</v>
          </cell>
          <cell r="Q109">
            <v>146095239.97313976</v>
          </cell>
          <cell r="R109">
            <v>142111588</v>
          </cell>
          <cell r="S109">
            <v>0.97273249988245902</v>
          </cell>
          <cell r="T109">
            <v>4651.1532000000007</v>
          </cell>
          <cell r="U109">
            <v>3116.605</v>
          </cell>
          <cell r="V109">
            <v>0.67007145668734358</v>
          </cell>
          <cell r="W109">
            <v>146095239.97313973</v>
          </cell>
          <cell r="X109">
            <v>151627145</v>
          </cell>
          <cell r="Y109">
            <v>1.0378650599970083</v>
          </cell>
        </row>
        <row r="110">
          <cell r="E110" t="str">
            <v>North Division</v>
          </cell>
          <cell r="F110"/>
          <cell r="G110"/>
          <cell r="H110">
            <v>17761.310999999998</v>
          </cell>
          <cell r="I110">
            <v>12778.140149999999</v>
          </cell>
          <cell r="J110">
            <v>0.71943676623870845</v>
          </cell>
          <cell r="K110">
            <v>447275798.4955191</v>
          </cell>
          <cell r="L110">
            <v>557767272.50999999</v>
          </cell>
          <cell r="M110">
            <v>1.247032087106291</v>
          </cell>
          <cell r="N110">
            <v>11391.7374</v>
          </cell>
          <cell r="O110">
            <v>11393.18</v>
          </cell>
          <cell r="P110">
            <v>1.0001266356438308</v>
          </cell>
          <cell r="Q110">
            <v>357820638.79641533</v>
          </cell>
          <cell r="R110">
            <v>331234301</v>
          </cell>
          <cell r="S110">
            <v>0.92569926126720203</v>
          </cell>
          <cell r="T110">
            <v>11391.7374</v>
          </cell>
          <cell r="U110">
            <v>7158.5375000000004</v>
          </cell>
          <cell r="V110">
            <v>0.62839734174349915</v>
          </cell>
          <cell r="W110">
            <v>357820638.79641521</v>
          </cell>
          <cell r="X110">
            <v>369648164</v>
          </cell>
          <cell r="Y110">
            <v>1.0330543404186201</v>
          </cell>
        </row>
        <row r="111">
          <cell r="E111" t="str">
            <v xml:space="preserve">Kushtia Sadar </v>
          </cell>
          <cell r="F111" t="str">
            <v xml:space="preserve">Kushtia Sadar, Mirpur </v>
          </cell>
          <cell r="G111" t="str">
            <v>04017:M/S SMG Rosul Enterprise, 04040-Arob Rokomari Store</v>
          </cell>
          <cell r="H111">
            <v>84.564000000000007</v>
          </cell>
          <cell r="I111">
            <v>24.158750000000001</v>
          </cell>
          <cell r="J111">
            <v>0.28568598930987182</v>
          </cell>
          <cell r="K111">
            <v>2129540.4727711305</v>
          </cell>
          <cell r="L111">
            <v>1900000</v>
          </cell>
          <cell r="M111">
            <v>0.89221126543209872</v>
          </cell>
          <cell r="N111">
            <v>54.2376</v>
          </cell>
          <cell r="O111">
            <v>85.1</v>
          </cell>
          <cell r="P111">
            <v>1.5690222281221882</v>
          </cell>
          <cell r="Q111">
            <v>1703632.3782169044</v>
          </cell>
          <cell r="R111">
            <v>4225000</v>
          </cell>
          <cell r="S111">
            <v>2.4799951292438269</v>
          </cell>
          <cell r="T111">
            <v>54.2376</v>
          </cell>
          <cell r="U111">
            <v>73.122500000000002</v>
          </cell>
          <cell r="V111">
            <v>1.3481883416670355</v>
          </cell>
          <cell r="W111">
            <v>1703632.3782169041</v>
          </cell>
          <cell r="X111">
            <v>3000000</v>
          </cell>
          <cell r="Y111">
            <v>1.7609432870370372</v>
          </cell>
        </row>
        <row r="112">
          <cell r="E112" t="str">
            <v>Kumarkhali</v>
          </cell>
          <cell r="F112" t="str">
            <v>Kumarkhali, khoksha</v>
          </cell>
          <cell r="G112" t="str">
            <v>04012:M/S Shahidul traders</v>
          </cell>
          <cell r="H112">
            <v>116.58</v>
          </cell>
          <cell r="I112">
            <v>97.262500000000003</v>
          </cell>
          <cell r="J112">
            <v>0.83429833590667357</v>
          </cell>
          <cell r="K112">
            <v>2935786.248470488</v>
          </cell>
          <cell r="L112">
            <v>4685000</v>
          </cell>
          <cell r="M112">
            <v>1.5958246287313433</v>
          </cell>
          <cell r="N112">
            <v>74.772000000000006</v>
          </cell>
          <cell r="O112">
            <v>121.29</v>
          </cell>
          <cell r="P112">
            <v>1.6221312790884288</v>
          </cell>
          <cell r="Q112">
            <v>2348628.9987763911</v>
          </cell>
          <cell r="R112">
            <v>3418726</v>
          </cell>
          <cell r="S112">
            <v>1.455626240577425</v>
          </cell>
          <cell r="T112">
            <v>74.772000000000006</v>
          </cell>
          <cell r="U112">
            <v>72.702500000000001</v>
          </cell>
          <cell r="V112">
            <v>0.9723225271492002</v>
          </cell>
          <cell r="W112">
            <v>2348628.9987763911</v>
          </cell>
          <cell r="X112">
            <v>3881700</v>
          </cell>
          <cell r="Y112">
            <v>1.6527514571361936</v>
          </cell>
        </row>
        <row r="113">
          <cell r="E113" t="str">
            <v>Daulatpur</v>
          </cell>
          <cell r="F113" t="str">
            <v xml:space="preserve">Daulatpur,Bheramara </v>
          </cell>
          <cell r="G113" t="str">
            <v>04039:M/S Atiar Hardware , 04048-M/S Zaman Traders</v>
          </cell>
          <cell r="H113">
            <v>82.649999999999991</v>
          </cell>
          <cell r="I113">
            <v>24.170500000000001</v>
          </cell>
          <cell r="J113">
            <v>0.29244404113732608</v>
          </cell>
          <cell r="K113">
            <v>2081340.9970499731</v>
          </cell>
          <cell r="L113">
            <v>2032100</v>
          </cell>
          <cell r="M113">
            <v>0.97634169647368418</v>
          </cell>
          <cell r="N113">
            <v>53.01</v>
          </cell>
          <cell r="O113">
            <v>97.28</v>
          </cell>
          <cell r="P113">
            <v>1.8351254480286738</v>
          </cell>
          <cell r="Q113">
            <v>1665072.7976399784</v>
          </cell>
          <cell r="R113">
            <v>2614000</v>
          </cell>
          <cell r="S113">
            <v>1.5699013302631579</v>
          </cell>
          <cell r="T113">
            <v>53.01</v>
          </cell>
          <cell r="U113">
            <v>24.155000000000001</v>
          </cell>
          <cell r="V113">
            <v>0.45566874174684024</v>
          </cell>
          <cell r="W113">
            <v>1665072.7976399784</v>
          </cell>
          <cell r="X113">
            <v>910000</v>
          </cell>
          <cell r="Y113">
            <v>0.54652265131578948</v>
          </cell>
        </row>
        <row r="114">
          <cell r="E114" t="str">
            <v>Damurhuda</v>
          </cell>
          <cell r="F114" t="str">
            <v xml:space="preserve">Damurhuda, Jibannagar </v>
          </cell>
          <cell r="G114" t="str">
            <v>04020-Mikail Traders (Chuadanga)-Dr.</v>
          </cell>
          <cell r="H114">
            <v>347.13</v>
          </cell>
          <cell r="I114">
            <v>85.432500000000005</v>
          </cell>
          <cell r="J114">
            <v>0.24611096707285457</v>
          </cell>
          <cell r="K114">
            <v>8741632.1876098868</v>
          </cell>
          <cell r="L114">
            <v>3541260</v>
          </cell>
          <cell r="M114">
            <v>0.40510283709022554</v>
          </cell>
          <cell r="N114">
            <v>222.642</v>
          </cell>
          <cell r="O114">
            <v>133.63999999999999</v>
          </cell>
          <cell r="P114">
            <v>0.60024613505088886</v>
          </cell>
          <cell r="Q114">
            <v>6993305.7500879094</v>
          </cell>
          <cell r="R114">
            <v>4019520</v>
          </cell>
          <cell r="S114">
            <v>0.57476680466165408</v>
          </cell>
          <cell r="T114">
            <v>222.642</v>
          </cell>
          <cell r="U114">
            <v>60.852499999999999</v>
          </cell>
          <cell r="V114">
            <v>0.27331994861706238</v>
          </cell>
          <cell r="W114">
            <v>6993305.7500879094</v>
          </cell>
          <cell r="X114">
            <v>2713940</v>
          </cell>
          <cell r="Y114">
            <v>0.38807684047932328</v>
          </cell>
        </row>
        <row r="115">
          <cell r="E115" t="str">
            <v>Meherpur Sadar</v>
          </cell>
          <cell r="F115" t="str">
            <v>Meherpur, Mujibnagar</v>
          </cell>
          <cell r="G115" t="str">
            <v>04045-M/S GN Enterprise</v>
          </cell>
          <cell r="H115">
            <v>87</v>
          </cell>
          <cell r="I115">
            <v>60.579499999999996</v>
          </cell>
          <cell r="J115">
            <v>0.69631609195402289</v>
          </cell>
          <cell r="K115">
            <v>2190885.2600526032</v>
          </cell>
          <cell r="L115">
            <v>4650000</v>
          </cell>
          <cell r="M115">
            <v>2.1224297249999999</v>
          </cell>
          <cell r="N115">
            <v>55.8</v>
          </cell>
          <cell r="O115">
            <v>91.15</v>
          </cell>
          <cell r="P115">
            <v>1.6335125448028676</v>
          </cell>
          <cell r="Q115">
            <v>1752708.2080420826</v>
          </cell>
          <cell r="R115">
            <v>3440750</v>
          </cell>
          <cell r="S115">
            <v>1.9631048592187499</v>
          </cell>
          <cell r="T115">
            <v>55.8</v>
          </cell>
          <cell r="U115">
            <v>78.922499999999999</v>
          </cell>
          <cell r="V115">
            <v>1.4143817204301077</v>
          </cell>
          <cell r="W115">
            <v>1752708.2080420826</v>
          </cell>
          <cell r="X115">
            <v>3075000</v>
          </cell>
          <cell r="Y115">
            <v>1.7544277968749999</v>
          </cell>
        </row>
        <row r="116">
          <cell r="E116" t="str">
            <v xml:space="preserve">Chuadanga sadar </v>
          </cell>
          <cell r="F116" t="str">
            <v xml:space="preserve">Chuadanga sadar, Alamdanga </v>
          </cell>
          <cell r="G116" t="str">
            <v>04047- M/S Rahaman traders</v>
          </cell>
          <cell r="H116">
            <v>174.86999999999998</v>
          </cell>
          <cell r="I116">
            <v>449.0145</v>
          </cell>
          <cell r="J116">
            <v>2.5677045805455485</v>
          </cell>
          <cell r="K116">
            <v>4403679.3727057315</v>
          </cell>
          <cell r="L116">
            <v>18295000</v>
          </cell>
          <cell r="M116">
            <v>4.1544804813432847</v>
          </cell>
          <cell r="N116">
            <v>112.158</v>
          </cell>
          <cell r="O116">
            <v>116.6</v>
          </cell>
          <cell r="P116">
            <v>1.0396048431676741</v>
          </cell>
          <cell r="Q116">
            <v>3522943.4981645858</v>
          </cell>
          <cell r="R116">
            <v>2720000</v>
          </cell>
          <cell r="S116">
            <v>0.77208164179104477</v>
          </cell>
          <cell r="T116">
            <v>112.158</v>
          </cell>
          <cell r="U116">
            <v>154.66249999999999</v>
          </cell>
          <cell r="V116">
            <v>1.378969846109952</v>
          </cell>
          <cell r="W116">
            <v>3522943.4981645853</v>
          </cell>
          <cell r="X116">
            <v>5560275</v>
          </cell>
          <cell r="Y116">
            <v>1.5783037686800376</v>
          </cell>
        </row>
        <row r="117">
          <cell r="E117" t="str">
            <v>Gangni</v>
          </cell>
          <cell r="F117" t="str">
            <v xml:space="preserve">Gangni </v>
          </cell>
          <cell r="G117" t="str">
            <v>04045-M/S GN Enterprise</v>
          </cell>
          <cell r="H117">
            <v>87</v>
          </cell>
          <cell r="I117">
            <v>0</v>
          </cell>
          <cell r="J117">
            <v>0</v>
          </cell>
          <cell r="K117">
            <v>2190885.2600526032</v>
          </cell>
          <cell r="L117">
            <v>0</v>
          </cell>
          <cell r="M117">
            <v>0</v>
          </cell>
          <cell r="N117">
            <v>55.8</v>
          </cell>
          <cell r="O117">
            <v>91.15</v>
          </cell>
          <cell r="P117">
            <v>1.6335125448028676</v>
          </cell>
          <cell r="Q117">
            <v>1752708.2080420826</v>
          </cell>
          <cell r="R117">
            <v>3440750</v>
          </cell>
          <cell r="S117">
            <v>1.9631048592187499</v>
          </cell>
          <cell r="T117">
            <v>55.8</v>
          </cell>
          <cell r="U117">
            <v>78.922499999999999</v>
          </cell>
          <cell r="V117">
            <v>1.4143817204301077</v>
          </cell>
          <cell r="W117">
            <v>1752708.2080420826</v>
          </cell>
          <cell r="X117">
            <v>3075000</v>
          </cell>
          <cell r="Y117">
            <v>1.7544277968749999</v>
          </cell>
        </row>
        <row r="118">
          <cell r="E118" t="str">
            <v>Kushtia Area</v>
          </cell>
          <cell r="F118"/>
          <cell r="G118"/>
          <cell r="H118">
            <v>979.79399999999998</v>
          </cell>
          <cell r="I118">
            <v>740.61824999999999</v>
          </cell>
          <cell r="J118">
            <v>0.75589179970483589</v>
          </cell>
          <cell r="K118">
            <v>24673749.798712417</v>
          </cell>
          <cell r="L118">
            <v>35103360</v>
          </cell>
          <cell r="M118">
            <v>1.4227006550026637</v>
          </cell>
          <cell r="N118">
            <v>628.41959999999995</v>
          </cell>
          <cell r="O118">
            <v>736.20999999999992</v>
          </cell>
          <cell r="P118">
            <v>1.1715261586366816</v>
          </cell>
          <cell r="Q118">
            <v>19738999.838969935</v>
          </cell>
          <cell r="R118">
            <v>23878746</v>
          </cell>
          <cell r="S118">
            <v>1.2097242106895978</v>
          </cell>
          <cell r="T118">
            <v>628.41959999999995</v>
          </cell>
          <cell r="U118">
            <v>543.34</v>
          </cell>
          <cell r="V118">
            <v>0.86461338888857076</v>
          </cell>
          <cell r="W118">
            <v>19738999.838969935</v>
          </cell>
          <cell r="X118">
            <v>22215915</v>
          </cell>
          <cell r="Y118">
            <v>1.1254833163400706</v>
          </cell>
        </row>
        <row r="119">
          <cell r="E119" t="str">
            <v>Magura</v>
          </cell>
          <cell r="F119" t="str">
            <v>Magura+ Sreepur</v>
          </cell>
          <cell r="G119" t="str">
            <v>04047- M/S Rahaman traders</v>
          </cell>
          <cell r="H119">
            <v>156.6</v>
          </cell>
          <cell r="I119">
            <v>0</v>
          </cell>
          <cell r="J119">
            <v>0</v>
          </cell>
          <cell r="K119">
            <v>3943593.468094686</v>
          </cell>
          <cell r="L119">
            <v>0</v>
          </cell>
          <cell r="M119">
            <v>0</v>
          </cell>
          <cell r="N119">
            <v>100.44</v>
          </cell>
          <cell r="O119">
            <v>110.77</v>
          </cell>
          <cell r="P119">
            <v>1.1028474711270411</v>
          </cell>
          <cell r="Q119">
            <v>3154874.7744757487</v>
          </cell>
          <cell r="R119">
            <v>4414000</v>
          </cell>
          <cell r="S119">
            <v>1.3991046604166666</v>
          </cell>
          <cell r="T119">
            <v>100.44</v>
          </cell>
          <cell r="U119">
            <v>96.96</v>
          </cell>
          <cell r="V119">
            <v>0.9653524492234169</v>
          </cell>
          <cell r="W119">
            <v>3154874.7744757487</v>
          </cell>
          <cell r="X119">
            <v>4777300</v>
          </cell>
          <cell r="Y119">
            <v>1.5142597857291666</v>
          </cell>
        </row>
        <row r="120">
          <cell r="E120" t="str">
            <v>Mohammadpur</v>
          </cell>
          <cell r="F120" t="str">
            <v>Mohammadpur,Salikha</v>
          </cell>
          <cell r="G120" t="str">
            <v>04047- M/S Rahaman traders</v>
          </cell>
          <cell r="H120">
            <v>104.39999999999999</v>
          </cell>
          <cell r="I120">
            <v>0</v>
          </cell>
          <cell r="J120">
            <v>0</v>
          </cell>
          <cell r="K120">
            <v>2629062.3120631236</v>
          </cell>
          <cell r="L120">
            <v>0</v>
          </cell>
          <cell r="M120">
            <v>0</v>
          </cell>
          <cell r="N120">
            <v>66.959999999999994</v>
          </cell>
          <cell r="O120">
            <v>69.959999999999994</v>
          </cell>
          <cell r="P120">
            <v>1.0448028673835126</v>
          </cell>
          <cell r="Q120">
            <v>2103249.8496504985</v>
          </cell>
          <cell r="R120">
            <v>1632000</v>
          </cell>
          <cell r="S120">
            <v>0.77594205000000016</v>
          </cell>
          <cell r="T120">
            <v>66.959999999999994</v>
          </cell>
          <cell r="U120">
            <v>48.447499999999998</v>
          </cell>
          <cell r="V120">
            <v>0.72352897252090809</v>
          </cell>
          <cell r="W120">
            <v>2103249.8496504985</v>
          </cell>
          <cell r="X120">
            <v>2884200</v>
          </cell>
          <cell r="Y120">
            <v>1.3713064096875003</v>
          </cell>
        </row>
        <row r="121">
          <cell r="E121" t="str">
            <v>Shailkupa</v>
          </cell>
          <cell r="F121" t="str">
            <v xml:space="preserve">Shailkupa, Horinakundo </v>
          </cell>
          <cell r="G121" t="str">
            <v>04025-M/S Hossain Enterprise</v>
          </cell>
          <cell r="H121">
            <v>147.89999999999998</v>
          </cell>
          <cell r="I121">
            <v>0</v>
          </cell>
          <cell r="J121">
            <v>0</v>
          </cell>
          <cell r="K121">
            <v>3724504.9420894249</v>
          </cell>
          <cell r="L121">
            <v>0</v>
          </cell>
          <cell r="M121">
            <v>0</v>
          </cell>
          <cell r="N121">
            <v>94.86</v>
          </cell>
          <cell r="O121">
            <v>242.34</v>
          </cell>
          <cell r="P121">
            <v>2.5547122074636306</v>
          </cell>
          <cell r="Q121">
            <v>2979603.9536715406</v>
          </cell>
          <cell r="R121">
            <v>17371050</v>
          </cell>
          <cell r="S121">
            <v>5.8299862230330879</v>
          </cell>
          <cell r="T121">
            <v>94.86</v>
          </cell>
          <cell r="U121">
            <v>93.977500000000006</v>
          </cell>
          <cell r="V121">
            <v>0.99069681636095308</v>
          </cell>
          <cell r="W121">
            <v>2979603.9536715401</v>
          </cell>
          <cell r="X121">
            <v>582750</v>
          </cell>
          <cell r="Y121">
            <v>0.19557968409926471</v>
          </cell>
        </row>
        <row r="122">
          <cell r="E122" t="str">
            <v>Jhenaidah sadar</v>
          </cell>
          <cell r="F122" t="str">
            <v xml:space="preserve">Jhenaidah sadar, Kaliganj </v>
          </cell>
          <cell r="G122" t="str">
            <v>04047- M/S Rahaman traders</v>
          </cell>
          <cell r="H122">
            <v>248.82</v>
          </cell>
          <cell r="I122">
            <v>108.6575</v>
          </cell>
          <cell r="J122">
            <v>0.43669118238083754</v>
          </cell>
          <cell r="K122">
            <v>6265931.8437504452</v>
          </cell>
          <cell r="L122">
            <v>5000000</v>
          </cell>
          <cell r="M122">
            <v>0.79796590909090903</v>
          </cell>
          <cell r="N122">
            <v>159.58799999999999</v>
          </cell>
          <cell r="O122">
            <v>169.07</v>
          </cell>
          <cell r="P122">
            <v>1.0594154948993659</v>
          </cell>
          <cell r="Q122">
            <v>5012745.4750003563</v>
          </cell>
          <cell r="R122">
            <v>3944000</v>
          </cell>
          <cell r="S122">
            <v>0.7867943863636363</v>
          </cell>
          <cell r="T122">
            <v>159.58799999999999</v>
          </cell>
          <cell r="U122">
            <v>160.01499999999999</v>
          </cell>
          <cell r="V122">
            <v>1.0026756397724139</v>
          </cell>
          <cell r="W122">
            <v>5012745.4750003554</v>
          </cell>
          <cell r="X122">
            <v>992250</v>
          </cell>
          <cell r="Y122">
            <v>0.19794541832386367</v>
          </cell>
        </row>
        <row r="123">
          <cell r="E123" t="str">
            <v>Kotchandpur</v>
          </cell>
          <cell r="F123" t="str">
            <v xml:space="preserve">Mahespur, Kotchadpur </v>
          </cell>
          <cell r="G123" t="str">
            <v>04047- M/S Rahaman traders</v>
          </cell>
          <cell r="H123">
            <v>169.64999999999998</v>
          </cell>
          <cell r="I123">
            <v>0</v>
          </cell>
          <cell r="J123">
            <v>0</v>
          </cell>
          <cell r="K123">
            <v>4272226.2571025761</v>
          </cell>
          <cell r="L123">
            <v>0</v>
          </cell>
          <cell r="M123">
            <v>0</v>
          </cell>
          <cell r="N123">
            <v>108.81</v>
          </cell>
          <cell r="O123">
            <v>116.6</v>
          </cell>
          <cell r="P123">
            <v>1.0715926844959103</v>
          </cell>
          <cell r="Q123">
            <v>3417781.0056820605</v>
          </cell>
          <cell r="R123">
            <v>2720000</v>
          </cell>
          <cell r="S123">
            <v>0.79583800000000005</v>
          </cell>
          <cell r="T123">
            <v>108.81</v>
          </cell>
          <cell r="U123">
            <v>148.5975</v>
          </cell>
          <cell r="V123">
            <v>1.3656603253377446</v>
          </cell>
          <cell r="W123">
            <v>3417781.0056820605</v>
          </cell>
          <cell r="X123">
            <v>5342225</v>
          </cell>
          <cell r="Y123">
            <v>1.5630682571875001</v>
          </cell>
        </row>
        <row r="124">
          <cell r="E124" t="str">
            <v xml:space="preserve">Jhenaidah Area </v>
          </cell>
          <cell r="F124"/>
          <cell r="G124"/>
          <cell r="H124">
            <v>827.37</v>
          </cell>
          <cell r="I124">
            <v>108.6575</v>
          </cell>
          <cell r="J124">
            <v>0.13132878881274399</v>
          </cell>
          <cell r="K124">
            <v>20835318.823100258</v>
          </cell>
          <cell r="L124">
            <v>5000000</v>
          </cell>
          <cell r="M124">
            <v>0.23997712933753942</v>
          </cell>
          <cell r="N124">
            <v>530.6579999999999</v>
          </cell>
          <cell r="O124">
            <v>708.74</v>
          </cell>
          <cell r="P124">
            <v>1.3355871389859384</v>
          </cell>
          <cell r="Q124">
            <v>16668255.058480205</v>
          </cell>
          <cell r="R124">
            <v>30081050</v>
          </cell>
          <cell r="S124">
            <v>1.8046910066147477</v>
          </cell>
          <cell r="T124">
            <v>530.6579999999999</v>
          </cell>
          <cell r="U124">
            <v>547.99749999999995</v>
          </cell>
          <cell r="V124">
            <v>1.0326754708305539</v>
          </cell>
          <cell r="W124">
            <v>16668255.058480203</v>
          </cell>
          <cell r="X124">
            <v>14578725</v>
          </cell>
          <cell r="Y124">
            <v>0.87464014372535492</v>
          </cell>
        </row>
        <row r="125">
          <cell r="E125" t="str">
            <v>Narail Sadar</v>
          </cell>
          <cell r="F125" t="str">
            <v>Narail Sadar, Bagharpara</v>
          </cell>
          <cell r="G125" t="str">
            <v>04028-M/S New Sharif Traders</v>
          </cell>
          <cell r="H125">
            <v>334.08</v>
          </cell>
          <cell r="I125">
            <v>200.64974999999998</v>
          </cell>
          <cell r="J125">
            <v>0.60060389727011487</v>
          </cell>
          <cell r="K125">
            <v>8412999.3986019958</v>
          </cell>
          <cell r="L125">
            <v>10000000</v>
          </cell>
          <cell r="M125">
            <v>1.18863671875</v>
          </cell>
          <cell r="N125">
            <v>214.27199999999999</v>
          </cell>
          <cell r="O125">
            <v>184.57</v>
          </cell>
          <cell r="P125">
            <v>0.86138179510155322</v>
          </cell>
          <cell r="Q125">
            <v>6730399.5188815966</v>
          </cell>
          <cell r="R125">
            <v>12000000</v>
          </cell>
          <cell r="S125">
            <v>1.7829550781250001</v>
          </cell>
          <cell r="T125">
            <v>214.27199999999999</v>
          </cell>
          <cell r="U125">
            <v>165.08500000000001</v>
          </cell>
          <cell r="V125">
            <v>0.77044597520908009</v>
          </cell>
          <cell r="W125">
            <v>6730399.5188815966</v>
          </cell>
          <cell r="X125">
            <v>3999788</v>
          </cell>
          <cell r="Y125">
            <v>0.59428686050195312</v>
          </cell>
        </row>
        <row r="126">
          <cell r="E126" t="str">
            <v>Lohagara_Narail</v>
          </cell>
          <cell r="F126" t="str">
            <v xml:space="preserve">Lohagara, Kalia,Naragati </v>
          </cell>
          <cell r="G126" t="str">
            <v>04028-M/S New Sharif Traders</v>
          </cell>
          <cell r="H126">
            <v>85.04249999999999</v>
          </cell>
          <cell r="I126">
            <v>0</v>
          </cell>
          <cell r="J126">
            <v>0</v>
          </cell>
          <cell r="K126">
            <v>2141590.3417014196</v>
          </cell>
          <cell r="L126">
            <v>0</v>
          </cell>
          <cell r="M126">
            <v>0</v>
          </cell>
          <cell r="N126">
            <v>54.544499999999999</v>
          </cell>
          <cell r="O126">
            <v>46.14</v>
          </cell>
          <cell r="P126">
            <v>0.84591480350906145</v>
          </cell>
          <cell r="Q126">
            <v>1713272.273361136</v>
          </cell>
          <cell r="R126">
            <v>3000000</v>
          </cell>
          <cell r="S126">
            <v>1.7510351662404089</v>
          </cell>
          <cell r="T126">
            <v>54.544499999999999</v>
          </cell>
          <cell r="U126">
            <v>41.272500000000001</v>
          </cell>
          <cell r="V126">
            <v>0.75667574182548192</v>
          </cell>
          <cell r="W126">
            <v>1713272.2733611355</v>
          </cell>
          <cell r="X126">
            <v>999947</v>
          </cell>
          <cell r="Y126">
            <v>0.58364745379219951</v>
          </cell>
        </row>
        <row r="127">
          <cell r="E127" t="str">
            <v>Keshabpur</v>
          </cell>
          <cell r="F127" t="str">
            <v>Keshobpur</v>
          </cell>
          <cell r="G127" t="str">
            <v>04049-M/S Dipro Enterprise , Jashore- Dr</v>
          </cell>
          <cell r="H127">
            <v>234.89999999999998</v>
          </cell>
          <cell r="I127">
            <v>0</v>
          </cell>
          <cell r="J127">
            <v>0</v>
          </cell>
          <cell r="K127">
            <v>5915390.2021420281</v>
          </cell>
          <cell r="L127">
            <v>0</v>
          </cell>
          <cell r="M127">
            <v>0</v>
          </cell>
          <cell r="N127">
            <v>150.66</v>
          </cell>
          <cell r="O127">
            <v>194.72</v>
          </cell>
          <cell r="P127">
            <v>1.2924465684322315</v>
          </cell>
          <cell r="Q127">
            <v>4732312.1617136225</v>
          </cell>
          <cell r="R127">
            <v>8910597</v>
          </cell>
          <cell r="S127">
            <v>1.8829267164770835</v>
          </cell>
          <cell r="T127">
            <v>150.66</v>
          </cell>
          <cell r="U127">
            <v>174.83250000000001</v>
          </cell>
          <cell r="V127">
            <v>1.1604440461967345</v>
          </cell>
          <cell r="W127">
            <v>4732312.1617136225</v>
          </cell>
          <cell r="X127">
            <v>8457743.6999999993</v>
          </cell>
          <cell r="Y127">
            <v>1.787232839039375</v>
          </cell>
        </row>
        <row r="128">
          <cell r="E128" t="str">
            <v>Monirampur</v>
          </cell>
          <cell r="F128" t="str">
            <v>Monirampur</v>
          </cell>
          <cell r="G128" t="str">
            <v>04044-M/S Humaun Traders</v>
          </cell>
          <cell r="H128">
            <v>200.1</v>
          </cell>
          <cell r="I128">
            <v>265.51224999999999</v>
          </cell>
          <cell r="J128">
            <v>1.3268978010994503</v>
          </cell>
          <cell r="K128">
            <v>5039036.0981209874</v>
          </cell>
          <cell r="L128">
            <v>19661521</v>
          </cell>
          <cell r="M128">
            <v>3.9018416651810868</v>
          </cell>
          <cell r="N128">
            <v>128.34</v>
          </cell>
          <cell r="O128">
            <v>79.53</v>
          </cell>
          <cell r="P128">
            <v>0.61968209443665268</v>
          </cell>
          <cell r="Q128">
            <v>4031228.8784967898</v>
          </cell>
          <cell r="R128">
            <v>3438576.67</v>
          </cell>
          <cell r="S128">
            <v>0.85298472838937767</v>
          </cell>
          <cell r="T128">
            <v>128.34</v>
          </cell>
          <cell r="U128">
            <v>39.957500000000003</v>
          </cell>
          <cell r="V128">
            <v>0.31134096930029609</v>
          </cell>
          <cell r="W128">
            <v>4031228.8784967898</v>
          </cell>
          <cell r="X128">
            <v>1216910</v>
          </cell>
          <cell r="Y128">
            <v>0.30187072892119565</v>
          </cell>
        </row>
        <row r="129">
          <cell r="E129" t="str">
            <v>Sharsha</v>
          </cell>
          <cell r="F129" t="str">
            <v>Sharsha,Jekorghasha</v>
          </cell>
          <cell r="G129" t="str">
            <v>04044-M/S Humaun Traders</v>
          </cell>
          <cell r="H129">
            <v>75.777000000000001</v>
          </cell>
          <cell r="I129">
            <v>0</v>
          </cell>
          <cell r="J129">
            <v>0</v>
          </cell>
          <cell r="K129">
            <v>1908261.0615058171</v>
          </cell>
          <cell r="L129">
            <v>0</v>
          </cell>
          <cell r="M129">
            <v>0</v>
          </cell>
          <cell r="N129">
            <v>48.601800000000004</v>
          </cell>
          <cell r="O129">
            <v>29.41</v>
          </cell>
          <cell r="P129">
            <v>0.6051216210099214</v>
          </cell>
          <cell r="Q129">
            <v>1526608.8492046539</v>
          </cell>
          <cell r="R129">
            <v>1271802.33</v>
          </cell>
          <cell r="S129">
            <v>0.83308984528852614</v>
          </cell>
          <cell r="T129">
            <v>48.601800000000004</v>
          </cell>
          <cell r="U129">
            <v>14.7775</v>
          </cell>
          <cell r="V129">
            <v>0.30405252480360806</v>
          </cell>
          <cell r="W129">
            <v>1526608.8492046539</v>
          </cell>
          <cell r="X129">
            <v>450090</v>
          </cell>
          <cell r="Y129">
            <v>0.29482994300373133</v>
          </cell>
        </row>
        <row r="130">
          <cell r="E130" t="str">
            <v>Jashore Sadar</v>
          </cell>
          <cell r="F130" t="str">
            <v>Abainagar,Jashore Sadar</v>
          </cell>
          <cell r="G130" t="str">
            <v>04049-M/S Dipro Enterprise , Jashore- Dr</v>
          </cell>
          <cell r="H130">
            <v>115.53599999999999</v>
          </cell>
          <cell r="I130">
            <v>42.273000000000003</v>
          </cell>
          <cell r="J130">
            <v>0.36588595762359793</v>
          </cell>
          <cell r="K130">
            <v>2909495.6253498569</v>
          </cell>
          <cell r="L130">
            <v>1563000</v>
          </cell>
          <cell r="M130">
            <v>0.53720651317771084</v>
          </cell>
          <cell r="N130">
            <v>74.102399999999989</v>
          </cell>
          <cell r="O130">
            <v>89.91</v>
          </cell>
          <cell r="P130">
            <v>1.2133210260396425</v>
          </cell>
          <cell r="Q130">
            <v>2327596.5002798853</v>
          </cell>
          <cell r="R130">
            <v>4061186</v>
          </cell>
          <cell r="S130">
            <v>1.7447981209422065</v>
          </cell>
          <cell r="T130">
            <v>74.102399999999989</v>
          </cell>
          <cell r="U130">
            <v>98.152500000000003</v>
          </cell>
          <cell r="V130">
            <v>1.3245522412229567</v>
          </cell>
          <cell r="W130">
            <v>2327596.5002798853</v>
          </cell>
          <cell r="X130">
            <v>4561746.9000000004</v>
          </cell>
          <cell r="Y130">
            <v>1.9598529639701152</v>
          </cell>
        </row>
        <row r="131">
          <cell r="E131" t="str">
            <v>Chaugachha</v>
          </cell>
          <cell r="F131" t="str">
            <v>Chwughasha</v>
          </cell>
          <cell r="G131" t="str">
            <v>04049-M/S Dipro Enterprise , Jashore- Dr</v>
          </cell>
          <cell r="H131">
            <v>21.923999999999996</v>
          </cell>
          <cell r="I131">
            <v>0</v>
          </cell>
          <cell r="J131">
            <v>0</v>
          </cell>
          <cell r="K131">
            <v>552103.08553325594</v>
          </cell>
          <cell r="L131">
            <v>0</v>
          </cell>
          <cell r="M131">
            <v>0</v>
          </cell>
          <cell r="N131">
            <v>14.061599999999999</v>
          </cell>
          <cell r="O131">
            <v>17.399999999999999</v>
          </cell>
          <cell r="P131">
            <v>1.2374125277351085</v>
          </cell>
          <cell r="Q131">
            <v>441682.4684266047</v>
          </cell>
          <cell r="R131">
            <v>764514</v>
          </cell>
          <cell r="S131">
            <v>1.7309131664732147</v>
          </cell>
          <cell r="T131">
            <v>14.061599999999999</v>
          </cell>
          <cell r="U131">
            <v>16.649999999999999</v>
          </cell>
          <cell r="V131">
            <v>1.1840757808499744</v>
          </cell>
          <cell r="W131">
            <v>441682.4684266047</v>
          </cell>
          <cell r="X131">
            <v>805499.4</v>
          </cell>
          <cell r="Y131">
            <v>1.8237069786116076</v>
          </cell>
        </row>
        <row r="132">
          <cell r="E132" t="str">
            <v>Jashore Area</v>
          </cell>
          <cell r="F132"/>
          <cell r="G132"/>
          <cell r="H132">
            <v>1067.3595</v>
          </cell>
          <cell r="I132">
            <v>508.435</v>
          </cell>
          <cell r="J132">
            <v>0.47634840932225742</v>
          </cell>
          <cell r="K132">
            <v>26878875.812955361</v>
          </cell>
          <cell r="L132">
            <v>31224521</v>
          </cell>
          <cell r="M132">
            <v>1.1616751093790194</v>
          </cell>
          <cell r="N132">
            <v>684.58230000000003</v>
          </cell>
          <cell r="O132">
            <v>641.67999999999984</v>
          </cell>
          <cell r="P132">
            <v>0.93733069055393314</v>
          </cell>
          <cell r="Q132">
            <v>21503100.650364287</v>
          </cell>
          <cell r="R132">
            <v>33446676</v>
          </cell>
          <cell r="S132">
            <v>1.5554350297585282</v>
          </cell>
          <cell r="T132">
            <v>684.58230000000003</v>
          </cell>
          <cell r="U132">
            <v>550.72749999999996</v>
          </cell>
          <cell r="V132">
            <v>0.8044723037682977</v>
          </cell>
          <cell r="W132">
            <v>21503100.650364287</v>
          </cell>
          <cell r="X132">
            <v>20491725</v>
          </cell>
          <cell r="Y132">
            <v>0.95296605513739463</v>
          </cell>
        </row>
        <row r="133">
          <cell r="E133" t="str">
            <v>Madhukhali</v>
          </cell>
          <cell r="F133" t="str">
            <v xml:space="preserve"> Madhukhali </v>
          </cell>
          <cell r="G133" t="str">
            <v>01018-M/S Laboni Steel Kornar</v>
          </cell>
          <cell r="H133">
            <v>159.86249999999998</v>
          </cell>
          <cell r="I133">
            <v>85.705249999999992</v>
          </cell>
          <cell r="J133">
            <v>0.53611853936977094</v>
          </cell>
          <cell r="K133">
            <v>4025751.6653466583</v>
          </cell>
          <cell r="L133">
            <v>3631430</v>
          </cell>
          <cell r="M133">
            <v>0.90205017643265306</v>
          </cell>
          <cell r="N133">
            <v>102.5325</v>
          </cell>
          <cell r="O133">
            <v>86.09</v>
          </cell>
          <cell r="P133">
            <v>0.83963621290810231</v>
          </cell>
          <cell r="Q133">
            <v>3220601.3322773264</v>
          </cell>
          <cell r="R133">
            <v>1955150</v>
          </cell>
          <cell r="S133">
            <v>0.60707607005102049</v>
          </cell>
          <cell r="T133">
            <v>102.5325</v>
          </cell>
          <cell r="U133">
            <v>37.0625</v>
          </cell>
          <cell r="V133">
            <v>0.36147075317582228</v>
          </cell>
          <cell r="W133">
            <v>3220601.3322773264</v>
          </cell>
          <cell r="X133">
            <v>1820440</v>
          </cell>
          <cell r="Y133">
            <v>0.56524847759183683</v>
          </cell>
        </row>
        <row r="134">
          <cell r="E134" t="str">
            <v>Alfadanga</v>
          </cell>
          <cell r="F134" t="str">
            <v xml:space="preserve">Boilmari </v>
          </cell>
          <cell r="G134" t="str">
            <v xml:space="preserve">01021-Joyguru Vander </v>
          </cell>
          <cell r="H134">
            <v>184.875</v>
          </cell>
          <cell r="I134">
            <v>61.166000000000004</v>
          </cell>
          <cell r="J134">
            <v>0.33085057471264367</v>
          </cell>
          <cell r="K134">
            <v>4655631.1776117813</v>
          </cell>
          <cell r="L134">
            <v>5122000</v>
          </cell>
          <cell r="M134">
            <v>1.1001730602352942</v>
          </cell>
          <cell r="N134">
            <v>118.575</v>
          </cell>
          <cell r="O134">
            <v>165.14</v>
          </cell>
          <cell r="P134">
            <v>1.3927050390048492</v>
          </cell>
          <cell r="Q134">
            <v>3724504.9420894254</v>
          </cell>
          <cell r="R134">
            <v>4350000</v>
          </cell>
          <cell r="S134">
            <v>1.167940455882353</v>
          </cell>
          <cell r="T134">
            <v>118.575</v>
          </cell>
          <cell r="U134">
            <v>98.097499999999997</v>
          </cell>
          <cell r="V134">
            <v>0.82730339447606993</v>
          </cell>
          <cell r="W134">
            <v>3724504.9420894254</v>
          </cell>
          <cell r="X134">
            <v>1400000</v>
          </cell>
          <cell r="Y134">
            <v>0.37588888235294116</v>
          </cell>
        </row>
        <row r="135">
          <cell r="E135" t="str">
            <v>Bhanga</v>
          </cell>
          <cell r="F135" t="str">
            <v>Bhanga</v>
          </cell>
          <cell r="G135" t="str">
            <v>01017-Khaza Iron Agency</v>
          </cell>
          <cell r="H135">
            <v>127.88999999999999</v>
          </cell>
          <cell r="I135">
            <v>0</v>
          </cell>
          <cell r="J135">
            <v>0</v>
          </cell>
          <cell r="K135">
            <v>3220601.3322773259</v>
          </cell>
          <cell r="L135">
            <v>0</v>
          </cell>
          <cell r="M135">
            <v>0</v>
          </cell>
          <cell r="N135">
            <v>82.025999999999996</v>
          </cell>
          <cell r="O135">
            <v>60.52</v>
          </cell>
          <cell r="P135">
            <v>0.73781483919732771</v>
          </cell>
          <cell r="Q135">
            <v>2576481.0658218614</v>
          </cell>
          <cell r="R135">
            <v>2255000</v>
          </cell>
          <cell r="S135">
            <v>0.87522475127551014</v>
          </cell>
          <cell r="T135">
            <v>82.025999999999996</v>
          </cell>
          <cell r="U135">
            <v>73.832499999999996</v>
          </cell>
          <cell r="V135">
            <v>0.90011094043352102</v>
          </cell>
          <cell r="W135">
            <v>2576481.0658218614</v>
          </cell>
          <cell r="X135">
            <v>2392500</v>
          </cell>
          <cell r="Y135">
            <v>0.92859211415816323</v>
          </cell>
        </row>
        <row r="136">
          <cell r="E136" t="str">
            <v>Faridpur Sadar</v>
          </cell>
          <cell r="F136" t="str">
            <v>Faridpur Sadar</v>
          </cell>
          <cell r="G136" t="str">
            <v>01017-Khaza Iron Agency</v>
          </cell>
          <cell r="H136">
            <v>106.57499999999999</v>
          </cell>
          <cell r="I136">
            <v>121.30825</v>
          </cell>
          <cell r="J136">
            <v>1.1382430213464698</v>
          </cell>
          <cell r="K136">
            <v>2683834.4435644387</v>
          </cell>
          <cell r="L136">
            <v>4100000</v>
          </cell>
          <cell r="M136">
            <v>1.5276650204081634</v>
          </cell>
          <cell r="N136">
            <v>68.355000000000004</v>
          </cell>
          <cell r="O136">
            <v>49.52</v>
          </cell>
          <cell r="P136">
            <v>0.7244532221490747</v>
          </cell>
          <cell r="Q136">
            <v>2147067.5548515511</v>
          </cell>
          <cell r="R136">
            <v>1845000</v>
          </cell>
          <cell r="S136">
            <v>0.85931157397959179</v>
          </cell>
          <cell r="T136">
            <v>68.355000000000004</v>
          </cell>
          <cell r="U136">
            <v>60.407499999999999</v>
          </cell>
          <cell r="V136">
            <v>0.88373198741862324</v>
          </cell>
          <cell r="W136">
            <v>2147067.5548515511</v>
          </cell>
          <cell r="X136">
            <v>1957500</v>
          </cell>
          <cell r="Y136">
            <v>0.9117086211734694</v>
          </cell>
        </row>
        <row r="137">
          <cell r="E137" t="str">
            <v>Pangsha</v>
          </cell>
          <cell r="F137" t="str">
            <v>Pangsha</v>
          </cell>
          <cell r="G137" t="str">
            <v>01028 - Al-Amin Traders (Rajbari)- Dr.</v>
          </cell>
          <cell r="H137">
            <v>159.86249999999998</v>
          </cell>
          <cell r="I137">
            <v>146.78174999999999</v>
          </cell>
          <cell r="J137">
            <v>0.91817499413558534</v>
          </cell>
          <cell r="K137">
            <v>4025751.6653466583</v>
          </cell>
          <cell r="L137">
            <v>5784650</v>
          </cell>
          <cell r="M137">
            <v>1.4369117821632653</v>
          </cell>
          <cell r="N137">
            <v>102.5325</v>
          </cell>
          <cell r="O137">
            <v>109.11</v>
          </cell>
          <cell r="P137">
            <v>1.0641503913393315</v>
          </cell>
          <cell r="Q137">
            <v>3220601.3322773264</v>
          </cell>
          <cell r="R137">
            <v>3782214</v>
          </cell>
          <cell r="S137">
            <v>1.174381306402041</v>
          </cell>
          <cell r="T137">
            <v>102.5325</v>
          </cell>
          <cell r="U137">
            <v>84.504999999999995</v>
          </cell>
          <cell r="V137">
            <v>0.82417769975373656</v>
          </cell>
          <cell r="W137">
            <v>3220601.3322773264</v>
          </cell>
          <cell r="X137">
            <v>4365068</v>
          </cell>
          <cell r="Y137">
            <v>1.3553580681510204</v>
          </cell>
        </row>
        <row r="138">
          <cell r="E138" t="str">
            <v>Rajbari</v>
          </cell>
          <cell r="F138" t="str">
            <v>Rajbari</v>
          </cell>
          <cell r="G138" t="str">
            <v>01001-M/S Istiyak Hossain</v>
          </cell>
          <cell r="H138">
            <v>117.23249999999999</v>
          </cell>
          <cell r="I138">
            <v>36.850250000000003</v>
          </cell>
          <cell r="J138">
            <v>0.31433476211801342</v>
          </cell>
          <cell r="K138">
            <v>2952217.8879208826</v>
          </cell>
          <cell r="L138">
            <v>1139800</v>
          </cell>
          <cell r="M138">
            <v>0.38608261424860857</v>
          </cell>
          <cell r="N138">
            <v>75.1905</v>
          </cell>
          <cell r="O138">
            <v>60.6</v>
          </cell>
          <cell r="P138">
            <v>0.80595287968559859</v>
          </cell>
          <cell r="Q138">
            <v>2361774.3103367067</v>
          </cell>
          <cell r="R138">
            <v>2740100</v>
          </cell>
          <cell r="S138">
            <v>1.1601870627551019</v>
          </cell>
          <cell r="T138">
            <v>75.1905</v>
          </cell>
          <cell r="U138">
            <v>24.155000000000001</v>
          </cell>
          <cell r="V138">
            <v>0.3212506899142844</v>
          </cell>
          <cell r="W138">
            <v>2361774.3103367062</v>
          </cell>
          <cell r="X138">
            <v>1631700</v>
          </cell>
          <cell r="Y138">
            <v>0.69087888409090903</v>
          </cell>
        </row>
        <row r="139">
          <cell r="E139" t="str">
            <v xml:space="preserve">Faridpur Area </v>
          </cell>
          <cell r="F139"/>
          <cell r="G139"/>
          <cell r="H139">
            <v>856.29749999999979</v>
          </cell>
          <cell r="I139">
            <v>451.81150000000002</v>
          </cell>
          <cell r="J139">
            <v>0.52763379549747624</v>
          </cell>
          <cell r="K139">
            <v>21563788.172067747</v>
          </cell>
          <cell r="L139">
            <v>19777880</v>
          </cell>
          <cell r="M139">
            <v>0.91718022094183393</v>
          </cell>
          <cell r="N139">
            <v>549.21150000000011</v>
          </cell>
          <cell r="O139">
            <v>530.98</v>
          </cell>
          <cell r="P139">
            <v>0.96680422751526485</v>
          </cell>
          <cell r="Q139">
            <v>17251030.537654195</v>
          </cell>
          <cell r="R139">
            <v>16927464</v>
          </cell>
          <cell r="S139">
            <v>0.9812436400858523</v>
          </cell>
          <cell r="T139">
            <v>549.21150000000011</v>
          </cell>
          <cell r="U139">
            <v>378.05999999999995</v>
          </cell>
          <cell r="V139">
            <v>0.68836868856533384</v>
          </cell>
          <cell r="W139">
            <v>17251030.537654195</v>
          </cell>
          <cell r="X139">
            <v>13567208</v>
          </cell>
          <cell r="Y139">
            <v>0.78645782757073923</v>
          </cell>
        </row>
        <row r="140">
          <cell r="E140" t="str">
            <v>Narail Zone</v>
          </cell>
          <cell r="F140"/>
          <cell r="G140"/>
          <cell r="H140">
            <v>3730.8209999999995</v>
          </cell>
          <cell r="I140">
            <v>1809.52225</v>
          </cell>
          <cell r="J140">
            <v>0.48501985219875204</v>
          </cell>
          <cell r="K140">
            <v>93951732.606835783</v>
          </cell>
          <cell r="L140">
            <v>91105761</v>
          </cell>
          <cell r="M140">
            <v>0.96970815196409998</v>
          </cell>
          <cell r="N140">
            <v>2392.8714</v>
          </cell>
          <cell r="O140">
            <v>2617.6099999999997</v>
          </cell>
          <cell r="P140">
            <v>1.0939200493599446</v>
          </cell>
          <cell r="Q140">
            <v>75161386.08546862</v>
          </cell>
          <cell r="R140">
            <v>104333936</v>
          </cell>
          <cell r="S140">
            <v>1.3881321438292564</v>
          </cell>
          <cell r="T140">
            <v>2392.8714</v>
          </cell>
          <cell r="U140">
            <v>2020.125</v>
          </cell>
          <cell r="V140">
            <v>0.84422631320680253</v>
          </cell>
          <cell r="W140">
            <v>75161386.08546862</v>
          </cell>
          <cell r="X140">
            <v>70853573</v>
          </cell>
          <cell r="Y140">
            <v>0.94268582167218073</v>
          </cell>
        </row>
        <row r="141">
          <cell r="E141" t="str">
            <v>Madaripur Sadar</v>
          </cell>
          <cell r="F141" t="str">
            <v xml:space="preserve">Madaripur Sadar,Kalkini, Shibchar,Rajoir </v>
          </cell>
          <cell r="G141" t="str">
            <v xml:space="preserve">01006-M/S Radhasham&amp;Redoy Enterprise </v>
          </cell>
          <cell r="H141">
            <v>124.41</v>
          </cell>
          <cell r="I141">
            <v>48.546499999999995</v>
          </cell>
          <cell r="J141">
            <v>0.39021380917932641</v>
          </cell>
          <cell r="K141">
            <v>3132965.9218752226</v>
          </cell>
          <cell r="L141">
            <v>1904782</v>
          </cell>
          <cell r="M141">
            <v>0.60798044009999996</v>
          </cell>
          <cell r="N141">
            <v>79.793999999999997</v>
          </cell>
          <cell r="O141">
            <v>48.5</v>
          </cell>
          <cell r="P141">
            <v>0.60781512394415627</v>
          </cell>
          <cell r="Q141">
            <v>2506372.7375001782</v>
          </cell>
          <cell r="R141">
            <v>1088986</v>
          </cell>
          <cell r="S141">
            <v>0.43448685173863633</v>
          </cell>
          <cell r="T141">
            <v>79.793999999999997</v>
          </cell>
          <cell r="U141">
            <v>48.6325</v>
          </cell>
          <cell r="V141">
            <v>0.60947564979823043</v>
          </cell>
          <cell r="W141">
            <v>2506372.7375001777</v>
          </cell>
          <cell r="X141">
            <v>2114000</v>
          </cell>
          <cell r="Y141">
            <v>0.84344996590909105</v>
          </cell>
        </row>
        <row r="142">
          <cell r="E142" t="str">
            <v>Shariatpur Sadar</v>
          </cell>
          <cell r="F142" t="str">
            <v>Sariatpur Sadar,Damuddya,Goshairhat</v>
          </cell>
          <cell r="G142" t="str">
            <v xml:space="preserve">01030-M/S Laxminarayan Saha </v>
          </cell>
          <cell r="H142">
            <v>65.772000000000006</v>
          </cell>
          <cell r="I142">
            <v>12.013499999999999</v>
          </cell>
          <cell r="J142">
            <v>0.18265371282612658</v>
          </cell>
          <cell r="K142">
            <v>1656309.2565997683</v>
          </cell>
          <cell r="L142">
            <v>730000</v>
          </cell>
          <cell r="M142">
            <v>0.44073894841269834</v>
          </cell>
          <cell r="N142">
            <v>42.184800000000003</v>
          </cell>
          <cell r="O142">
            <v>25.34</v>
          </cell>
          <cell r="P142">
            <v>0.60069029603079782</v>
          </cell>
          <cell r="Q142">
            <v>1325047.4052798145</v>
          </cell>
          <cell r="R142">
            <v>598437</v>
          </cell>
          <cell r="S142">
            <v>0.45163440765624996</v>
          </cell>
          <cell r="T142">
            <v>42.184800000000003</v>
          </cell>
          <cell r="U142">
            <v>0</v>
          </cell>
          <cell r="V142">
            <v>0</v>
          </cell>
          <cell r="W142">
            <v>1325047.4052798145</v>
          </cell>
          <cell r="X142">
            <v>246400</v>
          </cell>
          <cell r="Y142">
            <v>0.18595561111111109</v>
          </cell>
        </row>
        <row r="143">
          <cell r="E143" t="str">
            <v>Bhedharganj</v>
          </cell>
          <cell r="F143" t="str">
            <v>Jinjira,Naria,Bhedharganj</v>
          </cell>
          <cell r="G143" t="str">
            <v xml:space="preserve">01030-M/S Laxminarayan Saha </v>
          </cell>
          <cell r="H143">
            <v>28.274999999999999</v>
          </cell>
          <cell r="I143">
            <v>12.045</v>
          </cell>
          <cell r="J143">
            <v>0.42599469496021219</v>
          </cell>
          <cell r="K143">
            <v>712037.70951709605</v>
          </cell>
          <cell r="L143">
            <v>302500</v>
          </cell>
          <cell r="M143">
            <v>0.42483704999999999</v>
          </cell>
          <cell r="N143">
            <v>18.135000000000002</v>
          </cell>
          <cell r="O143">
            <v>10.86</v>
          </cell>
          <cell r="P143">
            <v>0.59884201819685678</v>
          </cell>
          <cell r="Q143">
            <v>569630.16761367687</v>
          </cell>
          <cell r="R143">
            <v>256473</v>
          </cell>
          <cell r="S143">
            <v>0.45024476332499996</v>
          </cell>
          <cell r="T143">
            <v>18.135000000000002</v>
          </cell>
          <cell r="U143">
            <v>0</v>
          </cell>
          <cell r="V143">
            <v>0</v>
          </cell>
          <cell r="W143">
            <v>569630.16761367687</v>
          </cell>
          <cell r="X143">
            <v>105600</v>
          </cell>
          <cell r="Y143">
            <v>0.18538343999999998</v>
          </cell>
        </row>
        <row r="144">
          <cell r="E144" t="str">
            <v>Gopalganj Sadar</v>
          </cell>
          <cell r="F144" t="str">
            <v xml:space="preserve">Gopalgonj Sadar,Tungipara,Kotalipara </v>
          </cell>
          <cell r="G144" t="str">
            <v>01024-M/S Shikder Traders</v>
          </cell>
          <cell r="H144">
            <v>134.48024999999998</v>
          </cell>
          <cell r="I144">
            <v>48.142499999999998</v>
          </cell>
          <cell r="J144">
            <v>0.35798937018632848</v>
          </cell>
          <cell r="K144">
            <v>3386560.8907263111</v>
          </cell>
          <cell r="L144">
            <v>632500</v>
          </cell>
          <cell r="M144">
            <v>0.18676764434740417</v>
          </cell>
          <cell r="N144">
            <v>86.252850000000009</v>
          </cell>
          <cell r="O144">
            <v>24.07</v>
          </cell>
          <cell r="P144">
            <v>0.27906324254792736</v>
          </cell>
          <cell r="Q144">
            <v>2709248.7111467971</v>
          </cell>
          <cell r="R144">
            <v>700000</v>
          </cell>
          <cell r="S144">
            <v>0.25837421168457331</v>
          </cell>
          <cell r="T144">
            <v>86.252850000000009</v>
          </cell>
          <cell r="U144">
            <v>36.134999999999998</v>
          </cell>
          <cell r="V144">
            <v>0.41894267841584359</v>
          </cell>
          <cell r="W144">
            <v>2709248.7125810497</v>
          </cell>
          <cell r="X144">
            <v>1337000</v>
          </cell>
          <cell r="Y144">
            <v>0.49349474405628324</v>
          </cell>
        </row>
        <row r="145">
          <cell r="E145" t="str">
            <v>Muksudpur</v>
          </cell>
          <cell r="F145" t="str">
            <v>Muksudpur,Kashiany</v>
          </cell>
          <cell r="G145" t="str">
            <v>01026-M/S Shawkat Hossain And Brothers</v>
          </cell>
          <cell r="H145">
            <v>76.559999999999988</v>
          </cell>
          <cell r="I145">
            <v>60.574999999999996</v>
          </cell>
          <cell r="J145">
            <v>0.79120950888192276</v>
          </cell>
          <cell r="K145">
            <v>1927979.0288462907</v>
          </cell>
          <cell r="L145">
            <v>2320650</v>
          </cell>
          <cell r="M145">
            <v>1.2036697315056819</v>
          </cell>
          <cell r="N145">
            <v>49.103999999999999</v>
          </cell>
          <cell r="O145">
            <v>36.340000000000003</v>
          </cell>
          <cell r="P145">
            <v>0.74006190941674821</v>
          </cell>
          <cell r="Q145">
            <v>1542383.2230770325</v>
          </cell>
          <cell r="R145">
            <v>1202700</v>
          </cell>
          <cell r="S145">
            <v>0.77976729907670461</v>
          </cell>
          <cell r="T145">
            <v>49.103999999999999</v>
          </cell>
          <cell r="U145">
            <v>48.66</v>
          </cell>
          <cell r="V145">
            <v>0.99095796676441827</v>
          </cell>
          <cell r="W145">
            <v>1542383.2230770325</v>
          </cell>
          <cell r="X145">
            <v>1741725</v>
          </cell>
          <cell r="Y145">
            <v>1.1292427030717331</v>
          </cell>
        </row>
        <row r="146">
          <cell r="E146" t="str">
            <v>Madaripur Area</v>
          </cell>
          <cell r="F146"/>
          <cell r="G146"/>
          <cell r="H146">
            <v>429.49725000000001</v>
          </cell>
          <cell r="I146">
            <v>181.32249999999999</v>
          </cell>
          <cell r="J146">
            <v>0.42217383231208111</v>
          </cell>
          <cell r="K146">
            <v>10815852.807564687</v>
          </cell>
          <cell r="L146">
            <v>5890432</v>
          </cell>
          <cell r="M146">
            <v>0.54461096178011859</v>
          </cell>
          <cell r="N146">
            <v>275.47064999999998</v>
          </cell>
          <cell r="O146">
            <v>145.11000000000001</v>
          </cell>
          <cell r="P146">
            <v>0.5267711823383</v>
          </cell>
          <cell r="Q146">
            <v>8652682.2446174994</v>
          </cell>
          <cell r="R146">
            <v>3846596</v>
          </cell>
          <cell r="S146">
            <v>0.44455532877019949</v>
          </cell>
          <cell r="T146">
            <v>275.47064999999998</v>
          </cell>
          <cell r="U146">
            <v>133.42750000000001</v>
          </cell>
          <cell r="V146">
            <v>0.48436194563740281</v>
          </cell>
          <cell r="W146">
            <v>8652682.2460517511</v>
          </cell>
          <cell r="X146">
            <v>5544725</v>
          </cell>
          <cell r="Y146">
            <v>0.64080996416227776</v>
          </cell>
        </row>
        <row r="147">
          <cell r="E147" t="str">
            <v>Gaurnadi</v>
          </cell>
          <cell r="F147" t="str">
            <v>Agoljora, Gouronodi</v>
          </cell>
          <cell r="G147" t="str">
            <v>01035-M/S Al modina Store</v>
          </cell>
          <cell r="H147">
            <v>68.512499999999989</v>
          </cell>
          <cell r="I147">
            <v>84.731000000000009</v>
          </cell>
          <cell r="J147">
            <v>1.2367232256887433</v>
          </cell>
          <cell r="K147">
            <v>1725322.1422914248</v>
          </cell>
          <cell r="L147">
            <v>5038367</v>
          </cell>
          <cell r="M147">
            <v>2.920247110089524</v>
          </cell>
          <cell r="N147">
            <v>43.942500000000003</v>
          </cell>
          <cell r="O147">
            <v>50.44</v>
          </cell>
          <cell r="P147">
            <v>1.1478636854980939</v>
          </cell>
          <cell r="Q147">
            <v>1380257.71383314</v>
          </cell>
          <cell r="R147">
            <v>876891.6</v>
          </cell>
          <cell r="S147">
            <v>0.63531005203714286</v>
          </cell>
          <cell r="T147">
            <v>43.942500000000003</v>
          </cell>
          <cell r="U147">
            <v>44.212499999999999</v>
          </cell>
          <cell r="V147">
            <v>1.0061443932411673</v>
          </cell>
          <cell r="W147">
            <v>1380257.71383314</v>
          </cell>
          <cell r="X147">
            <v>1892488.52</v>
          </cell>
          <cell r="Y147">
            <v>1.3711124386650477</v>
          </cell>
        </row>
        <row r="148">
          <cell r="E148" t="str">
            <v>Uzirpur</v>
          </cell>
          <cell r="F148" t="str">
            <v>Uzirpur, Banaripara</v>
          </cell>
          <cell r="G148" t="str">
            <v>01035-M/S Al modina Store</v>
          </cell>
          <cell r="H148">
            <v>57.093749999999993</v>
          </cell>
          <cell r="I148">
            <v>0</v>
          </cell>
          <cell r="J148">
            <v>0</v>
          </cell>
          <cell r="K148">
            <v>1437768.4519095207</v>
          </cell>
          <cell r="L148">
            <v>0</v>
          </cell>
          <cell r="M148">
            <v>0</v>
          </cell>
          <cell r="N148">
            <v>36.618749999999999</v>
          </cell>
          <cell r="O148">
            <v>41.71</v>
          </cell>
          <cell r="P148">
            <v>1.1390339648404164</v>
          </cell>
          <cell r="Q148">
            <v>1150214.7615276165</v>
          </cell>
          <cell r="R148">
            <v>725121.9</v>
          </cell>
          <cell r="S148">
            <v>0.63042305163685719</v>
          </cell>
          <cell r="T148">
            <v>36.618749999999999</v>
          </cell>
          <cell r="U148">
            <v>36.56</v>
          </cell>
          <cell r="V148">
            <v>0.9983956306536953</v>
          </cell>
          <cell r="W148">
            <v>1150214.7615276165</v>
          </cell>
          <cell r="X148">
            <v>1564942.43</v>
          </cell>
          <cell r="Y148">
            <v>1.3605654199060857</v>
          </cell>
        </row>
        <row r="149">
          <cell r="E149" t="str">
            <v>Jhalokati Sadar</v>
          </cell>
          <cell r="F149" t="str">
            <v>Jalokati Sadar, Nalcity ,Katalia, Rajapur</v>
          </cell>
          <cell r="G149" t="str">
            <v>01044-M/s Patikar Iron Store</v>
          </cell>
          <cell r="H149">
            <v>28.709999999999997</v>
          </cell>
          <cell r="I149">
            <v>12.085000000000001</v>
          </cell>
          <cell r="J149">
            <v>0.42093347265761066</v>
          </cell>
          <cell r="K149">
            <v>722992.13581735897</v>
          </cell>
          <cell r="L149">
            <v>900000</v>
          </cell>
          <cell r="M149">
            <v>1.2448268181818183</v>
          </cell>
          <cell r="N149">
            <v>18.414000000000001</v>
          </cell>
          <cell r="O149">
            <v>24.22</v>
          </cell>
          <cell r="P149">
            <v>1.3153035733680893</v>
          </cell>
          <cell r="Q149">
            <v>578393.70865388715</v>
          </cell>
          <cell r="R149">
            <v>380000</v>
          </cell>
          <cell r="S149">
            <v>0.65699193181818194</v>
          </cell>
          <cell r="T149">
            <v>18.414000000000001</v>
          </cell>
          <cell r="U149">
            <v>12.0425</v>
          </cell>
          <cell r="V149">
            <v>0.65398609753448456</v>
          </cell>
          <cell r="W149">
            <v>578393.70865388727</v>
          </cell>
          <cell r="X149">
            <v>471589</v>
          </cell>
          <cell r="Y149">
            <v>0.81534254772159087</v>
          </cell>
        </row>
        <row r="150">
          <cell r="E150" t="str">
            <v>Barishal Sadar</v>
          </cell>
          <cell r="F150" t="str">
            <v>Barisal, Bakergonj, Babugonj</v>
          </cell>
          <cell r="G150" t="str">
            <v>01035-M/S Al modina Store</v>
          </cell>
          <cell r="H150">
            <v>2.61</v>
          </cell>
          <cell r="I150">
            <v>0</v>
          </cell>
          <cell r="J150">
            <v>0</v>
          </cell>
          <cell r="K150">
            <v>65726.557801578092</v>
          </cell>
          <cell r="L150">
            <v>0</v>
          </cell>
          <cell r="M150">
            <v>0</v>
          </cell>
          <cell r="N150">
            <v>1.6739999999999999</v>
          </cell>
          <cell r="O150">
            <v>1.94</v>
          </cell>
          <cell r="P150">
            <v>1.1589008363201911</v>
          </cell>
          <cell r="Q150">
            <v>52581.246241262474</v>
          </cell>
          <cell r="R150">
            <v>33726.6</v>
          </cell>
          <cell r="S150">
            <v>0.64141880253749994</v>
          </cell>
          <cell r="T150">
            <v>1.6739999999999999</v>
          </cell>
          <cell r="U150">
            <v>1.7</v>
          </cell>
          <cell r="V150">
            <v>1.015531660692951</v>
          </cell>
          <cell r="W150">
            <v>52581.246241262474</v>
          </cell>
          <cell r="X150">
            <v>72788.02</v>
          </cell>
          <cell r="Y150">
            <v>1.3842962121137501</v>
          </cell>
        </row>
        <row r="151">
          <cell r="E151" t="str">
            <v>Muladi</v>
          </cell>
          <cell r="F151" t="str">
            <v>Mehendigonj, Hizla, Muladi</v>
          </cell>
          <cell r="G151" t="str">
            <v>01035-M/S Al modina Store</v>
          </cell>
          <cell r="H151">
            <v>4.3499999999999996</v>
          </cell>
          <cell r="I151">
            <v>0</v>
          </cell>
          <cell r="J151">
            <v>0</v>
          </cell>
          <cell r="K151">
            <v>109544.26300263013</v>
          </cell>
          <cell r="L151">
            <v>0</v>
          </cell>
          <cell r="M151">
            <v>0</v>
          </cell>
          <cell r="N151">
            <v>2.79</v>
          </cell>
          <cell r="O151">
            <v>2.91</v>
          </cell>
          <cell r="P151">
            <v>1.043010752688172</v>
          </cell>
          <cell r="Q151">
            <v>87635.410402104128</v>
          </cell>
          <cell r="R151">
            <v>50589.9</v>
          </cell>
          <cell r="S151">
            <v>0.57727692228375005</v>
          </cell>
          <cell r="T151">
            <v>2.79</v>
          </cell>
          <cell r="U151">
            <v>2.5499999999999998</v>
          </cell>
          <cell r="V151">
            <v>0.91397849462365588</v>
          </cell>
          <cell r="W151">
            <v>87635.410402104128</v>
          </cell>
          <cell r="X151">
            <v>109182.03</v>
          </cell>
          <cell r="Y151">
            <v>1.2458665909023749</v>
          </cell>
        </row>
        <row r="152">
          <cell r="E152" t="str">
            <v>Bhola Sadar</v>
          </cell>
          <cell r="F152" t="str">
            <v>Bhola Sadar, Daulatkhan, Borhanuddin</v>
          </cell>
          <cell r="G152" t="str">
            <v>01041-M/s Ma Traders (Lalmohon)</v>
          </cell>
          <cell r="H152">
            <v>10.44</v>
          </cell>
          <cell r="I152">
            <v>0</v>
          </cell>
          <cell r="J152">
            <v>0</v>
          </cell>
          <cell r="K152">
            <v>262906.23120631237</v>
          </cell>
          <cell r="L152">
            <v>0</v>
          </cell>
          <cell r="M152">
            <v>0</v>
          </cell>
          <cell r="N152">
            <v>6.6959999999999997</v>
          </cell>
          <cell r="O152">
            <v>13.79</v>
          </cell>
          <cell r="P152">
            <v>2.0594384707287934</v>
          </cell>
          <cell r="Q152">
            <v>210324.98496504989</v>
          </cell>
          <cell r="R152">
            <v>524438</v>
          </cell>
          <cell r="S152">
            <v>2.4934650540312502</v>
          </cell>
          <cell r="T152">
            <v>6.6959999999999997</v>
          </cell>
          <cell r="U152">
            <v>13.88</v>
          </cell>
          <cell r="V152">
            <v>2.0728793309438474</v>
          </cell>
          <cell r="W152">
            <v>210324.98496504989</v>
          </cell>
          <cell r="X152">
            <v>427797.92</v>
          </cell>
          <cell r="Y152">
            <v>2.0339852636675002</v>
          </cell>
        </row>
        <row r="153">
          <cell r="E153" t="str">
            <v>Lalmohan</v>
          </cell>
          <cell r="F153" t="str">
            <v>Lalmohon, Tazumouddin</v>
          </cell>
          <cell r="G153" t="str">
            <v>01041-M/s Ma Traders (Lalmohon)</v>
          </cell>
          <cell r="H153">
            <v>17.399999999999999</v>
          </cell>
          <cell r="I153">
            <v>61.215000000000003</v>
          </cell>
          <cell r="J153">
            <v>3.5181034482758626</v>
          </cell>
          <cell r="K153">
            <v>438177.05201052054</v>
          </cell>
          <cell r="L153">
            <v>2113500</v>
          </cell>
          <cell r="M153">
            <v>4.8233927137500014</v>
          </cell>
          <cell r="N153">
            <v>11.16</v>
          </cell>
          <cell r="O153">
            <v>22.5</v>
          </cell>
          <cell r="P153">
            <v>2.0161290322580645</v>
          </cell>
          <cell r="Q153">
            <v>350541.64160841651</v>
          </cell>
          <cell r="R153">
            <v>855662</v>
          </cell>
          <cell r="S153">
            <v>2.44097105289375</v>
          </cell>
          <cell r="T153">
            <v>11.16</v>
          </cell>
          <cell r="U153">
            <v>22.647500000000001</v>
          </cell>
          <cell r="V153">
            <v>2.0293458781362008</v>
          </cell>
          <cell r="W153">
            <v>350541.64160841651</v>
          </cell>
          <cell r="X153">
            <v>697986.08</v>
          </cell>
          <cell r="Y153">
            <v>1.9911645212744999</v>
          </cell>
        </row>
        <row r="154">
          <cell r="E154" t="str">
            <v>Charfassion</v>
          </cell>
          <cell r="F154" t="str">
            <v>Charfession</v>
          </cell>
          <cell r="G154" t="str">
            <v>01042-M/s Hridoy Traders (Chorfasson)</v>
          </cell>
          <cell r="H154">
            <v>34.799999999999997</v>
          </cell>
          <cell r="I154">
            <v>48.332500000000003</v>
          </cell>
          <cell r="J154">
            <v>1.3888649425287358</v>
          </cell>
          <cell r="K154">
            <v>876354.10402104107</v>
          </cell>
          <cell r="L154">
            <v>2187730</v>
          </cell>
          <cell r="M154">
            <v>2.4963995603625007</v>
          </cell>
          <cell r="N154">
            <v>22.32</v>
          </cell>
          <cell r="O154">
            <v>24.31</v>
          </cell>
          <cell r="P154">
            <v>1.0891577060931898</v>
          </cell>
          <cell r="Q154">
            <v>701083.28321683302</v>
          </cell>
          <cell r="R154">
            <v>419980</v>
          </cell>
          <cell r="S154">
            <v>0.59904437896874996</v>
          </cell>
          <cell r="T154">
            <v>22.32</v>
          </cell>
          <cell r="U154">
            <v>24.015000000000001</v>
          </cell>
          <cell r="V154">
            <v>1.0759408602150538</v>
          </cell>
          <cell r="W154">
            <v>701083.28321683302</v>
          </cell>
          <cell r="X154">
            <v>841250</v>
          </cell>
          <cell r="Y154">
            <v>1.1999287675781249</v>
          </cell>
        </row>
        <row r="155">
          <cell r="E155" t="str">
            <v>Barisal Area</v>
          </cell>
          <cell r="F155"/>
          <cell r="G155"/>
          <cell r="H155">
            <v>223.91624999999999</v>
          </cell>
          <cell r="I155">
            <v>206.36350000000002</v>
          </cell>
          <cell r="J155">
            <v>0.92161020024227824</v>
          </cell>
          <cell r="K155">
            <v>5638790.938060387</v>
          </cell>
          <cell r="L155">
            <v>10239597</v>
          </cell>
          <cell r="M155">
            <v>1.8159206667665859</v>
          </cell>
          <cell r="N155">
            <v>143.61525</v>
          </cell>
          <cell r="O155">
            <v>181.82</v>
          </cell>
          <cell r="P155">
            <v>1.2660215401915882</v>
          </cell>
          <cell r="Q155">
            <v>4511032.7504483098</v>
          </cell>
          <cell r="R155">
            <v>3866410</v>
          </cell>
          <cell r="S155">
            <v>0.85710084893880523</v>
          </cell>
          <cell r="T155">
            <v>143.61525</v>
          </cell>
          <cell r="U155">
            <v>157.60750000000002</v>
          </cell>
          <cell r="V155">
            <v>1.0974287201394004</v>
          </cell>
          <cell r="W155">
            <v>4511032.7504483098</v>
          </cell>
          <cell r="X155">
            <v>6078024</v>
          </cell>
          <cell r="Y155">
            <v>1.3473686262632345</v>
          </cell>
        </row>
        <row r="156">
          <cell r="E156" t="str">
            <v>Bagerhat Sadar</v>
          </cell>
          <cell r="F156" t="str">
            <v xml:space="preserve">Rampal, Fakirhat, Bagerhat Sadar </v>
          </cell>
          <cell r="G156" t="str">
            <v>03046-M/S Mamun And Brothers-2</v>
          </cell>
          <cell r="H156">
            <v>223.15499999999997</v>
          </cell>
          <cell r="I156">
            <v>0</v>
          </cell>
          <cell r="J156">
            <v>0</v>
          </cell>
          <cell r="K156">
            <v>5619620.6920349263</v>
          </cell>
          <cell r="L156">
            <v>0</v>
          </cell>
          <cell r="M156">
            <v>0</v>
          </cell>
          <cell r="N156">
            <v>143.12700000000001</v>
          </cell>
          <cell r="O156">
            <v>191.95</v>
          </cell>
          <cell r="P156">
            <v>1.3411166306846365</v>
          </cell>
          <cell r="Q156">
            <v>4495696.5536279418</v>
          </cell>
          <cell r="R156">
            <v>6008850</v>
          </cell>
          <cell r="S156">
            <v>1.3365781983552631</v>
          </cell>
          <cell r="T156">
            <v>143.12700000000001</v>
          </cell>
          <cell r="U156">
            <v>105.86750000000001</v>
          </cell>
          <cell r="V156">
            <v>0.73967525344624008</v>
          </cell>
          <cell r="W156">
            <v>4495696.5536279418</v>
          </cell>
          <cell r="X156">
            <v>5204250</v>
          </cell>
          <cell r="Y156">
            <v>1.1576070444078947</v>
          </cell>
        </row>
        <row r="157">
          <cell r="E157" t="str">
            <v>Morrelganj</v>
          </cell>
          <cell r="F157" t="str">
            <v xml:space="preserve">Mongla,Saronkhola, One Part of Morrelganj </v>
          </cell>
          <cell r="G157" t="str">
            <v>03046-M/S Mamun And Brothers-2</v>
          </cell>
          <cell r="H157">
            <v>228.37499999999997</v>
          </cell>
          <cell r="I157">
            <v>0</v>
          </cell>
          <cell r="J157">
            <v>0</v>
          </cell>
          <cell r="K157">
            <v>5751073.8076380827</v>
          </cell>
          <cell r="L157">
            <v>0</v>
          </cell>
          <cell r="M157">
            <v>0</v>
          </cell>
          <cell r="N157">
            <v>146.47499999999999</v>
          </cell>
          <cell r="O157">
            <v>199.06</v>
          </cell>
          <cell r="P157">
            <v>1.3590032428742107</v>
          </cell>
          <cell r="Q157">
            <v>4600859.0461104661</v>
          </cell>
          <cell r="R157">
            <v>6231400</v>
          </cell>
          <cell r="S157">
            <v>1.3543992410000001</v>
          </cell>
          <cell r="T157">
            <v>146.47499999999999</v>
          </cell>
          <cell r="U157">
            <v>109.79</v>
          </cell>
          <cell r="V157">
            <v>0.74954770438641416</v>
          </cell>
          <cell r="W157">
            <v>4600859.0461104661</v>
          </cell>
          <cell r="X157">
            <v>5397000</v>
          </cell>
          <cell r="Y157">
            <v>1.1730418050000002</v>
          </cell>
        </row>
        <row r="158">
          <cell r="E158" t="str">
            <v>Kachua_Bagerhat</v>
          </cell>
          <cell r="F158" t="str">
            <v xml:space="preserve">Kachua, One Part of Morrelganj </v>
          </cell>
          <cell r="G158" t="str">
            <v>03046-M/S Mamun And Brothers-2</v>
          </cell>
          <cell r="H158">
            <v>230.98499999999999</v>
          </cell>
          <cell r="I158">
            <v>0</v>
          </cell>
          <cell r="J158">
            <v>0</v>
          </cell>
          <cell r="K158">
            <v>5816800.3654396618</v>
          </cell>
          <cell r="L158">
            <v>0</v>
          </cell>
          <cell r="M158">
            <v>0</v>
          </cell>
          <cell r="N158">
            <v>148.149</v>
          </cell>
          <cell r="O158">
            <v>199.06</v>
          </cell>
          <cell r="P158">
            <v>1.3436472740281744</v>
          </cell>
          <cell r="Q158">
            <v>4653440.2923517283</v>
          </cell>
          <cell r="R158">
            <v>6231400</v>
          </cell>
          <cell r="S158">
            <v>1.3390952947740116</v>
          </cell>
          <cell r="T158">
            <v>148.149</v>
          </cell>
          <cell r="U158">
            <v>109.79</v>
          </cell>
          <cell r="V158">
            <v>0.74107823880012691</v>
          </cell>
          <cell r="W158">
            <v>4653440.2923517283</v>
          </cell>
          <cell r="X158">
            <v>5397000</v>
          </cell>
          <cell r="Y158">
            <v>1.1597870953389833</v>
          </cell>
        </row>
        <row r="159">
          <cell r="E159" t="str">
            <v>Chitalmari</v>
          </cell>
          <cell r="F159" t="str">
            <v xml:space="preserve">Mollarhat, Chitolmari </v>
          </cell>
          <cell r="G159" t="str">
            <v>03046-M/S Mamun And Brothers-2</v>
          </cell>
          <cell r="H159">
            <v>98.962499999999991</v>
          </cell>
          <cell r="I159">
            <v>0</v>
          </cell>
          <cell r="J159">
            <v>0</v>
          </cell>
          <cell r="K159">
            <v>2492131.9833098361</v>
          </cell>
          <cell r="L159">
            <v>0</v>
          </cell>
          <cell r="M159">
            <v>0</v>
          </cell>
          <cell r="N159">
            <v>63.472499999999997</v>
          </cell>
          <cell r="O159">
            <v>85.31</v>
          </cell>
          <cell r="P159">
            <v>1.3440466343692152</v>
          </cell>
          <cell r="Q159">
            <v>1993705.5866478689</v>
          </cell>
          <cell r="R159">
            <v>2670600</v>
          </cell>
          <cell r="S159">
            <v>1.3395157328571428</v>
          </cell>
          <cell r="T159">
            <v>63.472499999999997</v>
          </cell>
          <cell r="U159">
            <v>47.052500000000002</v>
          </cell>
          <cell r="V159">
            <v>0.74130528969238652</v>
          </cell>
          <cell r="W159">
            <v>1993705.5866478689</v>
          </cell>
          <cell r="X159">
            <v>2313000</v>
          </cell>
          <cell r="Y159">
            <v>1.1601512357142858</v>
          </cell>
        </row>
        <row r="160">
          <cell r="E160" t="str">
            <v>Pirojpur Sadar</v>
          </cell>
          <cell r="F160" t="str">
            <v xml:space="preserve">Nazirpur,Zianogar,Nesarabad, Pirojpur Sadar </v>
          </cell>
          <cell r="G160" t="str">
            <v>03046-M/S Mamun And Brothers-2</v>
          </cell>
          <cell r="H160">
            <v>39.584999999999994</v>
          </cell>
          <cell r="I160">
            <v>0</v>
          </cell>
          <cell r="J160">
            <v>0</v>
          </cell>
          <cell r="K160">
            <v>996852.79332393419</v>
          </cell>
          <cell r="L160">
            <v>0</v>
          </cell>
          <cell r="M160">
            <v>0</v>
          </cell>
          <cell r="N160">
            <v>25.388999999999999</v>
          </cell>
          <cell r="O160">
            <v>35.549999999999997</v>
          </cell>
          <cell r="P160">
            <v>1.4002126905352712</v>
          </cell>
          <cell r="Q160">
            <v>797482.23465914757</v>
          </cell>
          <cell r="R160">
            <v>1112750</v>
          </cell>
          <cell r="S160">
            <v>1.3953288883928572</v>
          </cell>
          <cell r="T160">
            <v>25.388999999999999</v>
          </cell>
          <cell r="U160">
            <v>19.605</v>
          </cell>
          <cell r="V160">
            <v>0.77218480444286897</v>
          </cell>
          <cell r="W160">
            <v>797482.23465914757</v>
          </cell>
          <cell r="X160">
            <v>963750</v>
          </cell>
          <cell r="Y160">
            <v>1.2084908705357142</v>
          </cell>
        </row>
        <row r="161">
          <cell r="E161" t="str">
            <v>Mathbaria</v>
          </cell>
          <cell r="F161" t="str">
            <v xml:space="preserve">Kawkhali, Bhandaria, Mathbaria </v>
          </cell>
          <cell r="G161" t="str">
            <v xml:space="preserve">01016-M/S Faraji Traders (Pirojpur) </v>
          </cell>
          <cell r="H161">
            <v>80.387999999999991</v>
          </cell>
          <cell r="I161">
            <v>0</v>
          </cell>
          <cell r="J161">
            <v>0</v>
          </cell>
          <cell r="K161">
            <v>2024377.9802886054</v>
          </cell>
          <cell r="L161">
            <v>0</v>
          </cell>
          <cell r="M161">
            <v>0</v>
          </cell>
          <cell r="N161">
            <v>51.559199999999997</v>
          </cell>
          <cell r="O161">
            <v>84.43</v>
          </cell>
          <cell r="P161">
            <v>1.637535105277041</v>
          </cell>
          <cell r="Q161">
            <v>1619502.3842308843</v>
          </cell>
          <cell r="R161">
            <v>4267971</v>
          </cell>
          <cell r="S161">
            <v>2.6353595039793021</v>
          </cell>
          <cell r="T161">
            <v>51.559199999999997</v>
          </cell>
          <cell r="U161">
            <v>72.650000000000006</v>
          </cell>
          <cell r="V161">
            <v>1.4090598768018125</v>
          </cell>
          <cell r="W161">
            <v>1619502.3842308843</v>
          </cell>
          <cell r="X161">
            <v>3056394</v>
          </cell>
          <cell r="Y161">
            <v>1.8872426677232144</v>
          </cell>
        </row>
        <row r="162">
          <cell r="E162" t="str">
            <v>Bagerhat Area</v>
          </cell>
          <cell r="F162"/>
          <cell r="G162"/>
          <cell r="H162">
            <v>901.45050000000003</v>
          </cell>
          <cell r="I162">
            <v>0</v>
          </cell>
          <cell r="J162">
            <v>0</v>
          </cell>
          <cell r="K162">
            <v>22700857.622035045</v>
          </cell>
          <cell r="L162">
            <v>0</v>
          </cell>
          <cell r="M162">
            <v>0</v>
          </cell>
          <cell r="N162">
            <v>578.17169999999999</v>
          </cell>
          <cell r="O162">
            <v>795.3599999999999</v>
          </cell>
          <cell r="P162">
            <v>1.375646715326952</v>
          </cell>
          <cell r="Q162">
            <v>18160686.097628038</v>
          </cell>
          <cell r="R162">
            <v>26522971</v>
          </cell>
          <cell r="S162">
            <v>1.4604608469866212</v>
          </cell>
          <cell r="T162">
            <v>578.17169999999999</v>
          </cell>
          <cell r="U162">
            <v>464.75500000000011</v>
          </cell>
          <cell r="V162">
            <v>0.8038356080036434</v>
          </cell>
          <cell r="W162">
            <v>18160686.097628038</v>
          </cell>
          <cell r="X162">
            <v>22331394</v>
          </cell>
          <cell r="Y162">
            <v>1.2296558555084929</v>
          </cell>
        </row>
        <row r="163">
          <cell r="E163" t="str">
            <v>Kalapara</v>
          </cell>
          <cell r="F163" t="str">
            <v>Kalapara</v>
          </cell>
          <cell r="G163" t="str">
            <v>01029-M/S Rumen Traders</v>
          </cell>
          <cell r="H163">
            <v>432.39</v>
          </cell>
          <cell r="I163">
            <v>375.68610000000001</v>
          </cell>
          <cell r="J163">
            <v>0.86885936307500178</v>
          </cell>
          <cell r="K163">
            <v>10888699.742461437</v>
          </cell>
          <cell r="L163">
            <v>13085640</v>
          </cell>
          <cell r="M163">
            <v>1.2017633243179076</v>
          </cell>
          <cell r="N163">
            <v>277.32600000000002</v>
          </cell>
          <cell r="O163">
            <v>291.42</v>
          </cell>
          <cell r="P163">
            <v>1.0508210553644448</v>
          </cell>
          <cell r="Q163">
            <v>8710959.7939691506</v>
          </cell>
          <cell r="R163">
            <v>10438127.699999999</v>
          </cell>
          <cell r="S163">
            <v>1.1982752701058976</v>
          </cell>
          <cell r="T163">
            <v>277.32600000000002</v>
          </cell>
          <cell r="U163">
            <v>125.9075</v>
          </cell>
          <cell r="V163">
            <v>0.45400539437340887</v>
          </cell>
          <cell r="W163">
            <v>8710959.7939691525</v>
          </cell>
          <cell r="X163">
            <v>5418205</v>
          </cell>
          <cell r="Y163">
            <v>0.62199862336078959</v>
          </cell>
        </row>
        <row r="164">
          <cell r="E164" t="str">
            <v>Betagi</v>
          </cell>
          <cell r="F164" t="str">
            <v>Betagi, Mirzagong,Bamna, Pathorghata half</v>
          </cell>
          <cell r="G164" t="str">
            <v>01015-M/S Sanjib iron store</v>
          </cell>
          <cell r="H164">
            <v>152.25</v>
          </cell>
          <cell r="I164">
            <v>0</v>
          </cell>
          <cell r="J164">
            <v>0</v>
          </cell>
          <cell r="K164">
            <v>3834049.2050920557</v>
          </cell>
          <cell r="L164">
            <v>0</v>
          </cell>
          <cell r="M164">
            <v>0</v>
          </cell>
          <cell r="N164">
            <v>97.65</v>
          </cell>
          <cell r="O164">
            <v>122.27</v>
          </cell>
          <cell r="P164">
            <v>1.2521249359959037</v>
          </cell>
          <cell r="Q164">
            <v>3067239.3640736444</v>
          </cell>
          <cell r="R164">
            <v>4793531.04</v>
          </cell>
          <cell r="S164">
            <v>1.5628160932421142</v>
          </cell>
          <cell r="T164">
            <v>97.65</v>
          </cell>
          <cell r="U164">
            <v>45.84</v>
          </cell>
          <cell r="V164">
            <v>0.46943164362519202</v>
          </cell>
          <cell r="W164">
            <v>3067239.3640736444</v>
          </cell>
          <cell r="X164">
            <v>1938670.2</v>
          </cell>
          <cell r="Y164">
            <v>0.63205702910164285</v>
          </cell>
        </row>
        <row r="165">
          <cell r="E165" t="str">
            <v>Taltali</v>
          </cell>
          <cell r="F165" t="str">
            <v>Taltoli</v>
          </cell>
          <cell r="G165" t="str">
            <v>01015-M/S Sanjib iron store</v>
          </cell>
          <cell r="H165">
            <v>304.5</v>
          </cell>
          <cell r="I165">
            <v>0</v>
          </cell>
          <cell r="J165">
            <v>0</v>
          </cell>
          <cell r="K165">
            <v>7668098.4101841114</v>
          </cell>
          <cell r="L165">
            <v>0</v>
          </cell>
          <cell r="M165">
            <v>0</v>
          </cell>
          <cell r="N165">
            <v>195.3</v>
          </cell>
          <cell r="O165">
            <v>244.53</v>
          </cell>
          <cell r="P165">
            <v>1.252073732718894</v>
          </cell>
          <cell r="Q165">
            <v>6134478.7281472888</v>
          </cell>
          <cell r="R165">
            <v>9587062.0800000001</v>
          </cell>
          <cell r="S165">
            <v>1.5628160932421142</v>
          </cell>
          <cell r="T165">
            <v>195.3</v>
          </cell>
          <cell r="U165">
            <v>91.682500000000005</v>
          </cell>
          <cell r="V165">
            <v>0.46944444444444444</v>
          </cell>
          <cell r="W165">
            <v>6134478.7281472888</v>
          </cell>
          <cell r="X165">
            <v>3877340.4</v>
          </cell>
          <cell r="Y165">
            <v>0.63205702910164285</v>
          </cell>
        </row>
        <row r="166">
          <cell r="E166" t="str">
            <v>Patharghata</v>
          </cell>
          <cell r="F166" t="str">
            <v>Pathorghata</v>
          </cell>
          <cell r="G166" t="str">
            <v>01033-M/S Islam Traders (Borguna) Dr</v>
          </cell>
          <cell r="H166">
            <v>139.19999999999999</v>
          </cell>
          <cell r="I166">
            <v>121.16374999999999</v>
          </cell>
          <cell r="J166">
            <v>0.87042923850574716</v>
          </cell>
          <cell r="K166">
            <v>3505416.4160841643</v>
          </cell>
          <cell r="L166">
            <v>4861000</v>
          </cell>
          <cell r="M166">
            <v>1.3867111415625002</v>
          </cell>
          <cell r="N166">
            <v>89.28</v>
          </cell>
          <cell r="O166">
            <v>182.09</v>
          </cell>
          <cell r="P166">
            <v>2.0395385304659497</v>
          </cell>
          <cell r="Q166">
            <v>2804333.1328673321</v>
          </cell>
          <cell r="R166">
            <v>5326200</v>
          </cell>
          <cell r="S166">
            <v>1.899275067421875</v>
          </cell>
          <cell r="T166">
            <v>89.28</v>
          </cell>
          <cell r="U166">
            <v>96.99</v>
          </cell>
          <cell r="V166">
            <v>1.0863575268817203</v>
          </cell>
          <cell r="W166">
            <v>2804333.1328673321</v>
          </cell>
          <cell r="X166">
            <v>3975600</v>
          </cell>
          <cell r="Y166">
            <v>1.41766324171875</v>
          </cell>
        </row>
        <row r="167">
          <cell r="E167" t="str">
            <v>Galachipa</v>
          </cell>
          <cell r="F167" t="str">
            <v>Galachipa</v>
          </cell>
          <cell r="G167" t="str">
            <v>01043-M/s Kamiyab Enterprise (Patuakhali)</v>
          </cell>
          <cell r="H167">
            <v>180.95999999999998</v>
          </cell>
          <cell r="I167">
            <v>72.767499999999998</v>
          </cell>
          <cell r="J167">
            <v>0.40211925287356326</v>
          </cell>
          <cell r="K167">
            <v>4557041.340909414</v>
          </cell>
          <cell r="L167">
            <v>3333880</v>
          </cell>
          <cell r="M167">
            <v>0.7315887108750001</v>
          </cell>
          <cell r="N167">
            <v>116.06399999999999</v>
          </cell>
          <cell r="O167">
            <v>109.16</v>
          </cell>
          <cell r="P167">
            <v>0.94051557761235183</v>
          </cell>
          <cell r="Q167">
            <v>3645633.0727275312</v>
          </cell>
          <cell r="R167">
            <v>3087400</v>
          </cell>
          <cell r="S167">
            <v>0.84687623203125006</v>
          </cell>
          <cell r="T167">
            <v>116.06399999999999</v>
          </cell>
          <cell r="U167">
            <v>48.5</v>
          </cell>
          <cell r="V167">
            <v>0.41787289771160741</v>
          </cell>
          <cell r="W167">
            <v>3645633.0727275312</v>
          </cell>
          <cell r="X167">
            <v>1757950</v>
          </cell>
          <cell r="Y167">
            <v>0.48220705839843758</v>
          </cell>
        </row>
        <row r="168">
          <cell r="E168" t="str">
            <v>Patuakhali</v>
          </cell>
          <cell r="F168" t="str">
            <v>Patuakhali, Dumki</v>
          </cell>
          <cell r="G168" t="str">
            <v>01029-M/S Rumen Traders</v>
          </cell>
          <cell r="H168">
            <v>130.5</v>
          </cell>
          <cell r="I168">
            <v>0</v>
          </cell>
          <cell r="J168">
            <v>0</v>
          </cell>
          <cell r="K168">
            <v>3286327.890078905</v>
          </cell>
          <cell r="L168">
            <v>0</v>
          </cell>
          <cell r="M168">
            <v>0</v>
          </cell>
          <cell r="N168">
            <v>83.7</v>
          </cell>
          <cell r="O168">
            <v>85.18</v>
          </cell>
          <cell r="P168">
            <v>1.0176821983273596</v>
          </cell>
          <cell r="Q168">
            <v>2629062.3120631236</v>
          </cell>
          <cell r="R168">
            <v>3051145.02</v>
          </cell>
          <cell r="S168">
            <v>1.160544961601025</v>
          </cell>
          <cell r="T168">
            <v>83.7</v>
          </cell>
          <cell r="U168">
            <v>36.802500000000002</v>
          </cell>
          <cell r="V168">
            <v>0.4396953405017921</v>
          </cell>
          <cell r="W168">
            <v>2629062.3120631236</v>
          </cell>
          <cell r="X168">
            <v>1583783</v>
          </cell>
          <cell r="Y168">
            <v>0.60241364106625006</v>
          </cell>
        </row>
        <row r="169">
          <cell r="E169" t="str">
            <v>Amtali</v>
          </cell>
          <cell r="F169" t="str">
            <v>Amtoli</v>
          </cell>
          <cell r="G169" t="str">
            <v>01039-Sekandar Traders</v>
          </cell>
          <cell r="H169">
            <v>417.59999999999997</v>
          </cell>
          <cell r="I169">
            <v>400.44274999999999</v>
          </cell>
          <cell r="J169">
            <v>0.95891463122605369</v>
          </cell>
          <cell r="K169">
            <v>10516249.248252494</v>
          </cell>
          <cell r="L169">
            <v>13983000</v>
          </cell>
          <cell r="M169">
            <v>1.3296565790625001</v>
          </cell>
          <cell r="N169">
            <v>267.83999999999997</v>
          </cell>
          <cell r="O169">
            <v>375.8</v>
          </cell>
          <cell r="P169">
            <v>1.4030764635603348</v>
          </cell>
          <cell r="Q169">
            <v>8412999.3986019939</v>
          </cell>
          <cell r="R169">
            <v>14039000</v>
          </cell>
          <cell r="S169">
            <v>1.6687270894531254</v>
          </cell>
          <cell r="T169">
            <v>267.83999999999997</v>
          </cell>
          <cell r="U169">
            <v>169.55250000000001</v>
          </cell>
          <cell r="V169">
            <v>0.63303651433691766</v>
          </cell>
          <cell r="W169">
            <v>8412999.3986019939</v>
          </cell>
          <cell r="X169">
            <v>5617000</v>
          </cell>
          <cell r="Y169">
            <v>0.66765724492187517</v>
          </cell>
        </row>
        <row r="170">
          <cell r="E170" t="str">
            <v>Dashmina</v>
          </cell>
          <cell r="F170" t="str">
            <v>Baufall, Dasmina</v>
          </cell>
          <cell r="G170" t="str">
            <v>01029-M/S Rumen Traders</v>
          </cell>
          <cell r="H170">
            <v>104.39999999999999</v>
          </cell>
          <cell r="I170">
            <v>0</v>
          </cell>
          <cell r="J170">
            <v>0</v>
          </cell>
          <cell r="K170">
            <v>2629062.3120631236</v>
          </cell>
          <cell r="L170">
            <v>0</v>
          </cell>
          <cell r="M170">
            <v>0</v>
          </cell>
          <cell r="N170">
            <v>66.959999999999994</v>
          </cell>
          <cell r="O170">
            <v>71.73</v>
          </cell>
          <cell r="P170">
            <v>1.0712365591397852</v>
          </cell>
          <cell r="Q170">
            <v>2103249.8496504985</v>
          </cell>
          <cell r="R170">
            <v>2569385.2799999998</v>
          </cell>
          <cell r="S170">
            <v>1.2216262753695002</v>
          </cell>
          <cell r="T170">
            <v>66.959999999999994</v>
          </cell>
          <cell r="U170">
            <v>30.9925</v>
          </cell>
          <cell r="V170">
            <v>0.46285095579450419</v>
          </cell>
          <cell r="W170">
            <v>2103249.8496504985</v>
          </cell>
          <cell r="X170">
            <v>1333712</v>
          </cell>
          <cell r="Y170">
            <v>0.63411962217500017</v>
          </cell>
        </row>
        <row r="171">
          <cell r="E171" t="str">
            <v xml:space="preserve">Barguna Sadar </v>
          </cell>
          <cell r="F171" t="str">
            <v xml:space="preserve">Barguna Sadar </v>
          </cell>
          <cell r="G171" t="str">
            <v>01015-M/S Sanjib iron store</v>
          </cell>
          <cell r="H171">
            <v>391.5</v>
          </cell>
          <cell r="I171">
            <v>680.20899999999995</v>
          </cell>
          <cell r="J171">
            <v>1.7374431673052362</v>
          </cell>
          <cell r="K171">
            <v>9858983.6702367142</v>
          </cell>
          <cell r="L171">
            <v>24785380</v>
          </cell>
          <cell r="M171">
            <v>2.5139893551933334</v>
          </cell>
          <cell r="N171">
            <v>251.1</v>
          </cell>
          <cell r="O171">
            <v>312.45999999999998</v>
          </cell>
          <cell r="P171">
            <v>1.2443647949024292</v>
          </cell>
          <cell r="Q171">
            <v>7887186.9361893721</v>
          </cell>
          <cell r="R171">
            <v>12250134.880000001</v>
          </cell>
          <cell r="S171">
            <v>1.5531690803208666</v>
          </cell>
          <cell r="T171">
            <v>251.1</v>
          </cell>
          <cell r="U171">
            <v>117.15</v>
          </cell>
          <cell r="V171">
            <v>0.466547192353644</v>
          </cell>
          <cell r="W171">
            <v>7887186.9361893702</v>
          </cell>
          <cell r="X171">
            <v>4954379.4000000004</v>
          </cell>
          <cell r="Y171">
            <v>0.62815544250225008</v>
          </cell>
        </row>
        <row r="172">
          <cell r="E172" t="str">
            <v>Barguna Area</v>
          </cell>
          <cell r="F172"/>
          <cell r="G172"/>
          <cell r="H172">
            <v>2253.3000000000002</v>
          </cell>
          <cell r="I172">
            <v>1650.2691</v>
          </cell>
          <cell r="J172">
            <v>0.73237877779257088</v>
          </cell>
          <cell r="K172">
            <v>56743928.235362418</v>
          </cell>
          <cell r="L172">
            <v>60048900</v>
          </cell>
          <cell r="M172">
            <v>1.058243619492278</v>
          </cell>
          <cell r="N172">
            <v>1445.22</v>
          </cell>
          <cell r="O172">
            <v>1794.64</v>
          </cell>
          <cell r="P172">
            <v>1.241776338550532</v>
          </cell>
          <cell r="Q172">
            <v>45395142.588289931</v>
          </cell>
          <cell r="R172">
            <v>65141986.000000007</v>
          </cell>
          <cell r="S172">
            <v>1.434999039232095</v>
          </cell>
          <cell r="T172">
            <v>1445.22</v>
          </cell>
          <cell r="U172">
            <v>763.41750000000002</v>
          </cell>
          <cell r="V172">
            <v>0.52823618549425</v>
          </cell>
          <cell r="W172">
            <v>45395142.588289931</v>
          </cell>
          <cell r="X172">
            <v>30456640</v>
          </cell>
          <cell r="Y172">
            <v>0.67092288433204639</v>
          </cell>
        </row>
        <row r="173">
          <cell r="E173" t="str">
            <v>Shyamnagar-1</v>
          </cell>
          <cell r="F173" t="str">
            <v>Shymnagar</v>
          </cell>
          <cell r="G173" t="str">
            <v>03010-M/S Swift Traders</v>
          </cell>
          <cell r="H173">
            <v>469.79999999999995</v>
          </cell>
          <cell r="I173">
            <v>602.18849999999998</v>
          </cell>
          <cell r="J173">
            <v>1.2817975734355045</v>
          </cell>
          <cell r="K173">
            <v>11830780.404284056</v>
          </cell>
          <cell r="L173">
            <v>18162910</v>
          </cell>
          <cell r="M173">
            <v>1.5352250130027778</v>
          </cell>
          <cell r="N173">
            <v>301.32</v>
          </cell>
          <cell r="O173">
            <v>216.57</v>
          </cell>
          <cell r="P173">
            <v>0.71873755475906009</v>
          </cell>
          <cell r="Q173">
            <v>9464624.323427245</v>
          </cell>
          <cell r="R173">
            <v>7381952.7999999998</v>
          </cell>
          <cell r="S173">
            <v>0.77995201370305556</v>
          </cell>
          <cell r="T173">
            <v>301.32</v>
          </cell>
          <cell r="U173">
            <v>231.09</v>
          </cell>
          <cell r="V173">
            <v>0.76692552767821587</v>
          </cell>
          <cell r="W173">
            <v>9464624.323427245</v>
          </cell>
          <cell r="X173">
            <v>7549381.2000000002</v>
          </cell>
          <cell r="Y173">
            <v>0.79764192872541673</v>
          </cell>
        </row>
        <row r="174">
          <cell r="E174" t="str">
            <v>Shyamnagar-2</v>
          </cell>
          <cell r="F174" t="str">
            <v>Shymnagar</v>
          </cell>
          <cell r="G174" t="str">
            <v>03010-M/S Swift Traders</v>
          </cell>
          <cell r="H174">
            <v>400.2</v>
          </cell>
          <cell r="I174">
            <v>0</v>
          </cell>
          <cell r="J174">
            <v>0</v>
          </cell>
          <cell r="K174">
            <v>10078072.196241975</v>
          </cell>
          <cell r="L174">
            <v>0</v>
          </cell>
          <cell r="M174">
            <v>0</v>
          </cell>
          <cell r="N174">
            <v>256.68</v>
          </cell>
          <cell r="O174">
            <v>184.08</v>
          </cell>
          <cell r="P174">
            <v>0.71715755025712957</v>
          </cell>
          <cell r="Q174">
            <v>8062457.7569935797</v>
          </cell>
          <cell r="R174">
            <v>6274659.8799999999</v>
          </cell>
          <cell r="S174">
            <v>0.77825646584717934</v>
          </cell>
          <cell r="T174">
            <v>256.68</v>
          </cell>
          <cell r="U174">
            <v>196.42500000000001</v>
          </cell>
          <cell r="V174">
            <v>0.76525245441795231</v>
          </cell>
          <cell r="W174">
            <v>8062457.7569935797</v>
          </cell>
          <cell r="X174">
            <v>16416711.02</v>
          </cell>
          <cell r="Y174">
            <v>2.0361918802935408</v>
          </cell>
        </row>
        <row r="175">
          <cell r="E175" t="str">
            <v>Kaliganj_Satkhira</v>
          </cell>
          <cell r="F175" t="str">
            <v>Kaliganj</v>
          </cell>
          <cell r="G175" t="str">
            <v>03010-M/S Swift Traders</v>
          </cell>
          <cell r="H175">
            <v>295.79999999999995</v>
          </cell>
          <cell r="I175">
            <v>0</v>
          </cell>
          <cell r="J175">
            <v>0</v>
          </cell>
          <cell r="K175">
            <v>7449009.8841788499</v>
          </cell>
          <cell r="L175">
            <v>0</v>
          </cell>
          <cell r="M175">
            <v>0</v>
          </cell>
          <cell r="N175">
            <v>189.72</v>
          </cell>
          <cell r="O175">
            <v>140.77000000000001</v>
          </cell>
          <cell r="P175">
            <v>0.74198819312671316</v>
          </cell>
          <cell r="Q175">
            <v>5959207.9073430812</v>
          </cell>
          <cell r="R175">
            <v>4798269.32</v>
          </cell>
          <cell r="S175">
            <v>0.8051857553228603</v>
          </cell>
          <cell r="T175">
            <v>189.72</v>
          </cell>
          <cell r="U175">
            <v>150.20750000000001</v>
          </cell>
          <cell r="V175">
            <v>0.79173255323634839</v>
          </cell>
          <cell r="W175">
            <v>5959207.9073430803</v>
          </cell>
          <cell r="X175">
            <v>4907097.78</v>
          </cell>
          <cell r="Y175">
            <v>0.82344799112535672</v>
          </cell>
        </row>
        <row r="176">
          <cell r="E176" t="str">
            <v>Debhata</v>
          </cell>
          <cell r="F176" t="str">
            <v>Debhata</v>
          </cell>
          <cell r="G176" t="str">
            <v>03004-Bismillah Agency</v>
          </cell>
          <cell r="H176">
            <v>434.99999999999994</v>
          </cell>
          <cell r="I176">
            <v>121.07950000000001</v>
          </cell>
          <cell r="J176">
            <v>0.27834367816091959</v>
          </cell>
          <cell r="K176">
            <v>10954426.300263016</v>
          </cell>
          <cell r="L176">
            <v>6970000</v>
          </cell>
          <cell r="M176">
            <v>0.636272481</v>
          </cell>
          <cell r="N176">
            <v>279</v>
          </cell>
          <cell r="O176">
            <v>331.42</v>
          </cell>
          <cell r="P176">
            <v>1.1878853046594984</v>
          </cell>
          <cell r="Q176">
            <v>8763541.0402104128</v>
          </cell>
          <cell r="R176">
            <v>9809000</v>
          </cell>
          <cell r="S176">
            <v>1.119296407125</v>
          </cell>
          <cell r="T176">
            <v>279</v>
          </cell>
          <cell r="U176">
            <v>326.11750000000001</v>
          </cell>
          <cell r="V176">
            <v>1.1688799283154123</v>
          </cell>
          <cell r="W176">
            <v>8763541.0402104128</v>
          </cell>
          <cell r="X176">
            <v>10400000</v>
          </cell>
          <cell r="Y176">
            <v>1.1867349</v>
          </cell>
        </row>
        <row r="177">
          <cell r="E177" t="str">
            <v>Satkhira-1</v>
          </cell>
          <cell r="F177" t="str">
            <v xml:space="preserve">Satkhira </v>
          </cell>
          <cell r="G177" t="str">
            <v>03026-M/S Abdur Razzaq &amp; Brothers</v>
          </cell>
          <cell r="H177">
            <v>417.59999999999997</v>
          </cell>
          <cell r="I177">
            <v>193.17500000000001</v>
          </cell>
          <cell r="J177">
            <v>0.46258381226053646</v>
          </cell>
          <cell r="K177">
            <v>10516249.248252494</v>
          </cell>
          <cell r="L177">
            <v>6122000</v>
          </cell>
          <cell r="M177">
            <v>0.58214671937500007</v>
          </cell>
          <cell r="N177">
            <v>267.83999999999997</v>
          </cell>
          <cell r="O177">
            <v>193.02</v>
          </cell>
          <cell r="P177">
            <v>0.7206541218637994</v>
          </cell>
          <cell r="Q177">
            <v>8412999.3986019939</v>
          </cell>
          <cell r="R177">
            <v>5717610</v>
          </cell>
          <cell r="S177">
            <v>0.67961611894921892</v>
          </cell>
          <cell r="T177">
            <v>267.83999999999997</v>
          </cell>
          <cell r="U177">
            <v>247.04249999999999</v>
          </cell>
          <cell r="V177">
            <v>0.92235103046594991</v>
          </cell>
          <cell r="W177">
            <v>8412999.3986019939</v>
          </cell>
          <cell r="X177">
            <v>8771540</v>
          </cell>
          <cell r="Y177">
            <v>1.0426174523984377</v>
          </cell>
        </row>
        <row r="178">
          <cell r="E178" t="str">
            <v>Kalaroa</v>
          </cell>
          <cell r="F178" t="str">
            <v>Kolarua</v>
          </cell>
          <cell r="G178" t="str">
            <v>03002-Shohel Traders</v>
          </cell>
          <cell r="H178">
            <v>78.3</v>
          </cell>
          <cell r="I178">
            <v>12</v>
          </cell>
          <cell r="J178">
            <v>0.15325670498084293</v>
          </cell>
          <cell r="K178">
            <v>1971796.734047343</v>
          </cell>
          <cell r="L178">
            <v>817700</v>
          </cell>
          <cell r="M178">
            <v>0.41469791783333332</v>
          </cell>
          <cell r="N178">
            <v>50.22</v>
          </cell>
          <cell r="O178">
            <v>102.78</v>
          </cell>
          <cell r="P178">
            <v>2.0465949820788532</v>
          </cell>
          <cell r="Q178">
            <v>1577437.3872378743</v>
          </cell>
          <cell r="R178">
            <v>3084732.5</v>
          </cell>
          <cell r="S178">
            <v>1.9555340357447917</v>
          </cell>
          <cell r="T178">
            <v>50.22</v>
          </cell>
          <cell r="U178">
            <v>48.0075</v>
          </cell>
          <cell r="V178">
            <v>0.95594384707287938</v>
          </cell>
          <cell r="W178">
            <v>1577437.3872378743</v>
          </cell>
          <cell r="X178">
            <v>2093732</v>
          </cell>
          <cell r="Y178">
            <v>1.3272995916916666</v>
          </cell>
        </row>
        <row r="179">
          <cell r="E179" t="str">
            <v>Patkelgata</v>
          </cell>
          <cell r="F179" t="str">
            <v>Patkelgata</v>
          </cell>
          <cell r="G179" t="str">
            <v>03003-Rayhan Enterprise (Satkhira)-Dr</v>
          </cell>
          <cell r="H179">
            <v>112.22999999999999</v>
          </cell>
          <cell r="I179">
            <v>266.78474999999997</v>
          </cell>
          <cell r="J179">
            <v>2.3771251002405775</v>
          </cell>
          <cell r="K179">
            <v>2826241.9854678577</v>
          </cell>
          <cell r="L179">
            <v>6990904</v>
          </cell>
          <cell r="M179">
            <v>2.4735688012372097</v>
          </cell>
          <cell r="N179">
            <v>71.981999999999999</v>
          </cell>
          <cell r="O179">
            <v>102.78</v>
          </cell>
          <cell r="P179">
            <v>1.4278569642410603</v>
          </cell>
          <cell r="Q179">
            <v>2260993.5883742864</v>
          </cell>
          <cell r="R179">
            <v>3084732.5</v>
          </cell>
          <cell r="S179">
            <v>1.3643260714498546</v>
          </cell>
          <cell r="T179">
            <v>71.981999999999999</v>
          </cell>
          <cell r="U179">
            <v>102.765</v>
          </cell>
          <cell r="V179">
            <v>1.4276485788113695</v>
          </cell>
          <cell r="W179">
            <v>2260993.5883742864</v>
          </cell>
          <cell r="X179">
            <v>3675656</v>
          </cell>
          <cell r="Y179">
            <v>1.6256817440348836</v>
          </cell>
        </row>
        <row r="180">
          <cell r="E180" t="str">
            <v>Tala</v>
          </cell>
          <cell r="F180" t="str">
            <v>Tala</v>
          </cell>
          <cell r="G180" t="str">
            <v>03003-Rayhan Enterprise (Satkhira)-Dr</v>
          </cell>
          <cell r="H180">
            <v>99.179999999999993</v>
          </cell>
          <cell r="I180">
            <v>0</v>
          </cell>
          <cell r="J180">
            <v>0</v>
          </cell>
          <cell r="K180">
            <v>2497609.1964599676</v>
          </cell>
          <cell r="L180">
            <v>0</v>
          </cell>
          <cell r="M180">
            <v>0</v>
          </cell>
          <cell r="N180">
            <v>63.612000000000002</v>
          </cell>
          <cell r="O180">
            <v>91.14</v>
          </cell>
          <cell r="P180">
            <v>1.4327485380116958</v>
          </cell>
          <cell r="Q180">
            <v>1998087.3571679739</v>
          </cell>
          <cell r="R180">
            <v>2735517.5</v>
          </cell>
          <cell r="S180">
            <v>1.369068019066612</v>
          </cell>
          <cell r="T180">
            <v>63.612000000000002</v>
          </cell>
          <cell r="U180">
            <v>91.13</v>
          </cell>
          <cell r="V180">
            <v>1.4325913349682449</v>
          </cell>
          <cell r="W180">
            <v>1998087.3571679741</v>
          </cell>
          <cell r="X180">
            <v>3259544</v>
          </cell>
          <cell r="Y180">
            <v>1.6313320778026315</v>
          </cell>
        </row>
        <row r="181">
          <cell r="E181" t="str">
            <v xml:space="preserve">Satkhira Area </v>
          </cell>
          <cell r="F181"/>
          <cell r="G181"/>
          <cell r="H181">
            <v>2308.1099999999997</v>
          </cell>
          <cell r="I181">
            <v>1195.22775</v>
          </cell>
          <cell r="J181">
            <v>0.51783829626837552</v>
          </cell>
          <cell r="K181">
            <v>58124185.949195564</v>
          </cell>
          <cell r="L181">
            <v>39063514</v>
          </cell>
          <cell r="M181">
            <v>0.67206986837018468</v>
          </cell>
          <cell r="N181">
            <v>1480.374</v>
          </cell>
          <cell r="O181">
            <v>1362.56</v>
          </cell>
          <cell r="P181">
            <v>0.92041605702342777</v>
          </cell>
          <cell r="Q181">
            <v>46499348.759356454</v>
          </cell>
          <cell r="R181">
            <v>42886474.5</v>
          </cell>
          <cell r="S181">
            <v>0.92230269120426156</v>
          </cell>
          <cell r="T181">
            <v>1480.374</v>
          </cell>
          <cell r="U181">
            <v>1392.7849999999999</v>
          </cell>
          <cell r="V181">
            <v>0.94083319485481365</v>
          </cell>
          <cell r="W181">
            <v>46499348.759356447</v>
          </cell>
          <cell r="X181">
            <v>57073662</v>
          </cell>
          <cell r="Y181">
            <v>1.2274077707059461</v>
          </cell>
        </row>
        <row r="182">
          <cell r="E182" t="str">
            <v>Terokhada</v>
          </cell>
          <cell r="F182" t="str">
            <v>Dighalia,Terokhada</v>
          </cell>
          <cell r="G182" t="str">
            <v>03044-M/S Mamun And Brothers</v>
          </cell>
          <cell r="H182">
            <v>156.6</v>
          </cell>
          <cell r="I182">
            <v>0</v>
          </cell>
          <cell r="J182">
            <v>0</v>
          </cell>
          <cell r="K182">
            <v>3943593.468094686</v>
          </cell>
          <cell r="L182">
            <v>0</v>
          </cell>
          <cell r="M182">
            <v>0</v>
          </cell>
          <cell r="N182">
            <v>100.44</v>
          </cell>
          <cell r="O182">
            <v>105.44</v>
          </cell>
          <cell r="P182">
            <v>1.0497809637594584</v>
          </cell>
          <cell r="Q182">
            <v>3154874.7744757487</v>
          </cell>
          <cell r="R182">
            <v>4235000</v>
          </cell>
          <cell r="S182">
            <v>1.3423670677083333</v>
          </cell>
          <cell r="T182">
            <v>100.44</v>
          </cell>
          <cell r="U182">
            <v>101.185</v>
          </cell>
          <cell r="V182">
            <v>1.0074173636001593</v>
          </cell>
          <cell r="W182">
            <v>3154874.7744757487</v>
          </cell>
          <cell r="X182">
            <v>3311000</v>
          </cell>
          <cell r="Y182">
            <v>1.0494869802083333</v>
          </cell>
        </row>
        <row r="183">
          <cell r="E183" t="str">
            <v>Khulna sadar</v>
          </cell>
          <cell r="F183" t="str">
            <v>Batiyaghata,Rupsha,Sadar</v>
          </cell>
          <cell r="G183" t="str">
            <v>03044-M/S Mamun And Brothers</v>
          </cell>
          <cell r="H183">
            <v>294.14699999999999</v>
          </cell>
          <cell r="I183">
            <v>940.84860000000003</v>
          </cell>
          <cell r="J183">
            <v>3.1985660231108937</v>
          </cell>
          <cell r="K183">
            <v>7407383.0642378516</v>
          </cell>
          <cell r="L183">
            <v>35947480</v>
          </cell>
          <cell r="M183">
            <v>4.8529257483052346</v>
          </cell>
          <cell r="N183">
            <v>188.65979999999999</v>
          </cell>
          <cell r="O183">
            <v>195.82</v>
          </cell>
          <cell r="P183">
            <v>1.0379529714332358</v>
          </cell>
          <cell r="Q183">
            <v>5925906.4513902813</v>
          </cell>
          <cell r="R183">
            <v>7865000</v>
          </cell>
          <cell r="S183">
            <v>1.3272231116903281</v>
          </cell>
          <cell r="T183">
            <v>188.65979999999999</v>
          </cell>
          <cell r="U183">
            <v>187.91749999999999</v>
          </cell>
          <cell r="V183">
            <v>0.99606540450058778</v>
          </cell>
          <cell r="W183">
            <v>5925906.4513902813</v>
          </cell>
          <cell r="X183">
            <v>6149000</v>
          </cell>
          <cell r="Y183">
            <v>1.037647160048802</v>
          </cell>
        </row>
        <row r="184">
          <cell r="E184" t="str">
            <v>Assasuni</v>
          </cell>
          <cell r="F184" t="str">
            <v>Assasuni</v>
          </cell>
          <cell r="G184" t="str">
            <v>03034-Bhai Bhai Enterprise</v>
          </cell>
          <cell r="H184">
            <v>339.29999999999995</v>
          </cell>
          <cell r="I184">
            <v>24.114999999999998</v>
          </cell>
          <cell r="J184">
            <v>7.1072796934865901E-2</v>
          </cell>
          <cell r="K184">
            <v>8544452.5142051522</v>
          </cell>
          <cell r="L184">
            <v>1275000</v>
          </cell>
          <cell r="M184">
            <v>0.14921962499999999</v>
          </cell>
          <cell r="N184">
            <v>217.62</v>
          </cell>
          <cell r="O184">
            <v>42.06</v>
          </cell>
          <cell r="P184">
            <v>0.19327267714364491</v>
          </cell>
          <cell r="Q184">
            <v>6835562.011364121</v>
          </cell>
          <cell r="R184">
            <v>617500</v>
          </cell>
          <cell r="S184">
            <v>9.0336390625000013E-2</v>
          </cell>
          <cell r="T184">
            <v>217.62</v>
          </cell>
          <cell r="U184">
            <v>29.574999999999999</v>
          </cell>
          <cell r="V184">
            <v>0.13590203106332138</v>
          </cell>
          <cell r="W184">
            <v>6835562.011364121</v>
          </cell>
          <cell r="X184">
            <v>777500</v>
          </cell>
          <cell r="Y184">
            <v>0.11374339062500001</v>
          </cell>
        </row>
        <row r="185">
          <cell r="E185" t="str">
            <v>Dacope</v>
          </cell>
          <cell r="F185" t="str">
            <v>Dacope</v>
          </cell>
          <cell r="G185" t="str">
            <v>03013-M/S Biswas &amp; Brothers</v>
          </cell>
          <cell r="H185">
            <v>342.5625</v>
          </cell>
          <cell r="I185">
            <v>84.56049999999999</v>
          </cell>
          <cell r="J185">
            <v>0.24684692574347744</v>
          </cell>
          <cell r="K185">
            <v>8626610.7114571258</v>
          </cell>
          <cell r="L185">
            <v>4281000</v>
          </cell>
          <cell r="M185">
            <v>0.49625515085714278</v>
          </cell>
          <cell r="N185">
            <v>219.71250000000001</v>
          </cell>
          <cell r="O185">
            <v>348.98</v>
          </cell>
          <cell r="P185">
            <v>1.5883484098537863</v>
          </cell>
          <cell r="Q185">
            <v>6901288.5691657001</v>
          </cell>
          <cell r="R185">
            <v>10016000</v>
          </cell>
          <cell r="S185">
            <v>1.4513231695238096</v>
          </cell>
          <cell r="T185">
            <v>219.71250000000001</v>
          </cell>
          <cell r="U185">
            <v>216.7</v>
          </cell>
          <cell r="V185">
            <v>0.9862889002673948</v>
          </cell>
          <cell r="W185">
            <v>6901288.5691657001</v>
          </cell>
          <cell r="X185">
            <v>8478000</v>
          </cell>
          <cell r="Y185">
            <v>1.2284662371428572</v>
          </cell>
        </row>
        <row r="186">
          <cell r="E186" t="str">
            <v>Koyra-1</v>
          </cell>
          <cell r="F186" t="str">
            <v>Koyra</v>
          </cell>
          <cell r="G186" t="str">
            <v>03017-M/s Bhai Bhai Traders</v>
          </cell>
          <cell r="H186">
            <v>313.2</v>
          </cell>
          <cell r="I186">
            <v>288.30599999999998</v>
          </cell>
          <cell r="J186">
            <v>0.92051724137931035</v>
          </cell>
          <cell r="K186">
            <v>7887186.9361893721</v>
          </cell>
          <cell r="L186">
            <v>10100000</v>
          </cell>
          <cell r="M186">
            <v>1.2805579583333333</v>
          </cell>
          <cell r="N186">
            <v>200.88</v>
          </cell>
          <cell r="O186">
            <v>275</v>
          </cell>
          <cell r="P186">
            <v>1.3689765033851056</v>
          </cell>
          <cell r="Q186">
            <v>6309749.5489514973</v>
          </cell>
          <cell r="R186">
            <v>8828098.2400000002</v>
          </cell>
          <cell r="S186">
            <v>1.3991202299728334</v>
          </cell>
          <cell r="T186">
            <v>200.88</v>
          </cell>
          <cell r="U186">
            <v>150.06</v>
          </cell>
          <cell r="V186">
            <v>0.74701314217443249</v>
          </cell>
          <cell r="W186">
            <v>6309749.5489514973</v>
          </cell>
          <cell r="X186">
            <v>10972000</v>
          </cell>
          <cell r="Y186">
            <v>1.7388962770833332</v>
          </cell>
        </row>
        <row r="187">
          <cell r="E187" t="str">
            <v>Koyra-2</v>
          </cell>
          <cell r="F187" t="str">
            <v>Koyra</v>
          </cell>
          <cell r="G187" t="str">
            <v>03017-M/s Bhai Bhai Traders</v>
          </cell>
          <cell r="H187">
            <v>292.32</v>
          </cell>
          <cell r="I187">
            <v>0</v>
          </cell>
          <cell r="J187">
            <v>0</v>
          </cell>
          <cell r="K187">
            <v>7361374.4737767465</v>
          </cell>
          <cell r="L187">
            <v>0</v>
          </cell>
          <cell r="M187">
            <v>0</v>
          </cell>
          <cell r="N187">
            <v>187.488</v>
          </cell>
          <cell r="O187">
            <v>253.84</v>
          </cell>
          <cell r="P187">
            <v>1.3538999829322411</v>
          </cell>
          <cell r="Q187">
            <v>5889099.579021397</v>
          </cell>
          <cell r="R187">
            <v>8149013.7599999998</v>
          </cell>
          <cell r="S187">
            <v>1.3837452823907144</v>
          </cell>
          <cell r="T187">
            <v>187.488</v>
          </cell>
          <cell r="U187">
            <v>138.51750000000001</v>
          </cell>
          <cell r="V187">
            <v>0.73880728366615467</v>
          </cell>
          <cell r="W187">
            <v>5889099.579021397</v>
          </cell>
          <cell r="X187">
            <v>10128000</v>
          </cell>
          <cell r="Y187">
            <v>1.7197875267857143</v>
          </cell>
        </row>
        <row r="188">
          <cell r="E188" t="str">
            <v>Paikgacha</v>
          </cell>
          <cell r="F188" t="str">
            <v xml:space="preserve">Paikgasa </v>
          </cell>
          <cell r="G188" t="str">
            <v>03045-M/s Sadhu Steel Corporation</v>
          </cell>
          <cell r="H188">
            <v>265.34999999999997</v>
          </cell>
          <cell r="I188">
            <v>216.92425</v>
          </cell>
          <cell r="J188">
            <v>0.8175023553796873</v>
          </cell>
          <cell r="K188">
            <v>6682200.0431604385</v>
          </cell>
          <cell r="L188">
            <v>10460938</v>
          </cell>
          <cell r="M188">
            <v>1.565493090962951</v>
          </cell>
          <cell r="N188">
            <v>170.19</v>
          </cell>
          <cell r="O188">
            <v>379.18</v>
          </cell>
          <cell r="P188">
            <v>2.2279804923908575</v>
          </cell>
          <cell r="Q188">
            <v>5345760.0345283514</v>
          </cell>
          <cell r="R188">
            <v>11732500</v>
          </cell>
          <cell r="S188">
            <v>2.1947300148565576</v>
          </cell>
          <cell r="T188">
            <v>170.19</v>
          </cell>
          <cell r="U188">
            <v>127.0475</v>
          </cell>
          <cell r="V188">
            <v>0.74650390739761441</v>
          </cell>
          <cell r="W188">
            <v>5345760.0345283514</v>
          </cell>
          <cell r="X188">
            <v>9883500</v>
          </cell>
          <cell r="Y188">
            <v>1.8488484212090166</v>
          </cell>
        </row>
        <row r="189">
          <cell r="E189" t="str">
            <v>Phultala</v>
          </cell>
          <cell r="F189" t="str">
            <v xml:space="preserve">Phultola,Dumuria </v>
          </cell>
          <cell r="G189" t="str">
            <v>03033-M/s Nandi trading corporation</v>
          </cell>
          <cell r="H189">
            <v>219.23999999999998</v>
          </cell>
          <cell r="I189">
            <v>0</v>
          </cell>
          <cell r="J189">
            <v>0</v>
          </cell>
          <cell r="K189">
            <v>5521030.8553325599</v>
          </cell>
          <cell r="L189">
            <v>0</v>
          </cell>
          <cell r="M189">
            <v>0</v>
          </cell>
          <cell r="N189">
            <v>140.61599999999999</v>
          </cell>
          <cell r="O189">
            <v>146.63999999999999</v>
          </cell>
          <cell r="P189">
            <v>1.0428400750981397</v>
          </cell>
          <cell r="Q189">
            <v>4416824.6842660476</v>
          </cell>
          <cell r="R189">
            <v>4859857.8</v>
          </cell>
          <cell r="S189">
            <v>1.1003057959968752</v>
          </cell>
          <cell r="T189">
            <v>140.61599999999999</v>
          </cell>
          <cell r="U189">
            <v>252.61</v>
          </cell>
          <cell r="V189">
            <v>1.7964527507538264</v>
          </cell>
          <cell r="W189">
            <v>4416824.6842660466</v>
          </cell>
          <cell r="X189">
            <v>8408261</v>
          </cell>
          <cell r="Y189">
            <v>1.9036890981778281</v>
          </cell>
        </row>
        <row r="190">
          <cell r="E190" t="str">
            <v>Dumuria</v>
          </cell>
          <cell r="F190" t="str">
            <v xml:space="preserve">Dumuria </v>
          </cell>
          <cell r="G190" t="str">
            <v>03033-M/s Nandi trading corporation</v>
          </cell>
          <cell r="H190">
            <v>300.14999999999998</v>
          </cell>
          <cell r="I190">
            <v>565.82124999999996</v>
          </cell>
          <cell r="J190">
            <v>1.8851282691987339</v>
          </cell>
          <cell r="K190">
            <v>7558554.1471814802</v>
          </cell>
          <cell r="L190">
            <v>17358211</v>
          </cell>
          <cell r="M190">
            <v>2.2964988623482609</v>
          </cell>
          <cell r="N190">
            <v>192.51</v>
          </cell>
          <cell r="O190">
            <v>262.72000000000003</v>
          </cell>
          <cell r="P190">
            <v>1.3647083268401643</v>
          </cell>
          <cell r="Q190">
            <v>6046843.3177451845</v>
          </cell>
          <cell r="R190">
            <v>11711232.199999999</v>
          </cell>
          <cell r="S190">
            <v>1.9367513898751085</v>
          </cell>
          <cell r="T190">
            <v>192.51</v>
          </cell>
          <cell r="U190">
            <v>228.4</v>
          </cell>
          <cell r="V190">
            <v>1.1864318736689003</v>
          </cell>
          <cell r="W190">
            <v>6046843.3177451845</v>
          </cell>
          <cell r="X190">
            <v>8104000</v>
          </cell>
          <cell r="Y190">
            <v>1.3402034043478261</v>
          </cell>
        </row>
        <row r="191">
          <cell r="E191" t="str">
            <v>Khulna Area</v>
          </cell>
          <cell r="F191"/>
          <cell r="G191"/>
          <cell r="H191">
            <v>2522.8694999999998</v>
          </cell>
          <cell r="I191">
            <v>2120.5756000000001</v>
          </cell>
          <cell r="J191">
            <v>0.84054113777981787</v>
          </cell>
          <cell r="K191">
            <v>63532386.213635407</v>
          </cell>
          <cell r="L191">
            <v>79422629</v>
          </cell>
          <cell r="M191">
            <v>1.2501124817338312</v>
          </cell>
          <cell r="N191">
            <v>1618.1162999999999</v>
          </cell>
          <cell r="O191">
            <v>2009.68</v>
          </cell>
          <cell r="P191">
            <v>1.2419873651850613</v>
          </cell>
          <cell r="Q191">
            <v>50825908.970908329</v>
          </cell>
          <cell r="R191">
            <v>68014202</v>
          </cell>
          <cell r="S191">
            <v>1.3381797468478112</v>
          </cell>
          <cell r="T191">
            <v>1618.1162999999999</v>
          </cell>
          <cell r="U191">
            <v>1432.0125000000003</v>
          </cell>
          <cell r="V191">
            <v>0.88498737698891006</v>
          </cell>
          <cell r="W191">
            <v>50825908.970908329</v>
          </cell>
          <cell r="X191">
            <v>66211261</v>
          </cell>
          <cell r="Y191">
            <v>1.3027068741239418</v>
          </cell>
        </row>
        <row r="192">
          <cell r="E192" t="str">
            <v>Khulna Zone</v>
          </cell>
          <cell r="F192"/>
          <cell r="G192"/>
          <cell r="H192">
            <v>8639.1435000000001</v>
          </cell>
          <cell r="I192">
            <v>5353.7584500000003</v>
          </cell>
          <cell r="J192">
            <v>0.61970940174798583</v>
          </cell>
          <cell r="K192">
            <v>217556001.76585349</v>
          </cell>
          <cell r="L192">
            <v>194665072</v>
          </cell>
          <cell r="M192">
            <v>0.89478143751469541</v>
          </cell>
          <cell r="N192">
            <v>5540.9678999999996</v>
          </cell>
          <cell r="O192">
            <v>6289.1699999999992</v>
          </cell>
          <cell r="P192">
            <v>1.1350309392696536</v>
          </cell>
          <cell r="Q192">
            <v>174044801.41124853</v>
          </cell>
          <cell r="R192">
            <v>210278639.5</v>
          </cell>
          <cell r="S192">
            <v>1.2081868449672044</v>
          </cell>
          <cell r="T192">
            <v>5540.9678999999996</v>
          </cell>
          <cell r="U192">
            <v>4344.0050000000001</v>
          </cell>
          <cell r="V192">
            <v>0.78397945600803798</v>
          </cell>
          <cell r="W192">
            <v>174044801.4126828</v>
          </cell>
          <cell r="X192">
            <v>187695706</v>
          </cell>
          <cell r="Y192">
            <v>1.0784332796872751</v>
          </cell>
        </row>
        <row r="193">
          <cell r="E193" t="str">
            <v>South Division</v>
          </cell>
          <cell r="F193"/>
          <cell r="G193"/>
          <cell r="H193">
            <v>12369.9645</v>
          </cell>
          <cell r="I193">
            <v>7163.2807000000003</v>
          </cell>
          <cell r="J193">
            <v>0.57908660125904166</v>
          </cell>
          <cell r="K193">
            <v>311507734.37268925</v>
          </cell>
          <cell r="L193">
            <v>285770833</v>
          </cell>
          <cell r="M193">
            <v>0.91737957510262813</v>
          </cell>
          <cell r="N193">
            <v>7933.8392999999996</v>
          </cell>
          <cell r="O193">
            <v>8906.7799999999988</v>
          </cell>
          <cell r="P193">
            <v>1.122631762909541</v>
          </cell>
          <cell r="Q193">
            <v>249206187.49671715</v>
          </cell>
          <cell r="R193">
            <v>314612575.5</v>
          </cell>
          <cell r="S193">
            <v>1.2624589247172864</v>
          </cell>
          <cell r="T193">
            <v>7933.8392999999996</v>
          </cell>
          <cell r="U193">
            <v>6364.13</v>
          </cell>
          <cell r="V193">
            <v>0.80215010152776856</v>
          </cell>
          <cell r="W193">
            <v>249206187.49815142</v>
          </cell>
          <cell r="X193">
            <v>258549279</v>
          </cell>
          <cell r="Y193">
            <v>1.0374914106092084</v>
          </cell>
        </row>
        <row r="194">
          <cell r="E194" t="str">
            <v>Kachua_Chandpur</v>
          </cell>
          <cell r="F194" t="str">
            <v>Kachua</v>
          </cell>
          <cell r="G194" t="str">
            <v>02023-M/S Bhai Bhai Traders</v>
          </cell>
          <cell r="H194">
            <v>174</v>
          </cell>
          <cell r="I194">
            <v>121.1125</v>
          </cell>
          <cell r="J194">
            <v>0.69604885057471266</v>
          </cell>
          <cell r="K194">
            <v>4381770.5201052064</v>
          </cell>
          <cell r="L194">
            <v>4460000</v>
          </cell>
          <cell r="M194">
            <v>1.0178533949999999</v>
          </cell>
          <cell r="N194">
            <v>111.6</v>
          </cell>
          <cell r="O194">
            <v>77.36</v>
          </cell>
          <cell r="P194">
            <v>0.69318996415770617</v>
          </cell>
          <cell r="Q194">
            <v>3505416.4160841652</v>
          </cell>
          <cell r="R194">
            <v>2452500</v>
          </cell>
          <cell r="S194">
            <v>0.69963157265624998</v>
          </cell>
          <cell r="T194">
            <v>111.6</v>
          </cell>
          <cell r="U194">
            <v>91.392499999999998</v>
          </cell>
          <cell r="V194">
            <v>0.81892921146953412</v>
          </cell>
          <cell r="W194">
            <v>3505416.4160841652</v>
          </cell>
          <cell r="X194">
            <v>3619875</v>
          </cell>
          <cell r="Y194">
            <v>1.0326519221484374</v>
          </cell>
        </row>
        <row r="195">
          <cell r="E195" t="str">
            <v>Hajiganj</v>
          </cell>
          <cell r="F195" t="str">
            <v>Hajigonj</v>
          </cell>
          <cell r="G195" t="str">
            <v>02023-M/S Bhai Bhai Traders</v>
          </cell>
          <cell r="H195">
            <v>43.5</v>
          </cell>
          <cell r="I195">
            <v>0</v>
          </cell>
          <cell r="J195">
            <v>0</v>
          </cell>
          <cell r="K195">
            <v>1095442.6300263016</v>
          </cell>
          <cell r="L195">
            <v>0</v>
          </cell>
          <cell r="M195">
            <v>0</v>
          </cell>
          <cell r="N195">
            <v>27.9</v>
          </cell>
          <cell r="O195">
            <v>19.600000000000001</v>
          </cell>
          <cell r="P195">
            <v>0.70250896057347678</v>
          </cell>
          <cell r="Q195">
            <v>876354.1040210413</v>
          </cell>
          <cell r="R195">
            <v>621300</v>
          </cell>
          <cell r="S195">
            <v>0.70895999362499995</v>
          </cell>
          <cell r="T195">
            <v>27.9</v>
          </cell>
          <cell r="U195">
            <v>23.1525</v>
          </cell>
          <cell r="V195">
            <v>0.82983870967741935</v>
          </cell>
          <cell r="W195">
            <v>876354.1040210413</v>
          </cell>
          <cell r="X195">
            <v>917035</v>
          </cell>
          <cell r="Y195">
            <v>1.04642061444375</v>
          </cell>
        </row>
        <row r="196">
          <cell r="E196" t="str">
            <v>Matlab</v>
          </cell>
          <cell r="F196" t="str">
            <v>Motlob North, Motlob South</v>
          </cell>
          <cell r="G196" t="str">
            <v>02003-Khaza Variteis</v>
          </cell>
          <cell r="H196">
            <v>47.849999999999994</v>
          </cell>
          <cell r="I196">
            <v>67.523750000000007</v>
          </cell>
          <cell r="J196">
            <v>1.4111546499477536</v>
          </cell>
          <cell r="K196">
            <v>1204986.8930289315</v>
          </cell>
          <cell r="L196">
            <v>2299475</v>
          </cell>
          <cell r="M196">
            <v>1.9082987651590912</v>
          </cell>
          <cell r="N196">
            <v>30.69</v>
          </cell>
          <cell r="O196">
            <v>27.88</v>
          </cell>
          <cell r="P196">
            <v>0.90843923101987611</v>
          </cell>
          <cell r="Q196">
            <v>963989.51442314545</v>
          </cell>
          <cell r="R196">
            <v>743340</v>
          </cell>
          <cell r="S196">
            <v>0.77110797252272723</v>
          </cell>
          <cell r="T196">
            <v>30.69</v>
          </cell>
          <cell r="U196">
            <v>27.015000000000001</v>
          </cell>
          <cell r="V196">
            <v>0.88025415444770283</v>
          </cell>
          <cell r="W196">
            <v>963989.51442314545</v>
          </cell>
          <cell r="X196">
            <v>977240</v>
          </cell>
          <cell r="Y196">
            <v>1.0137454664999999</v>
          </cell>
        </row>
        <row r="197">
          <cell r="E197" t="str">
            <v>Chandpur</v>
          </cell>
          <cell r="F197" t="str">
            <v>Chandpur, Faridgonj, Haimchor</v>
          </cell>
          <cell r="G197" t="str">
            <v>02023-M/S Bhai Bhai Traders</v>
          </cell>
          <cell r="H197">
            <v>13.919999999999998</v>
          </cell>
          <cell r="I197">
            <v>0</v>
          </cell>
          <cell r="J197">
            <v>0</v>
          </cell>
          <cell r="K197">
            <v>350541.64160841645</v>
          </cell>
          <cell r="L197">
            <v>0</v>
          </cell>
          <cell r="M197">
            <v>0</v>
          </cell>
          <cell r="N197">
            <v>8.9280000000000008</v>
          </cell>
          <cell r="O197">
            <v>6.19</v>
          </cell>
          <cell r="P197">
            <v>0.69332437275985659</v>
          </cell>
          <cell r="Q197">
            <v>280433.31328673323</v>
          </cell>
          <cell r="R197">
            <v>196200</v>
          </cell>
          <cell r="S197">
            <v>0.69963157265624998</v>
          </cell>
          <cell r="T197">
            <v>8.9280000000000008</v>
          </cell>
          <cell r="U197">
            <v>7.3125</v>
          </cell>
          <cell r="V197">
            <v>0.81905241935483863</v>
          </cell>
          <cell r="W197">
            <v>280433.31328673323</v>
          </cell>
          <cell r="X197">
            <v>289590</v>
          </cell>
          <cell r="Y197">
            <v>1.0326519221484374</v>
          </cell>
        </row>
        <row r="198">
          <cell r="E198" t="str">
            <v>Barura</v>
          </cell>
          <cell r="F198" t="str">
            <v>Borura</v>
          </cell>
          <cell r="G198" t="str">
            <v>02026- M/s Sohel enterprise</v>
          </cell>
          <cell r="H198">
            <v>208.79999999999998</v>
          </cell>
          <cell r="I198">
            <v>91.924999999999997</v>
          </cell>
          <cell r="J198">
            <v>0.44025383141762453</v>
          </cell>
          <cell r="K198">
            <v>5258124.6241262471</v>
          </cell>
          <cell r="L198">
            <v>5094900</v>
          </cell>
          <cell r="M198">
            <v>0.96895763493750009</v>
          </cell>
          <cell r="N198">
            <v>133.91999999999999</v>
          </cell>
          <cell r="O198">
            <v>120.99</v>
          </cell>
          <cell r="P198">
            <v>0.90344982078853053</v>
          </cell>
          <cell r="Q198">
            <v>4206499.699300997</v>
          </cell>
          <cell r="R198">
            <v>2167000</v>
          </cell>
          <cell r="S198">
            <v>0.51515515390625011</v>
          </cell>
          <cell r="T198">
            <v>133.91999999999999</v>
          </cell>
          <cell r="U198">
            <v>92.567499999999995</v>
          </cell>
          <cell r="V198">
            <v>0.69121490442054956</v>
          </cell>
          <cell r="W198">
            <v>4206499.699300997</v>
          </cell>
          <cell r="X198">
            <v>4046760</v>
          </cell>
          <cell r="Y198">
            <v>0.96202550559375022</v>
          </cell>
        </row>
        <row r="199">
          <cell r="E199" t="str">
            <v>Lalmai</v>
          </cell>
          <cell r="F199" t="str">
            <v>Sadar Daskhin, Lalmai</v>
          </cell>
          <cell r="G199" t="str">
            <v>02027-M/s Abdul gafor &amp; sons</v>
          </cell>
          <cell r="H199">
            <v>176.17499999999998</v>
          </cell>
          <cell r="I199">
            <v>0</v>
          </cell>
          <cell r="J199">
            <v>0</v>
          </cell>
          <cell r="K199">
            <v>4436542.6516065216</v>
          </cell>
          <cell r="L199">
            <v>0</v>
          </cell>
          <cell r="M199">
            <v>0</v>
          </cell>
          <cell r="N199">
            <v>112.995</v>
          </cell>
          <cell r="O199">
            <v>98.4</v>
          </cell>
          <cell r="P199">
            <v>0.87083499269879194</v>
          </cell>
          <cell r="Q199">
            <v>3549234.1212852169</v>
          </cell>
          <cell r="R199">
            <v>3798720</v>
          </cell>
          <cell r="S199">
            <v>1.0702928773333333</v>
          </cell>
          <cell r="T199">
            <v>112.995</v>
          </cell>
          <cell r="U199">
            <v>58.02</v>
          </cell>
          <cell r="V199">
            <v>0.51347404752422676</v>
          </cell>
          <cell r="W199">
            <v>3549234.1212852169</v>
          </cell>
          <cell r="X199">
            <v>2548650</v>
          </cell>
          <cell r="Y199">
            <v>0.71808449736111113</v>
          </cell>
        </row>
        <row r="200">
          <cell r="E200" t="str">
            <v>Nangalkot</v>
          </cell>
          <cell r="F200" t="str">
            <v>Nagolkot, Monohorgonj</v>
          </cell>
          <cell r="G200" t="str">
            <v>02027-M/s Abdul gafor &amp; sons</v>
          </cell>
          <cell r="H200">
            <v>271.875</v>
          </cell>
          <cell r="I200">
            <v>0</v>
          </cell>
          <cell r="J200">
            <v>0</v>
          </cell>
          <cell r="K200">
            <v>6846516.437664385</v>
          </cell>
          <cell r="L200">
            <v>0</v>
          </cell>
          <cell r="M200">
            <v>0</v>
          </cell>
          <cell r="N200">
            <v>174.375</v>
          </cell>
          <cell r="O200">
            <v>147.6</v>
          </cell>
          <cell r="P200">
            <v>0.84645161290322579</v>
          </cell>
          <cell r="Q200">
            <v>5477213.1501315078</v>
          </cell>
          <cell r="R200">
            <v>5698080</v>
          </cell>
          <cell r="S200">
            <v>1.0403246767680001</v>
          </cell>
          <cell r="T200">
            <v>174.375</v>
          </cell>
          <cell r="U200">
            <v>87.03</v>
          </cell>
          <cell r="V200">
            <v>0.49909677419354842</v>
          </cell>
          <cell r="W200">
            <v>5477213.1501315078</v>
          </cell>
          <cell r="X200">
            <v>3822975</v>
          </cell>
          <cell r="Y200">
            <v>0.69797813143499998</v>
          </cell>
        </row>
        <row r="201">
          <cell r="E201" t="str">
            <v>Laksam</v>
          </cell>
          <cell r="F201" t="str">
            <v>Laksham</v>
          </cell>
          <cell r="G201" t="str">
            <v>02027-M/s Abdul gafor &amp; sons</v>
          </cell>
          <cell r="H201">
            <v>153.11999999999998</v>
          </cell>
          <cell r="I201">
            <v>225.5043</v>
          </cell>
          <cell r="J201">
            <v>1.4727292319749219</v>
          </cell>
          <cell r="K201">
            <v>3855958.0576925813</v>
          </cell>
          <cell r="L201">
            <v>9421000</v>
          </cell>
          <cell r="M201">
            <v>2.4432319696022731</v>
          </cell>
          <cell r="N201">
            <v>98.207999999999998</v>
          </cell>
          <cell r="O201">
            <v>82</v>
          </cell>
          <cell r="P201">
            <v>0.83496252851091557</v>
          </cell>
          <cell r="Q201">
            <v>3084766.446154065</v>
          </cell>
          <cell r="R201">
            <v>3165600</v>
          </cell>
          <cell r="S201">
            <v>1.0262041082386364</v>
          </cell>
          <cell r="T201">
            <v>98.207999999999998</v>
          </cell>
          <cell r="U201">
            <v>48.35</v>
          </cell>
          <cell r="V201">
            <v>0.49232241772564356</v>
          </cell>
          <cell r="W201">
            <v>3084766.446154065</v>
          </cell>
          <cell r="X201">
            <v>2123875</v>
          </cell>
          <cell r="Y201">
            <v>0.68850431210049723</v>
          </cell>
        </row>
        <row r="202">
          <cell r="E202" t="str">
            <v>Chandpur Area</v>
          </cell>
          <cell r="F202"/>
          <cell r="G202"/>
          <cell r="H202">
            <v>1089.24</v>
          </cell>
          <cell r="I202">
            <v>506.06555000000003</v>
          </cell>
          <cell r="J202">
            <v>0.46460426535933314</v>
          </cell>
          <cell r="K202">
            <v>27429883.455858592</v>
          </cell>
          <cell r="L202">
            <v>21275375</v>
          </cell>
          <cell r="M202">
            <v>0.77562761191593455</v>
          </cell>
          <cell r="N202">
            <v>698.61599999999999</v>
          </cell>
          <cell r="O202">
            <v>580.02</v>
          </cell>
          <cell r="P202">
            <v>0.83024150606341685</v>
          </cell>
          <cell r="Q202">
            <v>21943906.764686871</v>
          </cell>
          <cell r="R202">
            <v>18842740</v>
          </cell>
          <cell r="S202">
            <v>0.85867754552815501</v>
          </cell>
          <cell r="T202">
            <v>698.61599999999999</v>
          </cell>
          <cell r="U202">
            <v>434.84000000000003</v>
          </cell>
          <cell r="V202">
            <v>0.62243063428263889</v>
          </cell>
          <cell r="W202">
            <v>21943906.764686871</v>
          </cell>
          <cell r="X202">
            <v>18346000</v>
          </cell>
          <cell r="Y202">
            <v>0.8360407377196486</v>
          </cell>
        </row>
        <row r="203">
          <cell r="E203" t="str">
            <v>Chauddagram</v>
          </cell>
          <cell r="F203" t="str">
            <v>Chowddagram</v>
          </cell>
          <cell r="G203" t="str">
            <v>02024-M/s Molla Traders</v>
          </cell>
          <cell r="H203">
            <v>141.375</v>
          </cell>
          <cell r="I203">
            <v>81.064099999999996</v>
          </cell>
          <cell r="J203">
            <v>0.57339770114942523</v>
          </cell>
          <cell r="K203">
            <v>3560188.5475854804</v>
          </cell>
          <cell r="L203">
            <v>3450000</v>
          </cell>
          <cell r="M203">
            <v>0.96904979999999996</v>
          </cell>
          <cell r="N203">
            <v>90.674999999999997</v>
          </cell>
          <cell r="O203">
            <v>109.75</v>
          </cell>
          <cell r="P203">
            <v>1.2103666942376621</v>
          </cell>
          <cell r="Q203">
            <v>2848150.8380683842</v>
          </cell>
          <cell r="R203">
            <v>3470000</v>
          </cell>
          <cell r="S203">
            <v>1.2183343499999999</v>
          </cell>
          <cell r="T203">
            <v>90.674999999999997</v>
          </cell>
          <cell r="U203">
            <v>81.197500000000005</v>
          </cell>
          <cell r="V203">
            <v>0.89547835676867948</v>
          </cell>
          <cell r="W203">
            <v>2848150.8380683842</v>
          </cell>
          <cell r="X203">
            <v>5200000</v>
          </cell>
          <cell r="Y203">
            <v>1.8257459999999999</v>
          </cell>
        </row>
        <row r="204">
          <cell r="E204" t="str">
            <v>Chandina</v>
          </cell>
          <cell r="F204" t="str">
            <v>Chandina</v>
          </cell>
          <cell r="G204" t="str">
            <v>02008-M/S Satata Enterprise</v>
          </cell>
          <cell r="H204">
            <v>182.7</v>
          </cell>
          <cell r="I204">
            <v>0</v>
          </cell>
          <cell r="J204">
            <v>0</v>
          </cell>
          <cell r="K204">
            <v>4600859.0461104671</v>
          </cell>
          <cell r="L204">
            <v>0</v>
          </cell>
          <cell r="M204">
            <v>0</v>
          </cell>
          <cell r="N204">
            <v>117.17999999999999</v>
          </cell>
          <cell r="O204">
            <v>74.760000000000005</v>
          </cell>
          <cell r="P204">
            <v>0.63799283154121877</v>
          </cell>
          <cell r="Q204">
            <v>3680687.2368883733</v>
          </cell>
          <cell r="R204">
            <v>2285743.84</v>
          </cell>
          <cell r="S204">
            <v>0.62101007037271427</v>
          </cell>
          <cell r="T204">
            <v>117.17999999999999</v>
          </cell>
          <cell r="U204">
            <v>58.35</v>
          </cell>
          <cell r="V204">
            <v>0.49795186891961091</v>
          </cell>
          <cell r="W204">
            <v>3680687.2368883733</v>
          </cell>
          <cell r="X204">
            <v>2217140</v>
          </cell>
          <cell r="Y204">
            <v>0.60237120333928573</v>
          </cell>
        </row>
        <row r="205">
          <cell r="E205" t="str">
            <v>Debidwar</v>
          </cell>
          <cell r="F205" t="str">
            <v>Debidwar</v>
          </cell>
          <cell r="G205" t="str">
            <v>02008-M/S Satata Enterprise</v>
          </cell>
          <cell r="H205">
            <v>108.74999999999999</v>
          </cell>
          <cell r="I205">
            <v>57.8095</v>
          </cell>
          <cell r="J205">
            <v>0.53158160919540232</v>
          </cell>
          <cell r="K205">
            <v>2738606.5750657539</v>
          </cell>
          <cell r="L205">
            <v>1466000</v>
          </cell>
          <cell r="M205">
            <v>0.5353087272</v>
          </cell>
          <cell r="N205">
            <v>69.75</v>
          </cell>
          <cell r="O205">
            <v>46.18</v>
          </cell>
          <cell r="P205">
            <v>0.66207885304659497</v>
          </cell>
          <cell r="Q205">
            <v>2190885.2600526032</v>
          </cell>
          <cell r="R205">
            <v>1411782.96</v>
          </cell>
          <cell r="S205">
            <v>0.64438927302203997</v>
          </cell>
          <cell r="T205">
            <v>69.75</v>
          </cell>
          <cell r="U205">
            <v>36.04</v>
          </cell>
          <cell r="V205">
            <v>0.51670250896057346</v>
          </cell>
          <cell r="W205">
            <v>2190885.2600526032</v>
          </cell>
          <cell r="X205">
            <v>1369410</v>
          </cell>
          <cell r="Y205">
            <v>0.62504870746499996</v>
          </cell>
        </row>
        <row r="206">
          <cell r="E206" t="str">
            <v>Brahmanpara</v>
          </cell>
          <cell r="F206" t="str">
            <v>Brammonpara</v>
          </cell>
          <cell r="G206" t="str">
            <v>02034-M/S Sumon Traders</v>
          </cell>
          <cell r="H206">
            <v>163.125</v>
          </cell>
          <cell r="I206">
            <v>0</v>
          </cell>
          <cell r="J206">
            <v>0</v>
          </cell>
          <cell r="K206">
            <v>4107909.8625986311</v>
          </cell>
          <cell r="L206">
            <v>0</v>
          </cell>
          <cell r="M206">
            <v>0</v>
          </cell>
          <cell r="N206">
            <v>104.625</v>
          </cell>
          <cell r="O206">
            <v>55.11</v>
          </cell>
          <cell r="P206">
            <v>0.52673835125448032</v>
          </cell>
          <cell r="Q206">
            <v>3286327.890078905</v>
          </cell>
          <cell r="R206">
            <v>2484000</v>
          </cell>
          <cell r="S206">
            <v>0.75585884399999992</v>
          </cell>
          <cell r="T206">
            <v>104.625</v>
          </cell>
          <cell r="U206">
            <v>54.08</v>
          </cell>
          <cell r="V206">
            <v>0.51689366786140978</v>
          </cell>
          <cell r="W206">
            <v>3286327.890078905</v>
          </cell>
          <cell r="X206">
            <v>2800000</v>
          </cell>
          <cell r="Y206">
            <v>0.85201479999999996</v>
          </cell>
        </row>
        <row r="207">
          <cell r="E207" t="str">
            <v>Burichang</v>
          </cell>
          <cell r="F207" t="str">
            <v>Burichong,Cumilla Sadar</v>
          </cell>
          <cell r="G207" t="str">
            <v>02008-M/S Satata Enterprise</v>
          </cell>
          <cell r="H207">
            <v>234.89999999999998</v>
          </cell>
          <cell r="I207">
            <v>279.97030000000001</v>
          </cell>
          <cell r="J207">
            <v>1.1918701575138357</v>
          </cell>
          <cell r="K207">
            <v>5915390.2021420281</v>
          </cell>
          <cell r="L207">
            <v>11789850</v>
          </cell>
          <cell r="M207">
            <v>1.9930806924166669</v>
          </cell>
          <cell r="N207">
            <v>150.66</v>
          </cell>
          <cell r="O207">
            <v>98.95</v>
          </cell>
          <cell r="P207">
            <v>0.65677684853312102</v>
          </cell>
          <cell r="Q207">
            <v>4732312.1617136225</v>
          </cell>
          <cell r="R207">
            <v>3025249.2</v>
          </cell>
          <cell r="S207">
            <v>0.63927507244250004</v>
          </cell>
          <cell r="T207">
            <v>150.66</v>
          </cell>
          <cell r="U207">
            <v>77.23</v>
          </cell>
          <cell r="V207">
            <v>0.51261117748572949</v>
          </cell>
          <cell r="W207">
            <v>4732312.1617136225</v>
          </cell>
          <cell r="X207">
            <v>2934450</v>
          </cell>
          <cell r="Y207">
            <v>0.62008800343750003</v>
          </cell>
        </row>
        <row r="208">
          <cell r="E208" t="str">
            <v>Daudkandi</v>
          </cell>
          <cell r="F208" t="str">
            <v>Daudkandi, Titas,Homna</v>
          </cell>
          <cell r="G208" t="str">
            <v>02017-M/S Haji Barik &amp; Sons</v>
          </cell>
          <cell r="H208">
            <v>62.639999999999993</v>
          </cell>
          <cell r="I208">
            <v>50.093999999999994</v>
          </cell>
          <cell r="J208">
            <v>0.79971264367816086</v>
          </cell>
          <cell r="K208">
            <v>1577437.3872378741</v>
          </cell>
          <cell r="L208">
            <v>1880900</v>
          </cell>
          <cell r="M208">
            <v>1.1923769622916669</v>
          </cell>
          <cell r="N208">
            <v>40.176000000000002</v>
          </cell>
          <cell r="O208">
            <v>37.04</v>
          </cell>
          <cell r="P208">
            <v>0.92194344882516921</v>
          </cell>
          <cell r="Q208">
            <v>1261949.9097902996</v>
          </cell>
          <cell r="R208">
            <v>738240</v>
          </cell>
          <cell r="S208">
            <v>0.58499944749999988</v>
          </cell>
          <cell r="T208">
            <v>40.176000000000002</v>
          </cell>
          <cell r="U208">
            <v>52.25</v>
          </cell>
          <cell r="V208">
            <v>1.3005276782158501</v>
          </cell>
          <cell r="W208">
            <v>1261949.9097902996</v>
          </cell>
          <cell r="X208">
            <v>2323950</v>
          </cell>
          <cell r="Y208">
            <v>1.8415548683593748</v>
          </cell>
        </row>
        <row r="209">
          <cell r="E209" t="str">
            <v>Muradnagar</v>
          </cell>
          <cell r="F209" t="str">
            <v>Muradnagar</v>
          </cell>
          <cell r="G209" t="str">
            <v>02035-M/S Hare Krishna Debnath(Muradnagar)</v>
          </cell>
          <cell r="H209">
            <v>87</v>
          </cell>
          <cell r="I209">
            <v>14.045</v>
          </cell>
          <cell r="J209">
            <v>0.16143678160919539</v>
          </cell>
          <cell r="K209">
            <v>2190885.2600526032</v>
          </cell>
          <cell r="L209">
            <v>2682000</v>
          </cell>
          <cell r="M209">
            <v>1.224162693</v>
          </cell>
          <cell r="N209">
            <v>55.8</v>
          </cell>
          <cell r="O209">
            <v>68.209999999999994</v>
          </cell>
          <cell r="P209">
            <v>1.2224014336917561</v>
          </cell>
          <cell r="Q209">
            <v>1752708.2080420826</v>
          </cell>
          <cell r="R209">
            <v>1640000</v>
          </cell>
          <cell r="S209">
            <v>0.93569482500000001</v>
          </cell>
          <cell r="T209">
            <v>55.8</v>
          </cell>
          <cell r="U209">
            <v>44.67</v>
          </cell>
          <cell r="V209">
            <v>0.80053763440860226</v>
          </cell>
          <cell r="W209">
            <v>1752708.2080420826</v>
          </cell>
          <cell r="X209">
            <v>1942000</v>
          </cell>
          <cell r="Y209">
            <v>1.10799960375</v>
          </cell>
        </row>
        <row r="210">
          <cell r="E210" t="str">
            <v>Cumilla Area</v>
          </cell>
          <cell r="F210"/>
          <cell r="G210"/>
          <cell r="H210">
            <v>980.49</v>
          </cell>
          <cell r="I210">
            <v>482.98290000000003</v>
          </cell>
          <cell r="J210">
            <v>0.49259339717896156</v>
          </cell>
          <cell r="K210">
            <v>24691276.880792838</v>
          </cell>
          <cell r="L210">
            <v>21268750</v>
          </cell>
          <cell r="M210">
            <v>0.86138720580079853</v>
          </cell>
          <cell r="N210">
            <v>628.86599999999999</v>
          </cell>
          <cell r="O210">
            <v>490</v>
          </cell>
          <cell r="P210">
            <v>0.77918030232195734</v>
          </cell>
          <cell r="Q210">
            <v>19753021.504634269</v>
          </cell>
          <cell r="R210">
            <v>15055016</v>
          </cell>
          <cell r="S210">
            <v>0.76216268971650403</v>
          </cell>
          <cell r="T210">
            <v>628.86599999999999</v>
          </cell>
          <cell r="U210">
            <v>403.81750000000005</v>
          </cell>
          <cell r="V210">
            <v>0.64213600353652456</v>
          </cell>
          <cell r="W210">
            <v>19753021.504634269</v>
          </cell>
          <cell r="X210">
            <v>18786950</v>
          </cell>
          <cell r="Y210">
            <v>0.9510924693517081</v>
          </cell>
        </row>
        <row r="211">
          <cell r="E211" t="str">
            <v>Brahamanbaria</v>
          </cell>
          <cell r="F211" t="str">
            <v>Brammonbria sadar, Bijoynagar</v>
          </cell>
          <cell r="G211" t="str">
            <v>02033-M/S Hero &amp; Brothers</v>
          </cell>
          <cell r="H211">
            <v>28.709999999999997</v>
          </cell>
          <cell r="I211">
            <v>0</v>
          </cell>
          <cell r="J211">
            <v>0</v>
          </cell>
          <cell r="K211">
            <v>722992.13581735897</v>
          </cell>
          <cell r="L211">
            <v>0</v>
          </cell>
          <cell r="M211">
            <v>0</v>
          </cell>
          <cell r="N211">
            <v>18.414000000000001</v>
          </cell>
          <cell r="O211">
            <v>0</v>
          </cell>
          <cell r="P211">
            <v>0</v>
          </cell>
          <cell r="Q211">
            <v>578393.70865388715</v>
          </cell>
          <cell r="R211">
            <v>0</v>
          </cell>
          <cell r="S211">
            <v>0</v>
          </cell>
          <cell r="T211">
            <v>18.414000000000001</v>
          </cell>
          <cell r="U211">
            <v>0</v>
          </cell>
          <cell r="V211">
            <v>0</v>
          </cell>
          <cell r="W211">
            <v>578393.70865388727</v>
          </cell>
          <cell r="X211">
            <v>0</v>
          </cell>
          <cell r="Y211">
            <v>0</v>
          </cell>
        </row>
        <row r="212">
          <cell r="E212" t="str">
            <v>Sarail</v>
          </cell>
          <cell r="F212" t="str">
            <v>Ashugonj, Nasirnagar, Sarail</v>
          </cell>
          <cell r="G212" t="str">
            <v>02033-M/S Hero &amp; Brothers</v>
          </cell>
          <cell r="H212">
            <v>8.6999999999999993</v>
          </cell>
          <cell r="I212">
            <v>0</v>
          </cell>
          <cell r="J212">
            <v>0</v>
          </cell>
          <cell r="K212">
            <v>219088.52600526027</v>
          </cell>
          <cell r="L212">
            <v>0</v>
          </cell>
          <cell r="M212">
            <v>0</v>
          </cell>
          <cell r="N212">
            <v>5.58</v>
          </cell>
          <cell r="O212">
            <v>0</v>
          </cell>
          <cell r="P212">
            <v>0</v>
          </cell>
          <cell r="Q212">
            <v>175270.82080420826</v>
          </cell>
          <cell r="R212">
            <v>0</v>
          </cell>
          <cell r="S212">
            <v>0</v>
          </cell>
          <cell r="T212">
            <v>5.58</v>
          </cell>
          <cell r="U212">
            <v>0</v>
          </cell>
          <cell r="V212">
            <v>0</v>
          </cell>
          <cell r="W212">
            <v>175270.82080420826</v>
          </cell>
          <cell r="X212">
            <v>0</v>
          </cell>
          <cell r="Y212">
            <v>0</v>
          </cell>
        </row>
        <row r="213">
          <cell r="E213" t="str">
            <v>Kasba</v>
          </cell>
          <cell r="F213" t="str">
            <v>Koshba, Nabinagar, Bancharampur</v>
          </cell>
          <cell r="G213" t="str">
            <v>02020-M/S Janata Traders</v>
          </cell>
          <cell r="H213">
            <v>69.599999999999994</v>
          </cell>
          <cell r="I213">
            <v>52.291249999999998</v>
          </cell>
          <cell r="J213">
            <v>0.75131106321839081</v>
          </cell>
          <cell r="K213">
            <v>1752708.2080420821</v>
          </cell>
          <cell r="L213">
            <v>1706970</v>
          </cell>
          <cell r="M213">
            <v>0.9739042655062502</v>
          </cell>
          <cell r="N213">
            <v>44.64</v>
          </cell>
          <cell r="O213">
            <v>36.08</v>
          </cell>
          <cell r="P213">
            <v>0.80824372759856622</v>
          </cell>
          <cell r="Q213">
            <v>1402166.566433666</v>
          </cell>
          <cell r="R213">
            <v>1726050</v>
          </cell>
          <cell r="S213">
            <v>1.2309878450390626</v>
          </cell>
          <cell r="T213">
            <v>44.64</v>
          </cell>
          <cell r="U213">
            <v>49.51</v>
          </cell>
          <cell r="V213">
            <v>1.1090949820788529</v>
          </cell>
          <cell r="W213">
            <v>1402166.566433666</v>
          </cell>
          <cell r="X213">
            <v>2096654</v>
          </cell>
          <cell r="Y213">
            <v>1.4952959585484376</v>
          </cell>
        </row>
        <row r="214">
          <cell r="E214" t="str">
            <v>Habiganj</v>
          </cell>
          <cell r="F214" t="str">
            <v>Chunarughat,Madhabpur,Sayestagonj, Bahubol, Habigonj sadar</v>
          </cell>
          <cell r="G214" t="str">
            <v xml:space="preserve">06025-M/S Zilani Corporation </v>
          </cell>
          <cell r="H214">
            <v>13.919999999999998</v>
          </cell>
          <cell r="I214">
            <v>0</v>
          </cell>
          <cell r="J214">
            <v>0</v>
          </cell>
          <cell r="K214">
            <v>350541.64160841645</v>
          </cell>
          <cell r="L214">
            <v>0</v>
          </cell>
          <cell r="M214">
            <v>0</v>
          </cell>
          <cell r="N214">
            <v>8.9280000000000008</v>
          </cell>
          <cell r="O214">
            <v>4.76</v>
          </cell>
          <cell r="P214">
            <v>0.53315412186379918</v>
          </cell>
          <cell r="Q214">
            <v>280433.31328673323</v>
          </cell>
          <cell r="R214">
            <v>250475.6</v>
          </cell>
          <cell r="S214">
            <v>0.89317348593281243</v>
          </cell>
          <cell r="T214">
            <v>8.9280000000000008</v>
          </cell>
          <cell r="U214">
            <v>4.88</v>
          </cell>
          <cell r="V214">
            <v>0.54659498207885293</v>
          </cell>
          <cell r="W214">
            <v>280433.31328673323</v>
          </cell>
          <cell r="X214">
            <v>165340.6</v>
          </cell>
          <cell r="Y214">
            <v>0.58958972478046867</v>
          </cell>
        </row>
        <row r="215">
          <cell r="E215" t="str">
            <v>Nabiganj</v>
          </cell>
          <cell r="F215" t="str">
            <v>Nabigonj,Baniachong,Lakhai, Ajmirigonj</v>
          </cell>
          <cell r="G215" t="str">
            <v xml:space="preserve">06025-M/S Zilani Corporation </v>
          </cell>
          <cell r="H215">
            <v>3.4799999999999995</v>
          </cell>
          <cell r="I215">
            <v>0</v>
          </cell>
          <cell r="J215">
            <v>0</v>
          </cell>
          <cell r="K215">
            <v>87635.410402104113</v>
          </cell>
          <cell r="L215">
            <v>0</v>
          </cell>
          <cell r="M215">
            <v>0</v>
          </cell>
          <cell r="N215">
            <v>2.2320000000000002</v>
          </cell>
          <cell r="O215">
            <v>1.43</v>
          </cell>
          <cell r="P215">
            <v>0.6406810035842293</v>
          </cell>
          <cell r="Q215">
            <v>70108.328321683308</v>
          </cell>
          <cell r="R215">
            <v>75142.679999999993</v>
          </cell>
          <cell r="S215">
            <v>1.0718081831193749</v>
          </cell>
          <cell r="T215">
            <v>2.2320000000000002</v>
          </cell>
          <cell r="U215">
            <v>1.22</v>
          </cell>
          <cell r="V215">
            <v>0.54659498207885293</v>
          </cell>
          <cell r="W215">
            <v>70108.328321683308</v>
          </cell>
          <cell r="X215">
            <v>41335.15</v>
          </cell>
          <cell r="Y215">
            <v>0.58958972478046867</v>
          </cell>
        </row>
        <row r="216">
          <cell r="E216" t="str">
            <v>Kulaura</v>
          </cell>
          <cell r="F216" t="str">
            <v>Baralekha,Juri, Kulaura</v>
          </cell>
          <cell r="G216" t="str">
            <v xml:space="preserve">06025-M/S Zilani Corporation </v>
          </cell>
          <cell r="H216">
            <v>1.7399999999999998</v>
          </cell>
          <cell r="I216">
            <v>0</v>
          </cell>
          <cell r="J216">
            <v>0</v>
          </cell>
          <cell r="K216">
            <v>43817.705201052057</v>
          </cell>
          <cell r="L216">
            <v>0</v>
          </cell>
          <cell r="M216">
            <v>0</v>
          </cell>
          <cell r="N216">
            <v>1.1160000000000001</v>
          </cell>
          <cell r="O216">
            <v>1.67</v>
          </cell>
          <cell r="P216">
            <v>1.4964157706093189</v>
          </cell>
          <cell r="Q216">
            <v>35054.164160841654</v>
          </cell>
          <cell r="R216">
            <v>87666.46</v>
          </cell>
          <cell r="S216">
            <v>2.5008857606118751</v>
          </cell>
          <cell r="T216">
            <v>1.1160000000000001</v>
          </cell>
          <cell r="U216">
            <v>0.73250000000000004</v>
          </cell>
          <cell r="V216">
            <v>0.65636200716845872</v>
          </cell>
          <cell r="W216">
            <v>35054.164160841654</v>
          </cell>
          <cell r="X216">
            <v>24801.09</v>
          </cell>
          <cell r="Y216">
            <v>0.70750766973656243</v>
          </cell>
        </row>
        <row r="217">
          <cell r="E217" t="str">
            <v>Maulvibazar</v>
          </cell>
          <cell r="F217" t="str">
            <v>Moulovi bazar, Sreemongol, Rajnagar</v>
          </cell>
          <cell r="G217" t="str">
            <v xml:space="preserve">06025-M/S Zilani Corporation </v>
          </cell>
          <cell r="H217">
            <v>6.9599999999999991</v>
          </cell>
          <cell r="I217">
            <v>0</v>
          </cell>
          <cell r="J217">
            <v>0</v>
          </cell>
          <cell r="K217">
            <v>175270.82080420823</v>
          </cell>
          <cell r="L217">
            <v>0</v>
          </cell>
          <cell r="M217">
            <v>0</v>
          </cell>
          <cell r="N217">
            <v>4.4640000000000004</v>
          </cell>
          <cell r="O217">
            <v>2.38</v>
          </cell>
          <cell r="P217">
            <v>0.53315412186379918</v>
          </cell>
          <cell r="Q217">
            <v>140216.65664336662</v>
          </cell>
          <cell r="R217">
            <v>125237.8</v>
          </cell>
          <cell r="S217">
            <v>0.89317348593281243</v>
          </cell>
          <cell r="T217">
            <v>4.4640000000000004</v>
          </cell>
          <cell r="U217">
            <v>2.44</v>
          </cell>
          <cell r="V217">
            <v>0.54659498207885293</v>
          </cell>
          <cell r="W217">
            <v>140216.65664336662</v>
          </cell>
          <cell r="X217">
            <v>82670.3</v>
          </cell>
          <cell r="Y217">
            <v>0.58958972478046867</v>
          </cell>
        </row>
        <row r="218">
          <cell r="E218" t="str">
            <v>Sylhet sadar</v>
          </cell>
          <cell r="F218" t="str">
            <v>Companigonj, Sylhet sadar,Kanaighat,Jointapur,Gowainghat</v>
          </cell>
          <cell r="G218" t="str">
            <v xml:space="preserve">06025-M/S Zilani Corporation </v>
          </cell>
          <cell r="H218">
            <v>6.9599999999999991</v>
          </cell>
          <cell r="I218">
            <v>24.337499999999999</v>
          </cell>
          <cell r="J218">
            <v>3.4967672413793105</v>
          </cell>
          <cell r="K218">
            <v>175270.82080420823</v>
          </cell>
          <cell r="L218">
            <v>498200</v>
          </cell>
          <cell r="M218">
            <v>2.8424583037500004</v>
          </cell>
          <cell r="N218">
            <v>4.4640000000000004</v>
          </cell>
          <cell r="O218">
            <v>2.38</v>
          </cell>
          <cell r="P218">
            <v>0.53315412186379918</v>
          </cell>
          <cell r="Q218">
            <v>140216.65664336662</v>
          </cell>
          <cell r="R218">
            <v>125237.8</v>
          </cell>
          <cell r="S218">
            <v>0.89317348593281243</v>
          </cell>
          <cell r="T218">
            <v>4.4640000000000004</v>
          </cell>
          <cell r="U218">
            <v>2.44</v>
          </cell>
          <cell r="V218">
            <v>0.54659498207885293</v>
          </cell>
          <cell r="W218">
            <v>140216.65664336662</v>
          </cell>
          <cell r="X218">
            <v>82670.3</v>
          </cell>
          <cell r="Y218">
            <v>0.58958972478046867</v>
          </cell>
        </row>
        <row r="219">
          <cell r="E219" t="str">
            <v xml:space="preserve">Golapganj </v>
          </cell>
          <cell r="F219" t="str">
            <v>Balagonj, Bishwanath, Fenshugonj,Bianibazar,Zakigonj, Golapgonj</v>
          </cell>
          <cell r="G219" t="str">
            <v xml:space="preserve">06025-M/S Zilani Corporation </v>
          </cell>
          <cell r="H219">
            <v>6.09</v>
          </cell>
          <cell r="I219">
            <v>0</v>
          </cell>
          <cell r="J219">
            <v>0</v>
          </cell>
          <cell r="K219">
            <v>153361.96820368225</v>
          </cell>
          <cell r="L219">
            <v>0</v>
          </cell>
          <cell r="M219">
            <v>0</v>
          </cell>
          <cell r="N219">
            <v>3.9060000000000001</v>
          </cell>
          <cell r="O219">
            <v>2.14</v>
          </cell>
          <cell r="P219">
            <v>0.54787506400409625</v>
          </cell>
          <cell r="Q219">
            <v>122689.57456294577</v>
          </cell>
          <cell r="R219">
            <v>112714.02</v>
          </cell>
          <cell r="S219">
            <v>0.91869272838803584</v>
          </cell>
          <cell r="T219">
            <v>3.9060000000000001</v>
          </cell>
          <cell r="U219">
            <v>2.1974999999999998</v>
          </cell>
          <cell r="V219">
            <v>0.5625960061443932</v>
          </cell>
          <cell r="W219">
            <v>122689.5745629458</v>
          </cell>
          <cell r="X219">
            <v>74403.27</v>
          </cell>
          <cell r="Y219">
            <v>0.6064351454884821</v>
          </cell>
        </row>
        <row r="220">
          <cell r="E220" t="str">
            <v>Jauwabazar</v>
          </cell>
          <cell r="F220" t="str">
            <v>Chatak, Dowarabazar,Jagannatpur, Dirai, Salla,Dharmapasha, Moddonagar</v>
          </cell>
          <cell r="G220" t="str">
            <v xml:space="preserve">06025-M/S Zilani Corporation </v>
          </cell>
          <cell r="H220">
            <v>3.4799999999999995</v>
          </cell>
          <cell r="I220">
            <v>0</v>
          </cell>
          <cell r="J220">
            <v>0</v>
          </cell>
          <cell r="K220">
            <v>87635.410402104113</v>
          </cell>
          <cell r="L220">
            <v>0</v>
          </cell>
          <cell r="M220">
            <v>0</v>
          </cell>
          <cell r="N220">
            <v>2.2320000000000002</v>
          </cell>
          <cell r="O220">
            <v>0</v>
          </cell>
          <cell r="P220">
            <v>0</v>
          </cell>
          <cell r="Q220">
            <v>70108.328321683308</v>
          </cell>
          <cell r="R220">
            <v>0</v>
          </cell>
          <cell r="S220">
            <v>0</v>
          </cell>
          <cell r="T220">
            <v>2.2320000000000002</v>
          </cell>
          <cell r="U220">
            <v>1.22</v>
          </cell>
          <cell r="V220">
            <v>0.54659498207885293</v>
          </cell>
          <cell r="W220">
            <v>70108.328321683308</v>
          </cell>
          <cell r="X220">
            <v>41335.15</v>
          </cell>
          <cell r="Y220">
            <v>0.58958972478046867</v>
          </cell>
        </row>
        <row r="221">
          <cell r="E221" t="str">
            <v>Sunamganj</v>
          </cell>
          <cell r="F221" t="str">
            <v>Sunamgonj sadar, Bishwambarpur, Dakshin Sunamgonj, Jamalgonj, Tahirpur</v>
          </cell>
          <cell r="G221" t="str">
            <v xml:space="preserve">06025-M/S Zilani Corporation </v>
          </cell>
          <cell r="H221">
            <v>26.099999999999998</v>
          </cell>
          <cell r="I221">
            <v>0</v>
          </cell>
          <cell r="J221">
            <v>0</v>
          </cell>
          <cell r="K221">
            <v>657265.57801578089</v>
          </cell>
          <cell r="L221">
            <v>0</v>
          </cell>
          <cell r="M221">
            <v>0</v>
          </cell>
          <cell r="N221">
            <v>16.739999999999998</v>
          </cell>
          <cell r="O221">
            <v>9.0399999999999991</v>
          </cell>
          <cell r="P221">
            <v>0.54002389486260449</v>
          </cell>
          <cell r="Q221">
            <v>525812.46241262462</v>
          </cell>
          <cell r="R221">
            <v>475903.64</v>
          </cell>
          <cell r="S221">
            <v>0.90508246574525031</v>
          </cell>
          <cell r="T221">
            <v>16.739999999999998</v>
          </cell>
          <cell r="U221">
            <v>9.2725000000000009</v>
          </cell>
          <cell r="V221">
            <v>0.55391278375149355</v>
          </cell>
          <cell r="W221">
            <v>525812.46241262462</v>
          </cell>
          <cell r="X221">
            <v>314147.14</v>
          </cell>
          <cell r="Y221">
            <v>0.59745092111087517</v>
          </cell>
        </row>
        <row r="222">
          <cell r="E222" t="str">
            <v>Sylhet Area</v>
          </cell>
          <cell r="F222" t="str">
            <v>Sylhet Area</v>
          </cell>
          <cell r="G222"/>
          <cell r="H222">
            <v>175.73999999999998</v>
          </cell>
          <cell r="I222">
            <v>76.628749999999997</v>
          </cell>
          <cell r="J222">
            <v>0.43603476726983048</v>
          </cell>
          <cell r="K222">
            <v>4425588.2253062576</v>
          </cell>
          <cell r="L222">
            <v>2205170</v>
          </cell>
          <cell r="M222">
            <v>0.49827726569554465</v>
          </cell>
          <cell r="N222">
            <v>112.71599999999999</v>
          </cell>
          <cell r="O222">
            <v>59.88</v>
          </cell>
          <cell r="P222">
            <v>0.53124667305440232</v>
          </cell>
          <cell r="Q222">
            <v>3540470.5802450064</v>
          </cell>
          <cell r="R222">
            <v>2978428</v>
          </cell>
          <cell r="S222">
            <v>0.84125201226608914</v>
          </cell>
          <cell r="T222">
            <v>112.71599999999999</v>
          </cell>
          <cell r="U222">
            <v>73.912499999999994</v>
          </cell>
          <cell r="V222">
            <v>0.65574097732353875</v>
          </cell>
          <cell r="W222">
            <v>3540470.5802450064</v>
          </cell>
          <cell r="X222">
            <v>2923356.9999999995</v>
          </cell>
          <cell r="Y222">
            <v>0.8256973003282797</v>
          </cell>
        </row>
        <row r="223">
          <cell r="E223" t="str">
            <v>Cumilla Zone</v>
          </cell>
          <cell r="F223"/>
          <cell r="G223"/>
          <cell r="H223">
            <v>2245.4700000000003</v>
          </cell>
          <cell r="I223">
            <v>1065.6772000000001</v>
          </cell>
          <cell r="J223">
            <v>0.47458981861258442</v>
          </cell>
          <cell r="K223">
            <v>56546748.561957687</v>
          </cell>
          <cell r="L223">
            <v>44749295</v>
          </cell>
          <cell r="M223">
            <v>0.79136813588793109</v>
          </cell>
          <cell r="N223">
            <v>1440.1979999999999</v>
          </cell>
          <cell r="O223">
            <v>1129.9000000000001</v>
          </cell>
          <cell r="P223">
            <v>0.78454490285363554</v>
          </cell>
          <cell r="Q223">
            <v>45237398.849566147</v>
          </cell>
          <cell r="R223">
            <v>36876184</v>
          </cell>
          <cell r="S223">
            <v>0.81517030018965519</v>
          </cell>
          <cell r="T223">
            <v>1440.1979999999999</v>
          </cell>
          <cell r="U223">
            <v>912.57</v>
          </cell>
          <cell r="V223">
            <v>0.63364204088604492</v>
          </cell>
          <cell r="W223">
            <v>45237398.849566147</v>
          </cell>
          <cell r="X223">
            <v>40056307</v>
          </cell>
          <cell r="Y223">
            <v>0.88546883814439659</v>
          </cell>
        </row>
        <row r="224">
          <cell r="E224" t="str">
            <v>Feni Sadar</v>
          </cell>
          <cell r="F224" t="str">
            <v xml:space="preserve">Feni Sadar,Chagalniya </v>
          </cell>
          <cell r="G224" t="str">
            <v>07002-M/S Kamal uddin</v>
          </cell>
          <cell r="H224">
            <v>163.125</v>
          </cell>
          <cell r="I224">
            <v>97.004449999999991</v>
          </cell>
          <cell r="J224">
            <v>0.59466329501915705</v>
          </cell>
          <cell r="K224">
            <v>4107909.8625986311</v>
          </cell>
          <cell r="L224">
            <v>4646865</v>
          </cell>
          <cell r="M224">
            <v>1.1311993581719999</v>
          </cell>
          <cell r="N224">
            <v>104.625</v>
          </cell>
          <cell r="O224">
            <v>85.79</v>
          </cell>
          <cell r="P224">
            <v>0.81997610513739549</v>
          </cell>
          <cell r="Q224">
            <v>3286327.890078905</v>
          </cell>
          <cell r="R224">
            <v>2643065.7000000002</v>
          </cell>
          <cell r="S224">
            <v>0.80426110491869995</v>
          </cell>
          <cell r="T224">
            <v>104.625</v>
          </cell>
          <cell r="U224">
            <v>36.094999999999999</v>
          </cell>
          <cell r="V224">
            <v>0.34499402628434883</v>
          </cell>
          <cell r="W224">
            <v>3286327.890078905</v>
          </cell>
          <cell r="X224">
            <v>2116221.0299999998</v>
          </cell>
          <cell r="Y224">
            <v>0.64394701343972993</v>
          </cell>
        </row>
        <row r="225">
          <cell r="E225" t="str">
            <v>Daganbhuiyan</v>
          </cell>
          <cell r="F225" t="str">
            <v xml:space="preserve">Dagonbhuiya </v>
          </cell>
          <cell r="G225" t="str">
            <v>07002-M/S Kamal uddin</v>
          </cell>
          <cell r="H225">
            <v>71.774999999999991</v>
          </cell>
          <cell r="I225">
            <v>0</v>
          </cell>
          <cell r="J225">
            <v>0</v>
          </cell>
          <cell r="K225">
            <v>1807480.3395433973</v>
          </cell>
          <cell r="L225">
            <v>0</v>
          </cell>
          <cell r="M225">
            <v>0</v>
          </cell>
          <cell r="N225">
            <v>46.034999999999997</v>
          </cell>
          <cell r="O225">
            <v>38.549999999999997</v>
          </cell>
          <cell r="P225">
            <v>0.83740632127728898</v>
          </cell>
          <cell r="Q225">
            <v>1445984.2716347182</v>
          </cell>
          <cell r="R225">
            <v>1187464.3</v>
          </cell>
          <cell r="S225">
            <v>0.82121522570749994</v>
          </cell>
          <cell r="T225">
            <v>46.034999999999997</v>
          </cell>
          <cell r="U225">
            <v>16.217500000000001</v>
          </cell>
          <cell r="V225">
            <v>0.35228630389920718</v>
          </cell>
          <cell r="W225">
            <v>1445984.2716347179</v>
          </cell>
          <cell r="X225">
            <v>950765.97</v>
          </cell>
          <cell r="Y225">
            <v>0.65752165403925</v>
          </cell>
        </row>
        <row r="226">
          <cell r="E226" t="str">
            <v>Parshuram</v>
          </cell>
          <cell r="F226" t="str">
            <v xml:space="preserve">Pashuram, Fulgazi </v>
          </cell>
          <cell r="G226" t="str">
            <v>07014- M/s Sahab uddin Traders</v>
          </cell>
          <cell r="H226">
            <v>52.199999999999996</v>
          </cell>
          <cell r="I226">
            <v>37.615500000000004</v>
          </cell>
          <cell r="J226">
            <v>0.7206034482758622</v>
          </cell>
          <cell r="K226">
            <v>1314531.1560315618</v>
          </cell>
          <cell r="L226">
            <v>1120000</v>
          </cell>
          <cell r="M226">
            <v>0.85201480000000007</v>
          </cell>
          <cell r="N226">
            <v>33.479999999999997</v>
          </cell>
          <cell r="O226">
            <v>37.11</v>
          </cell>
          <cell r="P226">
            <v>1.1084229390681004</v>
          </cell>
          <cell r="Q226">
            <v>1051624.9248252492</v>
          </cell>
          <cell r="R226">
            <v>1234280</v>
          </cell>
          <cell r="S226">
            <v>1.1736884233750002</v>
          </cell>
          <cell r="T226">
            <v>33.479999999999997</v>
          </cell>
          <cell r="U226">
            <v>12.42</v>
          </cell>
          <cell r="V226">
            <v>0.37096774193548393</v>
          </cell>
          <cell r="W226">
            <v>1051624.9248252492</v>
          </cell>
          <cell r="X226">
            <v>562000</v>
          </cell>
          <cell r="Y226">
            <v>0.53441106875000011</v>
          </cell>
        </row>
        <row r="227">
          <cell r="E227" t="str">
            <v>Sonagazi</v>
          </cell>
          <cell r="F227" t="str">
            <v xml:space="preserve">Sonagazi </v>
          </cell>
          <cell r="G227" t="str">
            <v>07005-M/S Al-Haj Zakir Enterprise</v>
          </cell>
          <cell r="H227">
            <v>104.39999999999999</v>
          </cell>
          <cell r="I227">
            <v>61.654499999999999</v>
          </cell>
          <cell r="J227">
            <v>0.59056034482758624</v>
          </cell>
          <cell r="K227">
            <v>2629062.3120631236</v>
          </cell>
          <cell r="L227">
            <v>3343940</v>
          </cell>
          <cell r="M227">
            <v>1.2719135581750001</v>
          </cell>
          <cell r="N227">
            <v>66.959999999999994</v>
          </cell>
          <cell r="O227">
            <v>99.23</v>
          </cell>
          <cell r="P227">
            <v>1.4819295101553167</v>
          </cell>
          <cell r="Q227">
            <v>2103249.8496504985</v>
          </cell>
          <cell r="R227">
            <v>2138037</v>
          </cell>
          <cell r="S227">
            <v>1.0165397136984378</v>
          </cell>
          <cell r="T227">
            <v>66.959999999999994</v>
          </cell>
          <cell r="U227">
            <v>25.97</v>
          </cell>
          <cell r="V227">
            <v>0.38784348864994028</v>
          </cell>
          <cell r="W227">
            <v>2103249.8496504985</v>
          </cell>
          <cell r="X227">
            <v>1825550</v>
          </cell>
          <cell r="Y227">
            <v>0.8679663047656252</v>
          </cell>
        </row>
        <row r="228">
          <cell r="E228" t="str">
            <v>Feni Area</v>
          </cell>
          <cell r="F228" t="str">
            <v>Feni Area</v>
          </cell>
          <cell r="G228"/>
          <cell r="H228">
            <v>391.49999999999994</v>
          </cell>
          <cell r="I228">
            <v>196.27445</v>
          </cell>
          <cell r="J228">
            <v>0.50133959131545347</v>
          </cell>
          <cell r="K228">
            <v>9858983.6702367142</v>
          </cell>
          <cell r="L228">
            <v>9110805</v>
          </cell>
          <cell r="M228">
            <v>0.92411198808499995</v>
          </cell>
          <cell r="N228">
            <v>251.09999999999997</v>
          </cell>
          <cell r="O228">
            <v>260.68</v>
          </cell>
          <cell r="P228">
            <v>1.038152130625249</v>
          </cell>
          <cell r="Q228">
            <v>7887186.9361893712</v>
          </cell>
          <cell r="R228">
            <v>7202847</v>
          </cell>
          <cell r="S228">
            <v>0.91323396519875</v>
          </cell>
          <cell r="T228">
            <v>251.09999999999997</v>
          </cell>
          <cell r="U228">
            <v>90.702500000000001</v>
          </cell>
          <cell r="V228">
            <v>0.36122062923138198</v>
          </cell>
          <cell r="W228">
            <v>7887186.9361893702</v>
          </cell>
          <cell r="X228">
            <v>5454537</v>
          </cell>
          <cell r="Y228">
            <v>0.69156938261125012</v>
          </cell>
        </row>
        <row r="229">
          <cell r="E229" t="str">
            <v>Subarnachar</v>
          </cell>
          <cell r="F229" t="str">
            <v>Subarnochar, Hatia</v>
          </cell>
          <cell r="G229" t="str">
            <v>07015-M/S Suborno Steel House</v>
          </cell>
          <cell r="H229">
            <v>96.57</v>
          </cell>
          <cell r="I229">
            <v>124.46355</v>
          </cell>
          <cell r="J229">
            <v>1.288842808325567</v>
          </cell>
          <cell r="K229">
            <v>2431882.6386583894</v>
          </cell>
          <cell r="L229">
            <v>2952588</v>
          </cell>
          <cell r="M229">
            <v>1.2141161555513513</v>
          </cell>
          <cell r="N229">
            <v>61.938000000000002</v>
          </cell>
          <cell r="O229">
            <v>76.849999999999994</v>
          </cell>
          <cell r="P229">
            <v>1.2407568859181761</v>
          </cell>
          <cell r="Q229">
            <v>1945506.1109267119</v>
          </cell>
          <cell r="R229">
            <v>2998430</v>
          </cell>
          <cell r="S229">
            <v>1.5412082147466213</v>
          </cell>
          <cell r="T229">
            <v>61.938000000000002</v>
          </cell>
          <cell r="U229">
            <v>63.022500000000001</v>
          </cell>
          <cell r="V229">
            <v>1.0175094449287998</v>
          </cell>
          <cell r="W229">
            <v>1945506.1109267115</v>
          </cell>
          <cell r="X229">
            <v>3162849</v>
          </cell>
          <cell r="Y229">
            <v>1.6257204139510135</v>
          </cell>
        </row>
        <row r="230">
          <cell r="E230" t="str">
            <v>Sonaimuri</v>
          </cell>
          <cell r="F230" t="str">
            <v xml:space="preserve">Sonaimuri, Chatkhil </v>
          </cell>
          <cell r="G230" t="str">
            <v>07004-M/S Bhaikuntha kumar Nath</v>
          </cell>
          <cell r="H230">
            <v>41.76</v>
          </cell>
          <cell r="I230">
            <v>0</v>
          </cell>
          <cell r="J230">
            <v>0</v>
          </cell>
          <cell r="K230">
            <v>1051624.9248252495</v>
          </cell>
          <cell r="L230">
            <v>0</v>
          </cell>
          <cell r="M230">
            <v>0</v>
          </cell>
          <cell r="N230">
            <v>26.783999999999999</v>
          </cell>
          <cell r="O230">
            <v>35.549999999999997</v>
          </cell>
          <cell r="P230">
            <v>1.327284946236559</v>
          </cell>
          <cell r="Q230">
            <v>841299.93986019958</v>
          </cell>
          <cell r="R230">
            <v>583100</v>
          </cell>
          <cell r="S230">
            <v>0.69309407070312501</v>
          </cell>
          <cell r="T230">
            <v>26.783999999999999</v>
          </cell>
          <cell r="U230">
            <v>10.7475</v>
          </cell>
          <cell r="V230">
            <v>0.40126568100358428</v>
          </cell>
          <cell r="W230">
            <v>841299.93986019958</v>
          </cell>
          <cell r="X230">
            <v>875500</v>
          </cell>
          <cell r="Y230">
            <v>1.040651447265625</v>
          </cell>
        </row>
        <row r="231">
          <cell r="E231" t="str">
            <v>Noakhali</v>
          </cell>
          <cell r="F231" t="str">
            <v xml:space="preserve">Maijdee </v>
          </cell>
          <cell r="G231" t="str">
            <v>07004-M/S Bhaikuntha kumar Nath</v>
          </cell>
          <cell r="H231">
            <v>106.57499999999999</v>
          </cell>
          <cell r="I231">
            <v>0</v>
          </cell>
          <cell r="J231">
            <v>0</v>
          </cell>
          <cell r="K231">
            <v>2683834.4435644387</v>
          </cell>
          <cell r="L231">
            <v>0</v>
          </cell>
          <cell r="M231">
            <v>0</v>
          </cell>
          <cell r="N231">
            <v>68.355000000000004</v>
          </cell>
          <cell r="O231">
            <v>89.92</v>
          </cell>
          <cell r="P231">
            <v>1.3154853339185135</v>
          </cell>
          <cell r="Q231">
            <v>2147067.5548515511</v>
          </cell>
          <cell r="R231">
            <v>1474900</v>
          </cell>
          <cell r="S231">
            <v>0.68693693249999999</v>
          </cell>
          <cell r="T231">
            <v>68.355000000000004</v>
          </cell>
          <cell r="U231">
            <v>27.1875</v>
          </cell>
          <cell r="V231">
            <v>0.39773974105771337</v>
          </cell>
          <cell r="W231">
            <v>2147067.5548515511</v>
          </cell>
          <cell r="X231">
            <v>2214500</v>
          </cell>
          <cell r="Y231">
            <v>1.0314067645408163</v>
          </cell>
        </row>
        <row r="232">
          <cell r="E232" t="str">
            <v>Begumganj</v>
          </cell>
          <cell r="F232" t="str">
            <v xml:space="preserve">Begumganj, Senbag </v>
          </cell>
          <cell r="G232" t="str">
            <v>07004-M/S Bhaikuntha kumar Nath</v>
          </cell>
          <cell r="H232">
            <v>97.44</v>
          </cell>
          <cell r="I232">
            <v>106.34909999999999</v>
          </cell>
          <cell r="J232">
            <v>1.0914316502463053</v>
          </cell>
          <cell r="K232">
            <v>2453791.491258916</v>
          </cell>
          <cell r="L232">
            <v>5501000</v>
          </cell>
          <cell r="M232">
            <v>2.2418367736607139</v>
          </cell>
          <cell r="N232">
            <v>62.496000000000002</v>
          </cell>
          <cell r="O232">
            <v>102.53</v>
          </cell>
          <cell r="P232">
            <v>1.6405849974398361</v>
          </cell>
          <cell r="Q232">
            <v>1963033.1930071323</v>
          </cell>
          <cell r="R232">
            <v>1709812.4</v>
          </cell>
          <cell r="S232">
            <v>0.87100534320602685</v>
          </cell>
          <cell r="T232">
            <v>62.496000000000002</v>
          </cell>
          <cell r="U232">
            <v>25.29</v>
          </cell>
          <cell r="V232">
            <v>0.40466589861751151</v>
          </cell>
          <cell r="W232">
            <v>1963033.1930071327</v>
          </cell>
          <cell r="X232">
            <v>2060000</v>
          </cell>
          <cell r="Y232">
            <v>1.0493964174107142</v>
          </cell>
        </row>
        <row r="233">
          <cell r="E233" t="str">
            <v>Kabirhat</v>
          </cell>
          <cell r="F233" t="str">
            <v xml:space="preserve">Kabirhat </v>
          </cell>
          <cell r="G233" t="str">
            <v>07012-M/S Kalam Sawdagar &amp;Son's</v>
          </cell>
          <cell r="H233">
            <v>71.339999999999989</v>
          </cell>
          <cell r="I233">
            <v>67.531499999999994</v>
          </cell>
          <cell r="J233">
            <v>0.94661480235492013</v>
          </cell>
          <cell r="K233">
            <v>1796525.9132431343</v>
          </cell>
          <cell r="L233">
            <v>3142314</v>
          </cell>
          <cell r="M233">
            <v>1.749105858610976</v>
          </cell>
          <cell r="N233">
            <v>45.756</v>
          </cell>
          <cell r="O233">
            <v>57.52</v>
          </cell>
          <cell r="P233">
            <v>1.2571028936095814</v>
          </cell>
          <cell r="Q233">
            <v>1437220.7305945079</v>
          </cell>
          <cell r="R233">
            <v>1457164.92</v>
          </cell>
          <cell r="S233">
            <v>1.013876914645701</v>
          </cell>
          <cell r="T233">
            <v>45.756</v>
          </cell>
          <cell r="U233">
            <v>35.532499999999999</v>
          </cell>
          <cell r="V233">
            <v>0.77656482209983391</v>
          </cell>
          <cell r="W233">
            <v>1437220.7305945079</v>
          </cell>
          <cell r="X233">
            <v>1801511.68</v>
          </cell>
          <cell r="Y233">
            <v>1.2534690334273169</v>
          </cell>
        </row>
        <row r="234">
          <cell r="E234" t="str">
            <v>Companiganj_Noakhali</v>
          </cell>
          <cell r="F234" t="str">
            <v>Companigonj</v>
          </cell>
          <cell r="G234" t="str">
            <v>07012-M/S Kalam Sawdagar &amp;Son's</v>
          </cell>
          <cell r="H234">
            <v>43.5</v>
          </cell>
          <cell r="I234">
            <v>0</v>
          </cell>
          <cell r="J234">
            <v>0</v>
          </cell>
          <cell r="K234">
            <v>1095442.6300263016</v>
          </cell>
          <cell r="L234">
            <v>0</v>
          </cell>
          <cell r="M234">
            <v>0</v>
          </cell>
          <cell r="N234">
            <v>27.9</v>
          </cell>
          <cell r="O234">
            <v>35.26</v>
          </cell>
          <cell r="P234">
            <v>1.2637992831541218</v>
          </cell>
          <cell r="Q234">
            <v>876354.1040210413</v>
          </cell>
          <cell r="R234">
            <v>893101.08</v>
          </cell>
          <cell r="S234">
            <v>1.01910982775355</v>
          </cell>
          <cell r="T234">
            <v>27.9</v>
          </cell>
          <cell r="U234">
            <v>21.7775</v>
          </cell>
          <cell r="V234">
            <v>0.78055555555555556</v>
          </cell>
          <cell r="W234">
            <v>876354.1040210413</v>
          </cell>
          <cell r="X234">
            <v>6104152.3200000003</v>
          </cell>
          <cell r="Y234">
            <v>6.9653948010192002</v>
          </cell>
        </row>
        <row r="235">
          <cell r="E235" t="str">
            <v>Lakshmipur Sadar</v>
          </cell>
          <cell r="F235" t="str">
            <v>Ramgoti, Komolnagar ,Laxmipur Sadar</v>
          </cell>
          <cell r="G235" t="str">
            <v xml:space="preserve">02014-M/S Patwary Traders </v>
          </cell>
          <cell r="H235">
            <v>26.97</v>
          </cell>
          <cell r="I235">
            <v>37.52225</v>
          </cell>
          <cell r="J235">
            <v>1.3912588060808306</v>
          </cell>
          <cell r="K235">
            <v>679174.43061630696</v>
          </cell>
          <cell r="L235">
            <v>1958830</v>
          </cell>
          <cell r="M235">
            <v>2.8841339009516131</v>
          </cell>
          <cell r="N235">
            <v>17.297999999999998</v>
          </cell>
          <cell r="O235">
            <v>12.15</v>
          </cell>
          <cell r="P235">
            <v>0.70239334027055156</v>
          </cell>
          <cell r="Q235">
            <v>543339.54449304554</v>
          </cell>
          <cell r="R235">
            <v>706449</v>
          </cell>
          <cell r="S235">
            <v>1.3001980201149195</v>
          </cell>
          <cell r="T235">
            <v>17.297999999999998</v>
          </cell>
          <cell r="U235">
            <v>24.02</v>
          </cell>
          <cell r="V235">
            <v>1.3885998381315761</v>
          </cell>
          <cell r="W235">
            <v>543339.54449304543</v>
          </cell>
          <cell r="X235">
            <v>476000</v>
          </cell>
          <cell r="Y235">
            <v>0.87606360483870993</v>
          </cell>
        </row>
        <row r="236">
          <cell r="E236" t="str">
            <v>Raipur</v>
          </cell>
          <cell r="F236" t="str">
            <v>Raipur, Ramgonj</v>
          </cell>
          <cell r="G236" t="str">
            <v>07013-M/S Kholil &amp; Sons (Laxmipur)</v>
          </cell>
          <cell r="H236">
            <v>83.52</v>
          </cell>
          <cell r="I236">
            <v>25.575149999999997</v>
          </cell>
          <cell r="J236">
            <v>0.30621587643678161</v>
          </cell>
          <cell r="K236">
            <v>2103249.8496504989</v>
          </cell>
          <cell r="L236">
            <v>844400</v>
          </cell>
          <cell r="M236">
            <v>0.40147393812500004</v>
          </cell>
          <cell r="N236">
            <v>53.567999999999998</v>
          </cell>
          <cell r="O236">
            <v>26.06</v>
          </cell>
          <cell r="P236">
            <v>0.48648446833930703</v>
          </cell>
          <cell r="Q236">
            <v>1682599.8797203992</v>
          </cell>
          <cell r="R236">
            <v>458000</v>
          </cell>
          <cell r="S236">
            <v>0.27219780859375003</v>
          </cell>
          <cell r="T236">
            <v>53.567999999999998</v>
          </cell>
          <cell r="U236">
            <v>26.195</v>
          </cell>
          <cell r="V236">
            <v>0.48900462962962965</v>
          </cell>
          <cell r="W236">
            <v>1682599.8797203992</v>
          </cell>
          <cell r="X236">
            <v>862980</v>
          </cell>
          <cell r="Y236">
            <v>0.51288485777343751</v>
          </cell>
        </row>
        <row r="237">
          <cell r="E237" t="str">
            <v>Noakhali Area</v>
          </cell>
          <cell r="F237" t="str">
            <v>Noakhali Area</v>
          </cell>
          <cell r="G237"/>
          <cell r="H237">
            <v>567.67499999999995</v>
          </cell>
          <cell r="I237">
            <v>361.44155000000001</v>
          </cell>
          <cell r="J237">
            <v>0.63670506892147805</v>
          </cell>
          <cell r="K237">
            <v>14295526.321843233</v>
          </cell>
          <cell r="L237">
            <v>14399132</v>
          </cell>
          <cell r="M237">
            <v>1.0072474196349428</v>
          </cell>
          <cell r="N237">
            <v>364.09499999999997</v>
          </cell>
          <cell r="O237">
            <v>435.84</v>
          </cell>
          <cell r="P237">
            <v>1.1970502204095086</v>
          </cell>
          <cell r="Q237">
            <v>11436421.057474589</v>
          </cell>
          <cell r="R237">
            <v>10280957.4</v>
          </cell>
          <cell r="S237">
            <v>0.89896632419637934</v>
          </cell>
          <cell r="T237">
            <v>364.09499999999997</v>
          </cell>
          <cell r="U237">
            <v>233.77250000000001</v>
          </cell>
          <cell r="V237">
            <v>0.64206457105975101</v>
          </cell>
          <cell r="W237">
            <v>11436421.057474589</v>
          </cell>
          <cell r="X237">
            <v>17557493</v>
          </cell>
          <cell r="Y237">
            <v>1.5352261788686781</v>
          </cell>
        </row>
        <row r="238">
          <cell r="E238" t="str">
            <v>Chakaria</v>
          </cell>
          <cell r="F238" t="str">
            <v xml:space="preserve">Chokoria,Maheshkhali,Alikadam,Lama,Pekua,Kutubdia </v>
          </cell>
          <cell r="G238" t="str">
            <v xml:space="preserve">12016-M/S Shah alam trading </v>
          </cell>
          <cell r="H238">
            <v>26.099999999999998</v>
          </cell>
          <cell r="I238">
            <v>24</v>
          </cell>
          <cell r="J238">
            <v>0.91954022988505757</v>
          </cell>
          <cell r="K238">
            <v>657265.57801578089</v>
          </cell>
          <cell r="L238">
            <v>2404335</v>
          </cell>
          <cell r="M238">
            <v>3.6580875074250003</v>
          </cell>
          <cell r="N238">
            <v>16.739999999999998</v>
          </cell>
          <cell r="O238">
            <v>24</v>
          </cell>
          <cell r="P238">
            <v>1.4336917562724016</v>
          </cell>
          <cell r="Q238">
            <v>525812.46241262462</v>
          </cell>
          <cell r="R238">
            <v>1237332</v>
          </cell>
          <cell r="S238">
            <v>2.3531811975750005</v>
          </cell>
          <cell r="T238">
            <v>16.739999999999998</v>
          </cell>
          <cell r="U238">
            <v>0</v>
          </cell>
          <cell r="V238">
            <v>0</v>
          </cell>
          <cell r="W238">
            <v>525812.46241262462</v>
          </cell>
          <cell r="X238">
            <v>0</v>
          </cell>
          <cell r="Y238">
            <v>0</v>
          </cell>
        </row>
        <row r="239">
          <cell r="E239" t="str">
            <v>Anwara</v>
          </cell>
          <cell r="F239" t="str">
            <v xml:space="preserve">Anowar,Karnaphuli,Patia,Chandonais </v>
          </cell>
          <cell r="G239" t="str">
            <v xml:space="preserve">12003-MS Ismail and brothers </v>
          </cell>
          <cell r="H239">
            <v>45.239999999999995</v>
          </cell>
          <cell r="I239">
            <v>60.011249999999997</v>
          </cell>
          <cell r="J239">
            <v>1.3265086206896552</v>
          </cell>
          <cell r="K239">
            <v>1139260.3352273535</v>
          </cell>
          <cell r="L239">
            <v>1731827</v>
          </cell>
          <cell r="M239">
            <v>1.5201327970875003</v>
          </cell>
          <cell r="N239">
            <v>29.015999999999998</v>
          </cell>
          <cell r="O239">
            <v>21.73</v>
          </cell>
          <cell r="P239">
            <v>0.74889716018748287</v>
          </cell>
          <cell r="Q239">
            <v>911408.2681818828</v>
          </cell>
          <cell r="R239">
            <v>918964.8</v>
          </cell>
          <cell r="S239">
            <v>1.0082910503250002</v>
          </cell>
          <cell r="T239">
            <v>29.015999999999998</v>
          </cell>
          <cell r="U239">
            <v>16.2</v>
          </cell>
          <cell r="V239">
            <v>0.55831265508684869</v>
          </cell>
          <cell r="W239">
            <v>911408.2681818828</v>
          </cell>
          <cell r="X239">
            <v>441674.1</v>
          </cell>
          <cell r="Y239">
            <v>0.48460620275156252</v>
          </cell>
        </row>
        <row r="240">
          <cell r="E240" t="str">
            <v>Banshkhali</v>
          </cell>
          <cell r="F240" t="str">
            <v>Banshkhali</v>
          </cell>
          <cell r="G240" t="str">
            <v xml:space="preserve">12003-MS Ismail and brothers </v>
          </cell>
          <cell r="H240">
            <v>23.49</v>
          </cell>
          <cell r="I240">
            <v>0</v>
          </cell>
          <cell r="J240">
            <v>0</v>
          </cell>
          <cell r="K240">
            <v>591539.02021420293</v>
          </cell>
          <cell r="L240">
            <v>0</v>
          </cell>
          <cell r="M240">
            <v>0</v>
          </cell>
          <cell r="N240">
            <v>15.066000000000001</v>
          </cell>
          <cell r="O240">
            <v>11.59</v>
          </cell>
          <cell r="P240">
            <v>0.76928182662949685</v>
          </cell>
          <cell r="Q240">
            <v>473231.21617136232</v>
          </cell>
          <cell r="R240">
            <v>490114.56</v>
          </cell>
          <cell r="S240">
            <v>1.0356767331733332</v>
          </cell>
          <cell r="T240">
            <v>15.066000000000001</v>
          </cell>
          <cell r="U240">
            <v>8.64</v>
          </cell>
          <cell r="V240">
            <v>0.57347670250896055</v>
          </cell>
          <cell r="W240">
            <v>473231.21617136232</v>
          </cell>
          <cell r="X240">
            <v>235559.52</v>
          </cell>
          <cell r="Y240">
            <v>0.49776834652999996</v>
          </cell>
        </row>
        <row r="241">
          <cell r="E241" t="str">
            <v>Hathazari</v>
          </cell>
          <cell r="F241" t="str">
            <v>langadu,Naniarchar,Rajastali,Dighinala,Lakshmichhari,Manikchhari,Khagrachhari Sador,Matiranaga,Panchhari,Ramgarh,Hathazari,Fatikchari</v>
          </cell>
          <cell r="G241" t="str">
            <v xml:space="preserve">12003-MS Ismail and brothers </v>
          </cell>
          <cell r="H241">
            <v>27.839999999999996</v>
          </cell>
          <cell r="I241">
            <v>0</v>
          </cell>
          <cell r="J241">
            <v>0</v>
          </cell>
          <cell r="K241">
            <v>701083.2832168329</v>
          </cell>
          <cell r="L241">
            <v>0</v>
          </cell>
          <cell r="M241">
            <v>0</v>
          </cell>
          <cell r="N241">
            <v>17.856000000000002</v>
          </cell>
          <cell r="O241">
            <v>13.52</v>
          </cell>
          <cell r="P241">
            <v>0.75716845878136196</v>
          </cell>
          <cell r="Q241">
            <v>560866.62657346646</v>
          </cell>
          <cell r="R241">
            <v>571800.31999999995</v>
          </cell>
          <cell r="S241">
            <v>1.0194942842174999</v>
          </cell>
          <cell r="T241">
            <v>17.856000000000002</v>
          </cell>
          <cell r="U241">
            <v>10.08</v>
          </cell>
          <cell r="V241">
            <v>0.56451612903225801</v>
          </cell>
          <cell r="W241">
            <v>560866.62657346646</v>
          </cell>
          <cell r="X241">
            <v>274819.44</v>
          </cell>
          <cell r="Y241">
            <v>0.48999071611546868</v>
          </cell>
        </row>
        <row r="242">
          <cell r="E242" t="str">
            <v>Chattogram Metro</v>
          </cell>
          <cell r="F242" t="str">
            <v>Boalkhali,Bayejid,Bostami,Chandgaon,Chittagong port,Double mooring,Halishahar,khulshi,kotwali,Nasirabad,Pahartali</v>
          </cell>
          <cell r="G242" t="str">
            <v xml:space="preserve">12003-MS Ismail and brothers </v>
          </cell>
          <cell r="H242">
            <v>2.871</v>
          </cell>
          <cell r="I242">
            <v>0</v>
          </cell>
          <cell r="J242">
            <v>0</v>
          </cell>
          <cell r="K242">
            <v>72299.213581735909</v>
          </cell>
          <cell r="L242">
            <v>0</v>
          </cell>
          <cell r="M242">
            <v>0</v>
          </cell>
          <cell r="N242">
            <v>1.8414000000000001</v>
          </cell>
          <cell r="O242">
            <v>1.45</v>
          </cell>
          <cell r="P242">
            <v>0.78744433583143247</v>
          </cell>
          <cell r="Q242">
            <v>57839.37086538873</v>
          </cell>
          <cell r="R242">
            <v>61264.32</v>
          </cell>
          <cell r="S242">
            <v>1.0592148407454545</v>
          </cell>
          <cell r="T242">
            <v>1.8414000000000001</v>
          </cell>
          <cell r="U242">
            <v>1.08</v>
          </cell>
          <cell r="V242">
            <v>0.5865102639296188</v>
          </cell>
          <cell r="W242">
            <v>57839.37086538873</v>
          </cell>
          <cell r="X242">
            <v>1029444.94</v>
          </cell>
          <cell r="Y242">
            <v>17.79834262713295</v>
          </cell>
        </row>
        <row r="243">
          <cell r="E243" t="str">
            <v>Lohagara_CTG</v>
          </cell>
          <cell r="F243" t="str">
            <v>lohagara,Bandarban Sadar,Rowangchhan,Satkania,Thanchi</v>
          </cell>
          <cell r="G243" t="str">
            <v>12013-Amirabad Traders</v>
          </cell>
          <cell r="H243">
            <v>20.88</v>
          </cell>
          <cell r="I243">
            <v>12.004000000000001</v>
          </cell>
          <cell r="J243">
            <v>0.57490421455938712</v>
          </cell>
          <cell r="K243">
            <v>525812.46241262474</v>
          </cell>
          <cell r="L243">
            <v>583162</v>
          </cell>
          <cell r="M243">
            <v>1.1090684258875001</v>
          </cell>
          <cell r="N243">
            <v>13.391999999999999</v>
          </cell>
          <cell r="O243">
            <v>12</v>
          </cell>
          <cell r="P243">
            <v>0.89605734767025091</v>
          </cell>
          <cell r="Q243">
            <v>420649.96993009979</v>
          </cell>
          <cell r="R243">
            <v>196100</v>
          </cell>
          <cell r="S243">
            <v>0.46618332109374999</v>
          </cell>
          <cell r="T243">
            <v>13.391999999999999</v>
          </cell>
          <cell r="U243">
            <v>12</v>
          </cell>
          <cell r="V243">
            <v>0.89605734767025091</v>
          </cell>
          <cell r="W243">
            <v>420649.96993009979</v>
          </cell>
          <cell r="X243">
            <v>669420</v>
          </cell>
          <cell r="Y243">
            <v>1.5913943845312502</v>
          </cell>
        </row>
        <row r="244">
          <cell r="E244" t="str">
            <v>Mirsharai</v>
          </cell>
          <cell r="F244" t="str">
            <v xml:space="preserve">Mirsae,Sitakundu </v>
          </cell>
          <cell r="G244" t="str">
            <v>12014-M/s Siraj Traders</v>
          </cell>
          <cell r="H244">
            <v>80.039999999999992</v>
          </cell>
          <cell r="I244">
            <v>39.274749999999997</v>
          </cell>
          <cell r="J244">
            <v>0.49068903048475765</v>
          </cell>
          <cell r="K244">
            <v>2015614.4392483949</v>
          </cell>
          <cell r="L244">
            <v>1075028</v>
          </cell>
          <cell r="M244">
            <v>0.53335001926304348</v>
          </cell>
          <cell r="N244">
            <v>51.335999999999999</v>
          </cell>
          <cell r="O244">
            <v>35.090000000000003</v>
          </cell>
          <cell r="P244">
            <v>0.6835359202119371</v>
          </cell>
          <cell r="Q244">
            <v>1612491.5513987159</v>
          </cell>
          <cell r="R244">
            <v>863071.84</v>
          </cell>
          <cell r="S244">
            <v>0.53524115475293477</v>
          </cell>
          <cell r="T244">
            <v>51.335999999999999</v>
          </cell>
          <cell r="U244">
            <v>10.925000000000001</v>
          </cell>
          <cell r="V244">
            <v>0.21281362007168461</v>
          </cell>
          <cell r="W244">
            <v>1612491.5513987155</v>
          </cell>
          <cell r="X244">
            <v>672764</v>
          </cell>
          <cell r="Y244">
            <v>0.41722017049728272</v>
          </cell>
        </row>
        <row r="245">
          <cell r="E245" t="str">
            <v>Raozan</v>
          </cell>
          <cell r="F245" t="str">
            <v>Kaptai, Rawzan,Rangunia, Rangamati Sadar</v>
          </cell>
          <cell r="G245" t="str">
            <v>12014-M/s Siraj Traders</v>
          </cell>
          <cell r="H245">
            <v>20.88</v>
          </cell>
          <cell r="I245">
            <v>0</v>
          </cell>
          <cell r="J245">
            <v>0</v>
          </cell>
          <cell r="K245">
            <v>525812.46241262474</v>
          </cell>
          <cell r="L245">
            <v>0</v>
          </cell>
          <cell r="M245">
            <v>0</v>
          </cell>
          <cell r="N245">
            <v>13.391999999999999</v>
          </cell>
          <cell r="O245">
            <v>9.33</v>
          </cell>
          <cell r="P245">
            <v>0.69668458781362008</v>
          </cell>
          <cell r="Q245">
            <v>420649.96993009979</v>
          </cell>
          <cell r="R245">
            <v>229424.16</v>
          </cell>
          <cell r="S245">
            <v>0.54540396148875003</v>
          </cell>
          <cell r="T245">
            <v>13.391999999999999</v>
          </cell>
          <cell r="U245">
            <v>2.9049999999999998</v>
          </cell>
          <cell r="V245">
            <v>0.2169205495818399</v>
          </cell>
          <cell r="W245">
            <v>420649.96993009979</v>
          </cell>
          <cell r="X245">
            <v>178836</v>
          </cell>
          <cell r="Y245">
            <v>0.42514207246875002</v>
          </cell>
        </row>
        <row r="246">
          <cell r="E246" t="str">
            <v xml:space="preserve">Ukhia </v>
          </cell>
          <cell r="F246" t="str">
            <v xml:space="preserve">Coxs Bazar Sadar,Teknaf,Ukhia,Ramu,Naikhongchhari,Eidgah </v>
          </cell>
          <cell r="G246" t="str">
            <v>12008-M/S Inani Bulders, 12015-M/S G. Anam Enterprise</v>
          </cell>
          <cell r="H246">
            <v>87</v>
          </cell>
          <cell r="I246">
            <v>24.017499999999998</v>
          </cell>
          <cell r="J246">
            <v>0.27606321839080455</v>
          </cell>
          <cell r="K246">
            <v>2190885.2600526032</v>
          </cell>
          <cell r="L246">
            <v>274000</v>
          </cell>
          <cell r="M246">
            <v>0.125063601</v>
          </cell>
          <cell r="N246">
            <v>55.8</v>
          </cell>
          <cell r="O246">
            <v>36</v>
          </cell>
          <cell r="P246">
            <v>0.64516129032258063</v>
          </cell>
          <cell r="Q246">
            <v>1752708.2080420826</v>
          </cell>
          <cell r="R246">
            <v>921168</v>
          </cell>
          <cell r="S246">
            <v>0.52556837228999997</v>
          </cell>
          <cell r="T246">
            <v>55.8</v>
          </cell>
          <cell r="U246">
            <v>12</v>
          </cell>
          <cell r="V246">
            <v>0.21505376344086022</v>
          </cell>
          <cell r="W246">
            <v>1752708.2080420826</v>
          </cell>
          <cell r="X246">
            <v>720000</v>
          </cell>
          <cell r="Y246">
            <v>0.41079284999999999</v>
          </cell>
        </row>
        <row r="247">
          <cell r="E247" t="str">
            <v>CTG Area</v>
          </cell>
          <cell r="F247" t="str">
            <v>CTG Area</v>
          </cell>
          <cell r="G247"/>
          <cell r="H247">
            <v>334.34100000000001</v>
          </cell>
          <cell r="I247">
            <v>159.3075</v>
          </cell>
          <cell r="J247">
            <v>0.47648209462793972</v>
          </cell>
          <cell r="K247">
            <v>8419572.0543821529</v>
          </cell>
          <cell r="L247">
            <v>6068352</v>
          </cell>
          <cell r="M247">
            <v>0.72074352007494158</v>
          </cell>
          <cell r="N247">
            <v>214.43939999999998</v>
          </cell>
          <cell r="O247">
            <v>164.71</v>
          </cell>
          <cell r="P247">
            <v>0.76809578836724979</v>
          </cell>
          <cell r="Q247">
            <v>6735657.6435057232</v>
          </cell>
          <cell r="R247">
            <v>5489240</v>
          </cell>
          <cell r="S247">
            <v>0.8149523462334114</v>
          </cell>
          <cell r="T247">
            <v>214.43939999999998</v>
          </cell>
          <cell r="U247">
            <v>73.83</v>
          </cell>
          <cell r="V247">
            <v>0.34429307300803869</v>
          </cell>
          <cell r="W247">
            <v>6735657.6435057232</v>
          </cell>
          <cell r="X247">
            <v>4222518</v>
          </cell>
          <cell r="Y247">
            <v>0.62689023455210768</v>
          </cell>
        </row>
        <row r="248">
          <cell r="E248" t="str">
            <v>Noakhali Zone</v>
          </cell>
          <cell r="F248"/>
          <cell r="G248"/>
          <cell r="H248">
            <v>1293.5159999999998</v>
          </cell>
          <cell r="I248">
            <v>717.02350000000001</v>
          </cell>
          <cell r="J248">
            <v>0.55432132265855238</v>
          </cell>
          <cell r="K248">
            <v>32574082.0464621</v>
          </cell>
          <cell r="L248">
            <v>29578289</v>
          </cell>
          <cell r="M248">
            <v>0.90803139004227207</v>
          </cell>
          <cell r="N248">
            <v>829.63439999999991</v>
          </cell>
          <cell r="O248">
            <v>861.23</v>
          </cell>
          <cell r="P248">
            <v>1.0380837631612192</v>
          </cell>
          <cell r="Q248">
            <v>26059265.637169685</v>
          </cell>
          <cell r="R248">
            <v>22973044.399999999</v>
          </cell>
          <cell r="S248">
            <v>0.88156914012313348</v>
          </cell>
          <cell r="T248">
            <v>829.63439999999991</v>
          </cell>
          <cell r="U248">
            <v>398.30500000000001</v>
          </cell>
          <cell r="V248">
            <v>0.48009701622787104</v>
          </cell>
          <cell r="W248">
            <v>26059265.637169681</v>
          </cell>
          <cell r="X248">
            <v>27234548</v>
          </cell>
          <cell r="Y248">
            <v>1.0451003638856942</v>
          </cell>
        </row>
        <row r="249">
          <cell r="E249" t="str">
            <v>East Division</v>
          </cell>
          <cell r="F249"/>
          <cell r="G249"/>
          <cell r="H249">
            <v>3538.9859999999999</v>
          </cell>
          <cell r="I249">
            <v>1782.7007000000001</v>
          </cell>
          <cell r="J249">
            <v>0.50373205771370677</v>
          </cell>
          <cell r="K249">
            <v>89120830.608419791</v>
          </cell>
          <cell r="L249">
            <v>74327584</v>
          </cell>
          <cell r="M249">
            <v>0.83400910306347409</v>
          </cell>
          <cell r="N249">
            <v>2269.8323999999998</v>
          </cell>
          <cell r="O249">
            <v>1991.13</v>
          </cell>
          <cell r="P249">
            <v>0.87721454676565558</v>
          </cell>
          <cell r="Q249">
            <v>71296664.486735836</v>
          </cell>
          <cell r="R249">
            <v>59849228.399999999</v>
          </cell>
          <cell r="S249">
            <v>0.83943938795530137</v>
          </cell>
          <cell r="T249">
            <v>2269.8323999999998</v>
          </cell>
          <cell r="U249">
            <v>1310.875</v>
          </cell>
          <cell r="V249">
            <v>0.5775206134162153</v>
          </cell>
          <cell r="W249">
            <v>71296664.486735821</v>
          </cell>
          <cell r="X249">
            <v>67290855</v>
          </cell>
          <cell r="Y249">
            <v>0.94381491033874287</v>
          </cell>
        </row>
        <row r="250">
          <cell r="E250" t="str">
            <v>Singair</v>
          </cell>
          <cell r="F250" t="str">
            <v>Singair</v>
          </cell>
          <cell r="G250" t="str">
            <v>05003 M/S Wazuddin &amp; Son's</v>
          </cell>
          <cell r="H250">
            <v>219.23999999999998</v>
          </cell>
          <cell r="I250">
            <v>314.06975</v>
          </cell>
          <cell r="J250">
            <v>1.4325385422368182</v>
          </cell>
          <cell r="K250">
            <v>5521030.8553325599</v>
          </cell>
          <cell r="L250">
            <v>14377118</v>
          </cell>
          <cell r="M250">
            <v>2.6040640555583332</v>
          </cell>
          <cell r="N250">
            <v>140.61599999999999</v>
          </cell>
          <cell r="O250">
            <v>86.49</v>
          </cell>
          <cell r="P250">
            <v>0.61507936507936511</v>
          </cell>
          <cell r="Q250">
            <v>4416824.6842660476</v>
          </cell>
          <cell r="R250">
            <v>2217697.2599999998</v>
          </cell>
          <cell r="S250">
            <v>0.50210217034424109</v>
          </cell>
          <cell r="T250">
            <v>140.61599999999999</v>
          </cell>
          <cell r="U250">
            <v>74.817499999999995</v>
          </cell>
          <cell r="V250">
            <v>0.53206960801046821</v>
          </cell>
          <cell r="W250">
            <v>4416824.6842660466</v>
          </cell>
          <cell r="X250">
            <v>4301099.28</v>
          </cell>
          <cell r="Y250">
            <v>0.97379895908517888</v>
          </cell>
        </row>
        <row r="251">
          <cell r="E251" t="str">
            <v>Dhamrai</v>
          </cell>
          <cell r="F251" t="str">
            <v>Dhamrai, Saturia</v>
          </cell>
          <cell r="G251" t="str">
            <v>05003 M/S Wazuddin &amp; Son's</v>
          </cell>
          <cell r="H251">
            <v>386.71499999999997</v>
          </cell>
          <cell r="I251">
            <v>0</v>
          </cell>
          <cell r="J251">
            <v>0</v>
          </cell>
          <cell r="K251">
            <v>9738484.9809338208</v>
          </cell>
          <cell r="L251">
            <v>0</v>
          </cell>
          <cell r="M251">
            <v>0</v>
          </cell>
          <cell r="N251">
            <v>248.03100000000001</v>
          </cell>
          <cell r="O251">
            <v>155.16999999999999</v>
          </cell>
          <cell r="P251">
            <v>0.62560728296059764</v>
          </cell>
          <cell r="Q251">
            <v>7790787.9847470568</v>
          </cell>
          <cell r="R251">
            <v>3978809.79</v>
          </cell>
          <cell r="S251">
            <v>0.51070697826584222</v>
          </cell>
          <cell r="T251">
            <v>248.03100000000001</v>
          </cell>
          <cell r="U251">
            <v>134.23249999999999</v>
          </cell>
          <cell r="V251">
            <v>0.54119243159121233</v>
          </cell>
          <cell r="W251">
            <v>7790787.9847470578</v>
          </cell>
          <cell r="X251">
            <v>7716678.1200000001</v>
          </cell>
          <cell r="Y251">
            <v>0.99048750076472991</v>
          </cell>
        </row>
        <row r="252">
          <cell r="E252" t="str">
            <v>Savar</v>
          </cell>
          <cell r="F252" t="str">
            <v>Ashuliya, Savar</v>
          </cell>
          <cell r="G252" t="str">
            <v>05003 M/S Wazuddin &amp; Son's</v>
          </cell>
          <cell r="H252">
            <v>32.19</v>
          </cell>
          <cell r="I252">
            <v>0</v>
          </cell>
          <cell r="J252">
            <v>0</v>
          </cell>
          <cell r="K252">
            <v>810627.54621946323</v>
          </cell>
          <cell r="L252">
            <v>0</v>
          </cell>
          <cell r="M252">
            <v>0</v>
          </cell>
          <cell r="N252">
            <v>20.646000000000001</v>
          </cell>
          <cell r="O252">
            <v>12.72</v>
          </cell>
          <cell r="P252">
            <v>0.61609997093868063</v>
          </cell>
          <cell r="Q252">
            <v>648502.03697557049</v>
          </cell>
          <cell r="R252">
            <v>326131.95</v>
          </cell>
          <cell r="S252">
            <v>0.50290042498707777</v>
          </cell>
          <cell r="T252">
            <v>20.646000000000001</v>
          </cell>
          <cell r="U252">
            <v>11.0025</v>
          </cell>
          <cell r="V252">
            <v>0.53291194420226673</v>
          </cell>
          <cell r="W252">
            <v>648502.03697557049</v>
          </cell>
          <cell r="X252">
            <v>632514.6</v>
          </cell>
          <cell r="Y252">
            <v>0.97534712913141897</v>
          </cell>
        </row>
        <row r="253">
          <cell r="E253" t="str">
            <v>Manikganj Sadar</v>
          </cell>
          <cell r="F253" t="str">
            <v>Manikganj Sadar,Shibalaya, Harirampur</v>
          </cell>
          <cell r="G253" t="str">
            <v>05037 M/S Awal &amp; Brothers Steel</v>
          </cell>
          <cell r="H253">
            <v>93.96</v>
          </cell>
          <cell r="I253">
            <v>15.063499999999999</v>
          </cell>
          <cell r="J253">
            <v>0.16031822051936995</v>
          </cell>
          <cell r="K253">
            <v>2366156.0808568117</v>
          </cell>
          <cell r="L253">
            <v>3022000</v>
          </cell>
          <cell r="M253">
            <v>1.2771769472222221</v>
          </cell>
          <cell r="N253">
            <v>60.264000000000003</v>
          </cell>
          <cell r="O253">
            <v>51.41</v>
          </cell>
          <cell r="P253">
            <v>0.8530797822912517</v>
          </cell>
          <cell r="Q253">
            <v>1892924.8646854493</v>
          </cell>
          <cell r="R253">
            <v>1058500</v>
          </cell>
          <cell r="S253">
            <v>0.5591875407986111</v>
          </cell>
          <cell r="T253">
            <v>60.264000000000003</v>
          </cell>
          <cell r="U253">
            <v>28.79</v>
          </cell>
          <cell r="V253">
            <v>0.47773131554493559</v>
          </cell>
          <cell r="W253">
            <v>1892924.8646854493</v>
          </cell>
          <cell r="X253">
            <v>2383450</v>
          </cell>
          <cell r="Y253">
            <v>1.2591360832465277</v>
          </cell>
        </row>
        <row r="254">
          <cell r="E254" t="str">
            <v>Ghior</v>
          </cell>
          <cell r="F254" t="str">
            <v>Ghior, Daulatpur</v>
          </cell>
          <cell r="G254" t="str">
            <v>05037 M/S Awal &amp; Brothers Steel</v>
          </cell>
          <cell r="H254">
            <v>34.799999999999997</v>
          </cell>
          <cell r="I254">
            <v>0</v>
          </cell>
          <cell r="J254">
            <v>0</v>
          </cell>
          <cell r="K254">
            <v>876354.10402104107</v>
          </cell>
          <cell r="L254">
            <v>0</v>
          </cell>
          <cell r="M254">
            <v>0</v>
          </cell>
          <cell r="N254">
            <v>22.32</v>
          </cell>
          <cell r="O254">
            <v>19.02</v>
          </cell>
          <cell r="P254">
            <v>0.85215053763440862</v>
          </cell>
          <cell r="Q254">
            <v>701083.28321683302</v>
          </cell>
          <cell r="R254">
            <v>391500</v>
          </cell>
          <cell r="S254">
            <v>0.55842153046874998</v>
          </cell>
          <cell r="T254">
            <v>22.32</v>
          </cell>
          <cell r="U254">
            <v>10.647500000000001</v>
          </cell>
          <cell r="V254">
            <v>0.47703853046594985</v>
          </cell>
          <cell r="W254">
            <v>701083.28321683302</v>
          </cell>
          <cell r="X254">
            <v>881550</v>
          </cell>
          <cell r="Y254">
            <v>1.257411239296875</v>
          </cell>
        </row>
        <row r="255">
          <cell r="E255" t="str">
            <v>Manikganj Area</v>
          </cell>
          <cell r="F255" t="str">
            <v>Manikganj Area</v>
          </cell>
          <cell r="G255"/>
          <cell r="H255">
            <v>766.90499999999997</v>
          </cell>
          <cell r="I255">
            <v>329.13324999999998</v>
          </cell>
          <cell r="J255">
            <v>0.42917082298328996</v>
          </cell>
          <cell r="K255">
            <v>19312653.567363698</v>
          </cell>
          <cell r="L255">
            <v>17399118</v>
          </cell>
          <cell r="M255">
            <v>0.90091804004617126</v>
          </cell>
          <cell r="N255">
            <v>491.87700000000001</v>
          </cell>
          <cell r="O255">
            <v>324.80999999999995</v>
          </cell>
          <cell r="P255">
            <v>0.66034801383272634</v>
          </cell>
          <cell r="Q255">
            <v>15450122.853890957</v>
          </cell>
          <cell r="R255">
            <v>7972639</v>
          </cell>
          <cell r="S255">
            <v>0.51602431096476176</v>
          </cell>
          <cell r="T255">
            <v>491.87700000000001</v>
          </cell>
          <cell r="U255">
            <v>259.48999999999995</v>
          </cell>
          <cell r="V255">
            <v>0.52755058683370015</v>
          </cell>
          <cell r="W255">
            <v>15450122.853890957</v>
          </cell>
          <cell r="X255">
            <v>15915292</v>
          </cell>
          <cell r="Y255">
            <v>1.0301077959384572</v>
          </cell>
        </row>
        <row r="256">
          <cell r="E256" t="str">
            <v>Gazipur Sadar</v>
          </cell>
          <cell r="F256" t="str">
            <v>Gazipur Sadar</v>
          </cell>
          <cell r="G256" t="str">
            <v>05005-M/S Evan Enterprise</v>
          </cell>
          <cell r="H256">
            <v>188.79</v>
          </cell>
          <cell r="I256">
            <v>0</v>
          </cell>
          <cell r="J256">
            <v>0</v>
          </cell>
          <cell r="K256">
            <v>4754221.0143141495</v>
          </cell>
          <cell r="L256">
            <v>0</v>
          </cell>
          <cell r="M256">
            <v>0</v>
          </cell>
          <cell r="N256">
            <v>121.086</v>
          </cell>
          <cell r="O256">
            <v>115.2</v>
          </cell>
          <cell r="P256">
            <v>0.95138992121302224</v>
          </cell>
          <cell r="Q256">
            <v>3803376.8114513191</v>
          </cell>
          <cell r="R256">
            <v>2842000</v>
          </cell>
          <cell r="S256">
            <v>0.74723072177419358</v>
          </cell>
          <cell r="T256">
            <v>121.086</v>
          </cell>
          <cell r="U256">
            <v>57.844999999999999</v>
          </cell>
          <cell r="V256">
            <v>0.47771831590770197</v>
          </cell>
          <cell r="W256">
            <v>3803376.8114513191</v>
          </cell>
          <cell r="X256">
            <v>2494000</v>
          </cell>
          <cell r="Y256">
            <v>0.65573308237327188</v>
          </cell>
        </row>
        <row r="257">
          <cell r="E257" t="str">
            <v>Kapasia</v>
          </cell>
          <cell r="F257" t="str">
            <v>Kapashia</v>
          </cell>
          <cell r="G257" t="str">
            <v>05005-M/S Evan Enterprise</v>
          </cell>
          <cell r="H257">
            <v>186.35399999999998</v>
          </cell>
          <cell r="I257">
            <v>0</v>
          </cell>
          <cell r="J257">
            <v>0</v>
          </cell>
          <cell r="K257">
            <v>4692876.2270326763</v>
          </cell>
          <cell r="L257">
            <v>30000</v>
          </cell>
          <cell r="M257">
            <v>6.3926680672268905E-3</v>
          </cell>
          <cell r="N257">
            <v>119.5236</v>
          </cell>
          <cell r="O257">
            <v>111.23</v>
          </cell>
          <cell r="P257">
            <v>0.93061119310328677</v>
          </cell>
          <cell r="Q257">
            <v>3754300.9816261409</v>
          </cell>
          <cell r="R257">
            <v>2744000</v>
          </cell>
          <cell r="S257">
            <v>0.73089504901960778</v>
          </cell>
          <cell r="T257">
            <v>119.5236</v>
          </cell>
          <cell r="U257">
            <v>55.85</v>
          </cell>
          <cell r="V257">
            <v>0.46727173545642869</v>
          </cell>
          <cell r="W257">
            <v>3754300.9816261409</v>
          </cell>
          <cell r="X257">
            <v>2408000</v>
          </cell>
          <cell r="Y257">
            <v>0.64139769607843133</v>
          </cell>
        </row>
        <row r="258">
          <cell r="E258" t="str">
            <v>Kaliganj_Gazipur</v>
          </cell>
          <cell r="F258" t="str">
            <v>Kaliganj</v>
          </cell>
          <cell r="G258" t="str">
            <v>05005-M/S Evan Enterprise</v>
          </cell>
          <cell r="H258">
            <v>19.488</v>
          </cell>
          <cell r="I258">
            <v>0</v>
          </cell>
          <cell r="J258">
            <v>0</v>
          </cell>
          <cell r="K258">
            <v>490758.29825178307</v>
          </cell>
          <cell r="L258">
            <v>0</v>
          </cell>
          <cell r="M258">
            <v>0</v>
          </cell>
          <cell r="N258">
            <v>12.4992</v>
          </cell>
          <cell r="O258">
            <v>11.92</v>
          </cell>
          <cell r="P258">
            <v>0.95366103430619553</v>
          </cell>
          <cell r="Q258">
            <v>392606.63860142644</v>
          </cell>
          <cell r="R258">
            <v>294000</v>
          </cell>
          <cell r="S258">
            <v>0.74884113281250009</v>
          </cell>
          <cell r="T258">
            <v>12.4992</v>
          </cell>
          <cell r="U258">
            <v>5.9850000000000003</v>
          </cell>
          <cell r="V258">
            <v>0.47883064516129037</v>
          </cell>
          <cell r="W258">
            <v>392606.63860142656</v>
          </cell>
          <cell r="X258">
            <v>258000</v>
          </cell>
          <cell r="Y258">
            <v>0.65714630022321419</v>
          </cell>
        </row>
        <row r="259">
          <cell r="E259" t="str">
            <v>Sreepur</v>
          </cell>
          <cell r="F259" t="str">
            <v>Sreepur</v>
          </cell>
          <cell r="G259" t="str">
            <v>05005-M/S Evan Enterprise</v>
          </cell>
          <cell r="H259">
            <v>264.91499999999996</v>
          </cell>
          <cell r="I259">
            <v>238.989</v>
          </cell>
          <cell r="J259">
            <v>0.90213464696223333</v>
          </cell>
          <cell r="K259">
            <v>6671245.6168601755</v>
          </cell>
          <cell r="L259">
            <v>16808920</v>
          </cell>
          <cell r="M259">
            <v>2.5196074264630548</v>
          </cell>
          <cell r="N259">
            <v>169.911</v>
          </cell>
          <cell r="O259">
            <v>158.9</v>
          </cell>
          <cell r="P259">
            <v>0.93519548469492852</v>
          </cell>
          <cell r="Q259">
            <v>5336996.4934881404</v>
          </cell>
          <cell r="R259">
            <v>3920000</v>
          </cell>
          <cell r="S259">
            <v>0.7344955172413794</v>
          </cell>
          <cell r="T259">
            <v>169.911</v>
          </cell>
          <cell r="U259">
            <v>79.784999999999997</v>
          </cell>
          <cell r="V259">
            <v>0.46956936278404576</v>
          </cell>
          <cell r="W259">
            <v>5336996.4934881404</v>
          </cell>
          <cell r="X259">
            <v>3440000</v>
          </cell>
          <cell r="Y259">
            <v>0.64455729064039424</v>
          </cell>
        </row>
        <row r="260">
          <cell r="E260" t="str">
            <v>Kaliakair</v>
          </cell>
          <cell r="F260" t="str">
            <v>Kaliakor</v>
          </cell>
          <cell r="G260" t="str">
            <v>05007-M/S Sabuz Enterprise</v>
          </cell>
          <cell r="H260">
            <v>387.58499999999998</v>
          </cell>
          <cell r="I260">
            <v>160.30450000000002</v>
          </cell>
          <cell r="J260">
            <v>0.41359830746803933</v>
          </cell>
          <cell r="K260">
            <v>9760393.8335343469</v>
          </cell>
          <cell r="L260">
            <v>6770000</v>
          </cell>
          <cell r="M260">
            <v>0.6936195521885522</v>
          </cell>
          <cell r="N260">
            <v>248.589</v>
          </cell>
          <cell r="O260">
            <v>160.27000000000001</v>
          </cell>
          <cell r="P260">
            <v>0.64471879286694111</v>
          </cell>
          <cell r="Q260">
            <v>7808315.066827477</v>
          </cell>
          <cell r="R260">
            <v>5340000</v>
          </cell>
          <cell r="S260">
            <v>0.6838863383838385</v>
          </cell>
          <cell r="T260">
            <v>248.589</v>
          </cell>
          <cell r="U260">
            <v>120.565</v>
          </cell>
          <cell r="V260">
            <v>0.48499732490174546</v>
          </cell>
          <cell r="W260">
            <v>7808315.0668274788</v>
          </cell>
          <cell r="X260">
            <v>6500000</v>
          </cell>
          <cell r="Y260">
            <v>0.83244591750841734</v>
          </cell>
        </row>
        <row r="261">
          <cell r="E261" t="str">
            <v>Gazipur Area</v>
          </cell>
          <cell r="F261" t="str">
            <v>Gazipur Area</v>
          </cell>
          <cell r="G261"/>
          <cell r="H261">
            <v>1047.1320000000001</v>
          </cell>
          <cell r="I261">
            <v>399.29349999999999</v>
          </cell>
          <cell r="J261">
            <v>0.3813210750889095</v>
          </cell>
          <cell r="K261">
            <v>26369494.989993133</v>
          </cell>
          <cell r="L261">
            <v>23608920</v>
          </cell>
          <cell r="M261">
            <v>0.89531179906779657</v>
          </cell>
          <cell r="N261">
            <v>671.60879999999997</v>
          </cell>
          <cell r="O261">
            <v>557.52</v>
          </cell>
          <cell r="P261">
            <v>0.8301261091278137</v>
          </cell>
          <cell r="Q261">
            <v>21095595.991994504</v>
          </cell>
          <cell r="R261">
            <v>15140000</v>
          </cell>
          <cell r="S261">
            <v>0.71768534085244273</v>
          </cell>
          <cell r="T261">
            <v>671.60879999999997</v>
          </cell>
          <cell r="U261">
            <v>320.02999999999997</v>
          </cell>
          <cell r="V261">
            <v>0.47651251740596606</v>
          </cell>
          <cell r="W261">
            <v>21095595.991994508</v>
          </cell>
          <cell r="X261">
            <v>15100000</v>
          </cell>
          <cell r="Y261">
            <v>0.7157892104935194</v>
          </cell>
        </row>
        <row r="262">
          <cell r="E262" t="str">
            <v>Shibpur</v>
          </cell>
          <cell r="F262" t="str">
            <v>Shibpur,Manohardi</v>
          </cell>
          <cell r="G262" t="str">
            <v xml:space="preserve">06002-M/S Rahman Traders </v>
          </cell>
          <cell r="H262">
            <v>40.89</v>
          </cell>
          <cell r="I262">
            <v>0</v>
          </cell>
          <cell r="J262">
            <v>0</v>
          </cell>
          <cell r="K262">
            <v>1029716.0722247235</v>
          </cell>
          <cell r="L262">
            <v>0</v>
          </cell>
          <cell r="M262">
            <v>0</v>
          </cell>
          <cell r="N262">
            <v>26.225999999999999</v>
          </cell>
          <cell r="O262">
            <v>12.64</v>
          </cell>
          <cell r="P262">
            <v>0.48196446274689242</v>
          </cell>
          <cell r="Q262">
            <v>823772.85777977889</v>
          </cell>
          <cell r="R262">
            <v>165696</v>
          </cell>
          <cell r="S262">
            <v>0.20114282527659572</v>
          </cell>
          <cell r="T262">
            <v>26.225999999999999</v>
          </cell>
          <cell r="U262">
            <v>9.1549999999999994</v>
          </cell>
          <cell r="V262">
            <v>0.34908106459238925</v>
          </cell>
          <cell r="W262">
            <v>823772.85777977866</v>
          </cell>
          <cell r="X262">
            <v>321922.56</v>
          </cell>
          <cell r="Y262">
            <v>0.39079044297191495</v>
          </cell>
        </row>
        <row r="263">
          <cell r="E263" t="str">
            <v>Narsingdi Sadar</v>
          </cell>
          <cell r="F263" t="str">
            <v>Narsingdi sadar,Palash</v>
          </cell>
          <cell r="G263" t="str">
            <v xml:space="preserve">06002-M/S Rahman Traders </v>
          </cell>
          <cell r="H263">
            <v>61.073999999999991</v>
          </cell>
          <cell r="I263">
            <v>40.573999999999998</v>
          </cell>
          <cell r="J263">
            <v>0.66434161836460692</v>
          </cell>
          <cell r="K263">
            <v>1538001.452556927</v>
          </cell>
          <cell r="L263">
            <v>5425393</v>
          </cell>
          <cell r="M263">
            <v>3.5275603875277786</v>
          </cell>
          <cell r="N263">
            <v>39.171599999999998</v>
          </cell>
          <cell r="O263">
            <v>18.95</v>
          </cell>
          <cell r="P263">
            <v>0.48376885294448019</v>
          </cell>
          <cell r="Q263">
            <v>1230401.1620455419</v>
          </cell>
          <cell r="R263">
            <v>248544</v>
          </cell>
          <cell r="S263">
            <v>0.20200240999999999</v>
          </cell>
          <cell r="T263">
            <v>39.171599999999998</v>
          </cell>
          <cell r="U263">
            <v>13.7325</v>
          </cell>
          <cell r="V263">
            <v>0.35057286401372423</v>
          </cell>
          <cell r="W263">
            <v>1230401.1620455419</v>
          </cell>
          <cell r="X263">
            <v>924303.84</v>
          </cell>
          <cell r="Y263">
            <v>0.75122152718333335</v>
          </cell>
        </row>
        <row r="264">
          <cell r="E264" t="str">
            <v>Belabo</v>
          </cell>
          <cell r="F264" t="str">
            <v>Belabo,Raipur</v>
          </cell>
          <cell r="G264" t="str">
            <v xml:space="preserve">06002-M/S Rahman Traders </v>
          </cell>
          <cell r="H264">
            <v>69.164999999999992</v>
          </cell>
          <cell r="I264">
            <v>0</v>
          </cell>
          <cell r="J264">
            <v>0</v>
          </cell>
          <cell r="K264">
            <v>1741753.7817418193</v>
          </cell>
          <cell r="L264">
            <v>0</v>
          </cell>
          <cell r="M264">
            <v>0</v>
          </cell>
          <cell r="N264">
            <v>44.360999999999997</v>
          </cell>
          <cell r="O264">
            <v>21.06</v>
          </cell>
          <cell r="P264">
            <v>0.47474132684114423</v>
          </cell>
          <cell r="Q264">
            <v>1393403.0253934555</v>
          </cell>
          <cell r="R264">
            <v>276160</v>
          </cell>
          <cell r="S264">
            <v>0.19819104377358493</v>
          </cell>
          <cell r="T264">
            <v>44.360999999999997</v>
          </cell>
          <cell r="U264">
            <v>15.2575</v>
          </cell>
          <cell r="V264">
            <v>0.3439394964044995</v>
          </cell>
          <cell r="W264">
            <v>1393403.0253934553</v>
          </cell>
          <cell r="X264">
            <v>536537.59999999998</v>
          </cell>
          <cell r="Y264">
            <v>0.38505557273962271</v>
          </cell>
        </row>
        <row r="265">
          <cell r="E265" t="str">
            <v>Rupganj</v>
          </cell>
          <cell r="F265" t="str">
            <v>Rupganj,Araihazar,Sonargaon</v>
          </cell>
          <cell r="G265" t="str">
            <v>05038-M/S Kanak Traders</v>
          </cell>
          <cell r="H265">
            <v>87.434999999999988</v>
          </cell>
          <cell r="I265">
            <v>25.53</v>
          </cell>
          <cell r="J265">
            <v>0.29198833419111347</v>
          </cell>
          <cell r="K265">
            <v>2201839.6863528658</v>
          </cell>
          <cell r="L265">
            <v>1363960</v>
          </cell>
          <cell r="M265">
            <v>0.61946380949253743</v>
          </cell>
          <cell r="N265">
            <v>56.079000000000001</v>
          </cell>
          <cell r="O265">
            <v>25.9</v>
          </cell>
          <cell r="P265">
            <v>0.46184846377431832</v>
          </cell>
          <cell r="Q265">
            <v>1761471.7490822929</v>
          </cell>
          <cell r="R265">
            <v>1092000</v>
          </cell>
          <cell r="S265">
            <v>0.61993614179104484</v>
          </cell>
          <cell r="T265">
            <v>56.079000000000001</v>
          </cell>
          <cell r="U265">
            <v>13.125</v>
          </cell>
          <cell r="V265">
            <v>0.23404482961536405</v>
          </cell>
          <cell r="W265">
            <v>1761471.7490822927</v>
          </cell>
          <cell r="X265">
            <v>800000</v>
          </cell>
          <cell r="Y265">
            <v>0.45416567164179111</v>
          </cell>
        </row>
        <row r="266">
          <cell r="E266" t="str">
            <v>Narayanganj Sadar</v>
          </cell>
          <cell r="F266" t="str">
            <v>Narayanganj Sadar,Bandar,Fatullah,Siddirganj</v>
          </cell>
          <cell r="G266" t="str">
            <v>05013-AL  Madina</v>
          </cell>
          <cell r="H266">
            <v>62.204999999999998</v>
          </cell>
          <cell r="I266">
            <v>39.187200000000004</v>
          </cell>
          <cell r="J266">
            <v>0.62996865203761765</v>
          </cell>
          <cell r="K266">
            <v>1566482.9609376113</v>
          </cell>
          <cell r="L266">
            <v>2066557</v>
          </cell>
          <cell r="M266">
            <v>1.3192336281545454</v>
          </cell>
          <cell r="N266">
            <v>39.896999999999998</v>
          </cell>
          <cell r="O266">
            <v>66.62</v>
          </cell>
          <cell r="P266">
            <v>1.6697997343158635</v>
          </cell>
          <cell r="Q266">
            <v>1253186.3687500891</v>
          </cell>
          <cell r="R266">
            <v>1310500</v>
          </cell>
          <cell r="S266">
            <v>1.0457343238636363</v>
          </cell>
          <cell r="T266">
            <v>39.896999999999998</v>
          </cell>
          <cell r="U266">
            <v>12.012499999999999</v>
          </cell>
          <cell r="V266">
            <v>0.30108780108780109</v>
          </cell>
          <cell r="W266">
            <v>1253186.3687500888</v>
          </cell>
          <cell r="X266">
            <v>410000</v>
          </cell>
          <cell r="Y266">
            <v>0.32716602272727274</v>
          </cell>
        </row>
        <row r="267">
          <cell r="E267" t="str">
            <v>Narsingdi Area</v>
          </cell>
          <cell r="F267" t="str">
            <v>Narsingdi Area</v>
          </cell>
          <cell r="G267"/>
          <cell r="H267">
            <v>320.76899999999995</v>
          </cell>
          <cell r="I267">
            <v>105.2912</v>
          </cell>
          <cell r="J267">
            <v>0.32824618339053968</v>
          </cell>
          <cell r="K267">
            <v>8077793.9538139477</v>
          </cell>
          <cell r="L267">
            <v>8855910</v>
          </cell>
          <cell r="M267">
            <v>1.0963277908096014</v>
          </cell>
          <cell r="N267">
            <v>205.7346</v>
          </cell>
          <cell r="O267">
            <v>145.17000000000002</v>
          </cell>
          <cell r="P267">
            <v>0.70561782024025133</v>
          </cell>
          <cell r="Q267">
            <v>6462235.1630511573</v>
          </cell>
          <cell r="R267">
            <v>3092900</v>
          </cell>
          <cell r="S267">
            <v>0.47861148998169251</v>
          </cell>
          <cell r="T267">
            <v>205.7346</v>
          </cell>
          <cell r="U267">
            <v>63.282499999999999</v>
          </cell>
          <cell r="V267">
            <v>0.30759288909109112</v>
          </cell>
          <cell r="W267">
            <v>6462235.1630511573</v>
          </cell>
          <cell r="X267">
            <v>2992764</v>
          </cell>
          <cell r="Y267">
            <v>0.46311592266273399</v>
          </cell>
        </row>
        <row r="268">
          <cell r="E268" t="str">
            <v>Dohar</v>
          </cell>
          <cell r="F268" t="str">
            <v>Nawbabganj,Dohar</v>
          </cell>
          <cell r="G268" t="str">
            <v>05015-M/s Zaman &amp;Sons</v>
          </cell>
          <cell r="H268">
            <v>88.914000000000001</v>
          </cell>
          <cell r="I268">
            <v>0</v>
          </cell>
          <cell r="J268">
            <v>0</v>
          </cell>
          <cell r="K268">
            <v>2239084.7357737608</v>
          </cell>
          <cell r="L268">
            <v>0</v>
          </cell>
          <cell r="M268">
            <v>0</v>
          </cell>
          <cell r="N268">
            <v>57.027600000000007</v>
          </cell>
          <cell r="O268">
            <v>38.06</v>
          </cell>
          <cell r="P268">
            <v>0.6673961380103669</v>
          </cell>
          <cell r="Q268">
            <v>1791267.7886190084</v>
          </cell>
          <cell r="R268">
            <v>1328349.1200000001</v>
          </cell>
          <cell r="S268">
            <v>0.74156925527260276</v>
          </cell>
          <cell r="T268">
            <v>57.027600000000007</v>
          </cell>
          <cell r="U268">
            <v>20.504999999999999</v>
          </cell>
          <cell r="V268">
            <v>0.35956273804263195</v>
          </cell>
          <cell r="W268">
            <v>1791267.7886190084</v>
          </cell>
          <cell r="X268">
            <v>1732680</v>
          </cell>
          <cell r="Y268">
            <v>0.96729255726516628</v>
          </cell>
        </row>
        <row r="269">
          <cell r="E269" t="str">
            <v>Dhaka</v>
          </cell>
          <cell r="F269" t="str">
            <v>Keraniganj,Dhaka Merto</v>
          </cell>
          <cell r="G269" t="str">
            <v>05015-M/s Zaman &amp;Sons</v>
          </cell>
          <cell r="H269">
            <v>93.089999999999989</v>
          </cell>
          <cell r="I269">
            <v>141.01900000000001</v>
          </cell>
          <cell r="J269">
            <v>1.514867332688796</v>
          </cell>
          <cell r="K269">
            <v>2344247.2282562852</v>
          </cell>
          <cell r="L269">
            <v>7557200</v>
          </cell>
          <cell r="M269">
            <v>3.223721418504673</v>
          </cell>
          <cell r="N269">
            <v>59.706000000000003</v>
          </cell>
          <cell r="O269">
            <v>39.65</v>
          </cell>
          <cell r="P269">
            <v>0.66408736140421387</v>
          </cell>
          <cell r="Q269">
            <v>1875397.7826050282</v>
          </cell>
          <cell r="R269">
            <v>1383697</v>
          </cell>
          <cell r="S269">
            <v>0.73781520530432243</v>
          </cell>
          <cell r="T269">
            <v>59.706000000000003</v>
          </cell>
          <cell r="U269">
            <v>21.357500000000002</v>
          </cell>
          <cell r="V269">
            <v>0.35771111781060533</v>
          </cell>
          <cell r="W269">
            <v>1875397.7826050285</v>
          </cell>
          <cell r="X269">
            <v>1804875</v>
          </cell>
          <cell r="Y269">
            <v>0.96239582702978965</v>
          </cell>
        </row>
        <row r="270">
          <cell r="E270" t="str">
            <v>Shirajdikhan</v>
          </cell>
          <cell r="F270" t="str">
            <v>Shirajdikhan,Sreenagar</v>
          </cell>
          <cell r="G270" t="str">
            <v>05015-M/s Zaman &amp;Sons</v>
          </cell>
          <cell r="H270">
            <v>81.432000000000002</v>
          </cell>
          <cell r="I270">
            <v>0</v>
          </cell>
          <cell r="J270">
            <v>0</v>
          </cell>
          <cell r="K270">
            <v>2050668.6034092365</v>
          </cell>
          <cell r="L270">
            <v>0</v>
          </cell>
          <cell r="M270">
            <v>0</v>
          </cell>
          <cell r="N270">
            <v>52.2288</v>
          </cell>
          <cell r="O270">
            <v>34.89</v>
          </cell>
          <cell r="P270">
            <v>0.66802224060288573</v>
          </cell>
          <cell r="Q270">
            <v>1640534.8827273892</v>
          </cell>
          <cell r="R270">
            <v>1217653.3600000001</v>
          </cell>
          <cell r="S270">
            <v>0.74222948431041669</v>
          </cell>
          <cell r="T270">
            <v>52.2288</v>
          </cell>
          <cell r="U270">
            <v>18.795000000000002</v>
          </cell>
          <cell r="V270">
            <v>0.35985892840731554</v>
          </cell>
          <cell r="W270">
            <v>1640534.8827273892</v>
          </cell>
          <cell r="X270">
            <v>1588290</v>
          </cell>
          <cell r="Y270">
            <v>0.96815375078124999</v>
          </cell>
        </row>
        <row r="271">
          <cell r="E271" t="str">
            <v>Munshiganj sadar</v>
          </cell>
          <cell r="F271" t="str">
            <v>Munshiganj sadar, Gazaria</v>
          </cell>
          <cell r="G271" t="str">
            <v>05015-M/s Zaman &amp;Sons</v>
          </cell>
          <cell r="H271">
            <v>33.93</v>
          </cell>
          <cell r="I271">
            <v>0</v>
          </cell>
          <cell r="J271">
            <v>0</v>
          </cell>
          <cell r="K271">
            <v>854445.25142051524</v>
          </cell>
          <cell r="L271">
            <v>0</v>
          </cell>
          <cell r="M271">
            <v>0</v>
          </cell>
          <cell r="N271">
            <v>21.762</v>
          </cell>
          <cell r="O271">
            <v>15.86</v>
          </cell>
          <cell r="P271">
            <v>0.72879330943847065</v>
          </cell>
          <cell r="Q271">
            <v>683556.2011364121</v>
          </cell>
          <cell r="R271">
            <v>553478.80000000005</v>
          </cell>
          <cell r="S271">
            <v>0.80970489197500017</v>
          </cell>
          <cell r="T271">
            <v>21.762</v>
          </cell>
          <cell r="U271">
            <v>8.5425000000000004</v>
          </cell>
          <cell r="V271">
            <v>0.39254204576785223</v>
          </cell>
          <cell r="W271">
            <v>683556.2011364121</v>
          </cell>
          <cell r="X271">
            <v>721950</v>
          </cell>
          <cell r="Y271">
            <v>1.0561677281250001</v>
          </cell>
        </row>
        <row r="272">
          <cell r="E272" t="str">
            <v>Tongibari</v>
          </cell>
          <cell r="F272" t="str">
            <v>Tongibari,Louhajang</v>
          </cell>
          <cell r="G272" t="str">
            <v>05015-M/s Zaman &amp;Sons</v>
          </cell>
          <cell r="H272">
            <v>69.164999999999992</v>
          </cell>
          <cell r="I272">
            <v>0</v>
          </cell>
          <cell r="J272">
            <v>0</v>
          </cell>
          <cell r="K272">
            <v>1741753.7817418193</v>
          </cell>
          <cell r="L272">
            <v>0</v>
          </cell>
          <cell r="M272">
            <v>0</v>
          </cell>
          <cell r="N272">
            <v>44.360999999999997</v>
          </cell>
          <cell r="O272">
            <v>30.13</v>
          </cell>
          <cell r="P272">
            <v>0.67920019837244427</v>
          </cell>
          <cell r="Q272">
            <v>1393403.0253934555</v>
          </cell>
          <cell r="R272">
            <v>1051609.72</v>
          </cell>
          <cell r="S272">
            <v>0.75470606912386795</v>
          </cell>
          <cell r="T272">
            <v>44.360999999999997</v>
          </cell>
          <cell r="U272">
            <v>16.232500000000002</v>
          </cell>
          <cell r="V272">
            <v>0.36591826153603396</v>
          </cell>
          <cell r="W272">
            <v>1393403.0253934553</v>
          </cell>
          <cell r="X272">
            <v>1371705</v>
          </cell>
          <cell r="Y272">
            <v>0.98442803338443419</v>
          </cell>
        </row>
        <row r="273">
          <cell r="E273" t="str">
            <v>Dhaka Area</v>
          </cell>
          <cell r="F273" t="str">
            <v>Dhaka Area</v>
          </cell>
          <cell r="G273"/>
          <cell r="H273">
            <v>366.53099999999995</v>
          </cell>
          <cell r="I273">
            <v>141.01900000000001</v>
          </cell>
          <cell r="J273">
            <v>0.38473962638903675</v>
          </cell>
          <cell r="K273">
            <v>9230199.6006016172</v>
          </cell>
          <cell r="L273">
            <v>7557200</v>
          </cell>
          <cell r="M273">
            <v>0.81874719150249231</v>
          </cell>
          <cell r="N273">
            <v>235.08539999999999</v>
          </cell>
          <cell r="O273">
            <v>158.59</v>
          </cell>
          <cell r="P273">
            <v>0.6746059091717308</v>
          </cell>
          <cell r="Q273">
            <v>7384159.6804812932</v>
          </cell>
          <cell r="R273">
            <v>5534788</v>
          </cell>
          <cell r="S273">
            <v>0.74954879627403281</v>
          </cell>
          <cell r="T273">
            <v>235.08539999999999</v>
          </cell>
          <cell r="U273">
            <v>85.432500000000005</v>
          </cell>
          <cell r="V273">
            <v>0.36341048827362316</v>
          </cell>
          <cell r="W273">
            <v>7384159.6804812932</v>
          </cell>
          <cell r="X273">
            <v>7219500</v>
          </cell>
          <cell r="Y273">
            <v>0.97770095886244957</v>
          </cell>
        </row>
        <row r="274">
          <cell r="E274" t="str">
            <v>Dhaka Zone</v>
          </cell>
          <cell r="F274"/>
          <cell r="G274"/>
          <cell r="H274">
            <v>2501.337</v>
          </cell>
          <cell r="I274">
            <v>974.73694999999998</v>
          </cell>
          <cell r="J274">
            <v>0.38968637572626158</v>
          </cell>
          <cell r="K274">
            <v>62990142.111772388</v>
          </cell>
          <cell r="L274">
            <v>57421148</v>
          </cell>
          <cell r="M274">
            <v>0.91158943407540616</v>
          </cell>
          <cell r="N274">
            <v>1604.3057999999999</v>
          </cell>
          <cell r="O274">
            <v>1186.0899999999999</v>
          </cell>
          <cell r="P274">
            <v>0.73931665646287636</v>
          </cell>
          <cell r="Q274">
            <v>50392113.689417914</v>
          </cell>
          <cell r="R274">
            <v>31740327</v>
          </cell>
          <cell r="S274">
            <v>0.62986695092064193</v>
          </cell>
          <cell r="T274">
            <v>1604.3057999999999</v>
          </cell>
          <cell r="U274">
            <v>728.2349999999999</v>
          </cell>
          <cell r="V274">
            <v>0.45392530526287445</v>
          </cell>
          <cell r="W274">
            <v>50392113.689417914</v>
          </cell>
          <cell r="X274">
            <v>41227556</v>
          </cell>
          <cell r="Y274">
            <v>0.81813508070127994</v>
          </cell>
        </row>
        <row r="275">
          <cell r="E275" t="str">
            <v>Dhanbari</v>
          </cell>
          <cell r="F275" t="str">
            <v xml:space="preserve">Gopalpur,Dhonbari </v>
          </cell>
          <cell r="G275" t="str">
            <v>10016-M/S Rupali Trading Cor</v>
          </cell>
          <cell r="H275">
            <v>129.140625</v>
          </cell>
          <cell r="I275">
            <v>0</v>
          </cell>
          <cell r="J275">
            <v>0</v>
          </cell>
          <cell r="K275">
            <v>3252095.3078905828</v>
          </cell>
          <cell r="L275">
            <v>0</v>
          </cell>
          <cell r="M275">
            <v>0</v>
          </cell>
          <cell r="N275">
            <v>82.828125</v>
          </cell>
          <cell r="O275">
            <v>55.86</v>
          </cell>
          <cell r="P275">
            <v>0.67440860215053766</v>
          </cell>
          <cell r="Q275">
            <v>2601676.2463124665</v>
          </cell>
          <cell r="R275">
            <v>1463511.39</v>
          </cell>
          <cell r="S275">
            <v>0.56252632973619776</v>
          </cell>
          <cell r="T275">
            <v>82.828125</v>
          </cell>
          <cell r="U275">
            <v>47.29</v>
          </cell>
          <cell r="V275">
            <v>0.57094133182418405</v>
          </cell>
          <cell r="W275">
            <v>2601676.2463124665</v>
          </cell>
          <cell r="X275">
            <v>3248283.56</v>
          </cell>
          <cell r="Y275">
            <v>1.2485348876917388</v>
          </cell>
        </row>
        <row r="276">
          <cell r="E276" t="str">
            <v>Madhupur</v>
          </cell>
          <cell r="F276" t="str">
            <v xml:space="preserve">Modhupur </v>
          </cell>
          <cell r="G276" t="str">
            <v>10016-M/S Rupali Trading Cor</v>
          </cell>
          <cell r="H276">
            <v>244.68749999999997</v>
          </cell>
          <cell r="I276">
            <v>318.66360000000003</v>
          </cell>
          <cell r="J276">
            <v>1.3023288888888891</v>
          </cell>
          <cell r="K276">
            <v>6161864.7938979454</v>
          </cell>
          <cell r="L276">
            <v>16118400</v>
          </cell>
          <cell r="M276">
            <v>2.6158314956800006</v>
          </cell>
          <cell r="N276">
            <v>156.9375</v>
          </cell>
          <cell r="O276">
            <v>109.28</v>
          </cell>
          <cell r="P276">
            <v>0.69632815611310239</v>
          </cell>
          <cell r="Q276">
            <v>4929491.8351183571</v>
          </cell>
          <cell r="R276">
            <v>2863391.85</v>
          </cell>
          <cell r="S276">
            <v>0.58086957961890007</v>
          </cell>
          <cell r="T276">
            <v>156.9375</v>
          </cell>
          <cell r="U276">
            <v>92.525000000000006</v>
          </cell>
          <cell r="V276">
            <v>0.58956590999601755</v>
          </cell>
          <cell r="W276">
            <v>4929491.8351183571</v>
          </cell>
          <cell r="X276">
            <v>6355337.4000000004</v>
          </cell>
          <cell r="Y276">
            <v>1.2892479818556</v>
          </cell>
        </row>
        <row r="277">
          <cell r="E277" t="str">
            <v>Muktagacha</v>
          </cell>
          <cell r="F277" t="str">
            <v xml:space="preserve">Muktagacha </v>
          </cell>
          <cell r="G277" t="str">
            <v>10016-M/S Rupali Trading Cor</v>
          </cell>
          <cell r="H277">
            <v>176.17499999999998</v>
          </cell>
          <cell r="I277">
            <v>0</v>
          </cell>
          <cell r="J277">
            <v>0</v>
          </cell>
          <cell r="K277">
            <v>4436542.6516065216</v>
          </cell>
          <cell r="L277">
            <v>0</v>
          </cell>
          <cell r="M277">
            <v>0</v>
          </cell>
          <cell r="N277">
            <v>112.995</v>
          </cell>
          <cell r="O277">
            <v>77.709999999999994</v>
          </cell>
          <cell r="P277">
            <v>0.68772954555511301</v>
          </cell>
          <cell r="Q277">
            <v>3549234.1212852169</v>
          </cell>
          <cell r="R277">
            <v>2036189.76</v>
          </cell>
          <cell r="S277">
            <v>0.57369835024088889</v>
          </cell>
          <cell r="T277">
            <v>112.995</v>
          </cell>
          <cell r="U277">
            <v>65.795000000000002</v>
          </cell>
          <cell r="V277">
            <v>0.58228240187618918</v>
          </cell>
          <cell r="W277">
            <v>3549234.1212852169</v>
          </cell>
          <cell r="X277">
            <v>4519351.04</v>
          </cell>
          <cell r="Y277">
            <v>1.2733313401042965</v>
          </cell>
        </row>
        <row r="278">
          <cell r="E278" t="str">
            <v>Trishal</v>
          </cell>
          <cell r="F278" t="str">
            <v>Trishal</v>
          </cell>
          <cell r="G278" t="str">
            <v>10019-M/S Jahid Traders</v>
          </cell>
          <cell r="H278">
            <v>140.94</v>
          </cell>
          <cell r="I278">
            <v>0</v>
          </cell>
          <cell r="J278">
            <v>0</v>
          </cell>
          <cell r="K278">
            <v>3549234.1212852173</v>
          </cell>
          <cell r="L278">
            <v>0</v>
          </cell>
          <cell r="M278">
            <v>0</v>
          </cell>
          <cell r="N278">
            <v>90.396000000000001</v>
          </cell>
          <cell r="O278">
            <v>63.8</v>
          </cell>
          <cell r="P278">
            <v>0.70578344174520991</v>
          </cell>
          <cell r="Q278">
            <v>2839387.2970281737</v>
          </cell>
          <cell r="R278">
            <v>1950841.2</v>
          </cell>
          <cell r="S278">
            <v>0.68706414304305552</v>
          </cell>
          <cell r="T278">
            <v>90.396000000000001</v>
          </cell>
          <cell r="U278">
            <v>35.4375</v>
          </cell>
          <cell r="V278">
            <v>0.39202508960573479</v>
          </cell>
          <cell r="W278">
            <v>2839387.2970281737</v>
          </cell>
          <cell r="X278">
            <v>2712369</v>
          </cell>
          <cell r="Y278">
            <v>0.9552655965034722</v>
          </cell>
        </row>
        <row r="279">
          <cell r="E279" t="str">
            <v>Gafargaon</v>
          </cell>
          <cell r="F279" t="str">
            <v>Gaforgaon</v>
          </cell>
          <cell r="G279" t="str">
            <v>10019-M/S Jahid Traders</v>
          </cell>
          <cell r="H279">
            <v>125.27999999999999</v>
          </cell>
          <cell r="I279">
            <v>0</v>
          </cell>
          <cell r="J279">
            <v>0</v>
          </cell>
          <cell r="K279">
            <v>3154874.7744757482</v>
          </cell>
          <cell r="L279">
            <v>0</v>
          </cell>
          <cell r="M279">
            <v>0</v>
          </cell>
          <cell r="N279">
            <v>80.352000000000004</v>
          </cell>
          <cell r="O279">
            <v>58</v>
          </cell>
          <cell r="P279">
            <v>0.72182397451214653</v>
          </cell>
          <cell r="Q279">
            <v>2523899.8195805992</v>
          </cell>
          <cell r="R279">
            <v>1773492</v>
          </cell>
          <cell r="S279">
            <v>0.70267923720312486</v>
          </cell>
          <cell r="T279">
            <v>80.352000000000004</v>
          </cell>
          <cell r="U279">
            <v>32.215000000000003</v>
          </cell>
          <cell r="V279">
            <v>0.40092343687773796</v>
          </cell>
          <cell r="W279">
            <v>2523899.8195805992</v>
          </cell>
          <cell r="X279">
            <v>2465790</v>
          </cell>
          <cell r="Y279">
            <v>0.97697617824218741</v>
          </cell>
        </row>
        <row r="280">
          <cell r="E280" t="str">
            <v>Bhaluka</v>
          </cell>
          <cell r="F280" t="str">
            <v xml:space="preserve">Bhaluka </v>
          </cell>
          <cell r="G280" t="str">
            <v>10019-M/S Jahid Traders</v>
          </cell>
          <cell r="H280">
            <v>156.6</v>
          </cell>
          <cell r="I280">
            <v>242.27175</v>
          </cell>
          <cell r="J280">
            <v>1.5470737547892721</v>
          </cell>
          <cell r="K280">
            <v>3943593.468094686</v>
          </cell>
          <cell r="L280">
            <v>10677300</v>
          </cell>
          <cell r="M280">
            <v>2.7075052452499997</v>
          </cell>
          <cell r="N280">
            <v>100.44</v>
          </cell>
          <cell r="O280">
            <v>71.53</v>
          </cell>
          <cell r="P280">
            <v>0.71216646754281165</v>
          </cell>
          <cell r="Q280">
            <v>3154874.7744757487</v>
          </cell>
          <cell r="R280">
            <v>2187306.7999999998</v>
          </cell>
          <cell r="S280">
            <v>0.69331018070708328</v>
          </cell>
          <cell r="T280">
            <v>100.44</v>
          </cell>
          <cell r="U280">
            <v>39.732500000000002</v>
          </cell>
          <cell r="V280">
            <v>0.39558442851453607</v>
          </cell>
          <cell r="W280">
            <v>3154874.7744757487</v>
          </cell>
          <cell r="X280">
            <v>3041141</v>
          </cell>
          <cell r="Y280">
            <v>0.96394982919895833</v>
          </cell>
        </row>
        <row r="281">
          <cell r="E281" t="str">
            <v>Fulbaria</v>
          </cell>
          <cell r="F281" t="str">
            <v>Fulbaria</v>
          </cell>
          <cell r="G281" t="str">
            <v>10017-M/S Bhai Bhai Traders</v>
          </cell>
          <cell r="H281">
            <v>248.60249999999999</v>
          </cell>
          <cell r="I281">
            <v>0</v>
          </cell>
          <cell r="J281">
            <v>0</v>
          </cell>
          <cell r="K281">
            <v>6260454.6306003137</v>
          </cell>
          <cell r="L281">
            <v>0</v>
          </cell>
          <cell r="M281">
            <v>0</v>
          </cell>
          <cell r="N281">
            <v>159.4485</v>
          </cell>
          <cell r="O281">
            <v>68.66</v>
          </cell>
          <cell r="P281">
            <v>0.43060925628024094</v>
          </cell>
          <cell r="Q281">
            <v>5008363.7044802513</v>
          </cell>
          <cell r="R281">
            <v>3165000</v>
          </cell>
          <cell r="S281">
            <v>0.63194292322834644</v>
          </cell>
          <cell r="T281">
            <v>159.4485</v>
          </cell>
          <cell r="U281">
            <v>82.997500000000002</v>
          </cell>
          <cell r="V281">
            <v>0.52052857192134139</v>
          </cell>
          <cell r="W281">
            <v>5008363.7044802513</v>
          </cell>
          <cell r="X281">
            <v>4975000</v>
          </cell>
          <cell r="Y281">
            <v>0.99333840223097103</v>
          </cell>
        </row>
        <row r="282">
          <cell r="E282" t="str">
            <v>Mymensingh Area</v>
          </cell>
          <cell r="F282" t="str">
            <v>Mymensingh Area</v>
          </cell>
          <cell r="G282"/>
          <cell r="H282">
            <v>1221.4256250000001</v>
          </cell>
          <cell r="I282">
            <v>560.93534999999997</v>
          </cell>
          <cell r="J282">
            <v>0.45924642362075868</v>
          </cell>
          <cell r="K282">
            <v>30758659.747851018</v>
          </cell>
          <cell r="L282">
            <v>26795700</v>
          </cell>
          <cell r="M282">
            <v>0.87115954400035611</v>
          </cell>
          <cell r="N282">
            <v>783.39712499999996</v>
          </cell>
          <cell r="O282">
            <v>504.83999999999992</v>
          </cell>
          <cell r="P282">
            <v>0.6444241163126555</v>
          </cell>
          <cell r="Q282">
            <v>24606927.798280813</v>
          </cell>
          <cell r="R282">
            <v>15439733</v>
          </cell>
          <cell r="S282">
            <v>0.62745472033606375</v>
          </cell>
          <cell r="T282">
            <v>783.39712499999996</v>
          </cell>
          <cell r="U282">
            <v>395.99250000000006</v>
          </cell>
          <cell r="V282">
            <v>0.50548117597444597</v>
          </cell>
          <cell r="W282">
            <v>24606927.798280813</v>
          </cell>
          <cell r="X282">
            <v>27317272</v>
          </cell>
          <cell r="Y282">
            <v>1.1101455746096247</v>
          </cell>
        </row>
        <row r="283">
          <cell r="E283" t="str">
            <v>Ghatail</v>
          </cell>
          <cell r="F283" t="str">
            <v xml:space="preserve">Ghatail </v>
          </cell>
          <cell r="G283" t="str">
            <v>10001-M/S Amela treders</v>
          </cell>
          <cell r="H283">
            <v>182.04749999999999</v>
          </cell>
          <cell r="I283">
            <v>168.85299999999998</v>
          </cell>
          <cell r="J283">
            <v>0.92752166330216013</v>
          </cell>
          <cell r="K283">
            <v>4584427.4066600725</v>
          </cell>
          <cell r="L283">
            <v>6948000</v>
          </cell>
          <cell r="M283">
            <v>1.5155654967741934</v>
          </cell>
          <cell r="N283">
            <v>116.7615</v>
          </cell>
          <cell r="O283">
            <v>114.01</v>
          </cell>
          <cell r="P283">
            <v>0.97643486937046897</v>
          </cell>
          <cell r="Q283">
            <v>3667541.9253280573</v>
          </cell>
          <cell r="R283">
            <v>3117226</v>
          </cell>
          <cell r="S283">
            <v>0.84994965660035848</v>
          </cell>
          <cell r="T283">
            <v>116.7615</v>
          </cell>
          <cell r="U283">
            <v>61.81</v>
          </cell>
          <cell r="V283">
            <v>0.52936969805972001</v>
          </cell>
          <cell r="W283">
            <v>3667541.9253280577</v>
          </cell>
          <cell r="X283">
            <v>3754982</v>
          </cell>
          <cell r="Y283">
            <v>1.023841601937276</v>
          </cell>
        </row>
        <row r="284">
          <cell r="E284" t="str">
            <v>Kalihati</v>
          </cell>
          <cell r="F284" t="str">
            <v xml:space="preserve">Kalihati, Bhuapur </v>
          </cell>
          <cell r="G284" t="str">
            <v>10001-M/S Amela treders</v>
          </cell>
          <cell r="H284">
            <v>97.875</v>
          </cell>
          <cell r="I284">
            <v>0</v>
          </cell>
          <cell r="J284">
            <v>0</v>
          </cell>
          <cell r="K284">
            <v>2464745.9175591785</v>
          </cell>
          <cell r="L284">
            <v>0</v>
          </cell>
          <cell r="M284">
            <v>0</v>
          </cell>
          <cell r="N284">
            <v>62.774999999999999</v>
          </cell>
          <cell r="O284">
            <v>61.08</v>
          </cell>
          <cell r="P284">
            <v>0.97299880525686977</v>
          </cell>
          <cell r="Q284">
            <v>1971796.734047343</v>
          </cell>
          <cell r="R284">
            <v>1669942.5</v>
          </cell>
          <cell r="S284">
            <v>0.84691412211249995</v>
          </cell>
          <cell r="T284">
            <v>62.774999999999999</v>
          </cell>
          <cell r="U284">
            <v>33.112499999999997</v>
          </cell>
          <cell r="V284">
            <v>0.52747909199522103</v>
          </cell>
          <cell r="W284">
            <v>1971796.7340473426</v>
          </cell>
          <cell r="X284">
            <v>2011597.5</v>
          </cell>
          <cell r="Y284">
            <v>1.0201850247875002</v>
          </cell>
        </row>
        <row r="285">
          <cell r="E285" t="str">
            <v>Tangail Sadar</v>
          </cell>
          <cell r="F285" t="str">
            <v xml:space="preserve">Tangail Sadar, Basil </v>
          </cell>
          <cell r="G285" t="str">
            <v>10001-M/S Amela treders</v>
          </cell>
          <cell r="H285">
            <v>77.484375</v>
          </cell>
          <cell r="I285">
            <v>420.76425</v>
          </cell>
          <cell r="J285">
            <v>5.4303109497882636</v>
          </cell>
          <cell r="K285">
            <v>1951257.1847343498</v>
          </cell>
          <cell r="L285">
            <v>20994400</v>
          </cell>
          <cell r="M285">
            <v>10.759422265936841</v>
          </cell>
          <cell r="N285">
            <v>49.696874999999999</v>
          </cell>
          <cell r="O285">
            <v>52.93</v>
          </cell>
          <cell r="P285">
            <v>1.0650569075017293</v>
          </cell>
          <cell r="Q285">
            <v>1561005.7477874798</v>
          </cell>
          <cell r="R285">
            <v>1447283.5</v>
          </cell>
          <cell r="S285">
            <v>0.92714809157578948</v>
          </cell>
          <cell r="T285">
            <v>49.696874999999999</v>
          </cell>
          <cell r="U285">
            <v>28.697500000000002</v>
          </cell>
          <cell r="V285">
            <v>0.57745079544739986</v>
          </cell>
          <cell r="W285">
            <v>1561005.7477874798</v>
          </cell>
          <cell r="X285">
            <v>1743384.5</v>
          </cell>
          <cell r="Y285">
            <v>1.1168341323989472</v>
          </cell>
        </row>
        <row r="286">
          <cell r="E286" t="str">
            <v>Delduar</v>
          </cell>
          <cell r="F286" t="str">
            <v xml:space="preserve">Delduar, Nagarpur </v>
          </cell>
          <cell r="G286" t="str">
            <v>10001-M/S Amela treders</v>
          </cell>
          <cell r="H286">
            <v>127.78124999999999</v>
          </cell>
          <cell r="I286">
            <v>0</v>
          </cell>
          <cell r="J286">
            <v>0</v>
          </cell>
          <cell r="K286">
            <v>3217862.7257022602</v>
          </cell>
          <cell r="L286">
            <v>0</v>
          </cell>
          <cell r="M286">
            <v>0</v>
          </cell>
          <cell r="N286">
            <v>81.956249999999997</v>
          </cell>
          <cell r="O286">
            <v>81.44</v>
          </cell>
          <cell r="P286">
            <v>0.99370090749637763</v>
          </cell>
          <cell r="Q286">
            <v>2574290.1805618089</v>
          </cell>
          <cell r="R286">
            <v>2226590</v>
          </cell>
          <cell r="S286">
            <v>0.86493357151914885</v>
          </cell>
          <cell r="T286">
            <v>81.956249999999997</v>
          </cell>
          <cell r="U286">
            <v>44.15</v>
          </cell>
          <cell r="V286">
            <v>0.53870205139937466</v>
          </cell>
          <cell r="W286">
            <v>2574290.1805618089</v>
          </cell>
          <cell r="X286">
            <v>2682130</v>
          </cell>
          <cell r="Y286">
            <v>1.0418910891446809</v>
          </cell>
        </row>
        <row r="287">
          <cell r="E287" t="str">
            <v>Sakhipur</v>
          </cell>
          <cell r="F287" t="str">
            <v>Shokhipur</v>
          </cell>
          <cell r="G287" t="str">
            <v>10020-M/S Lucky Traders</v>
          </cell>
          <cell r="H287">
            <v>114.18749999999999</v>
          </cell>
          <cell r="I287">
            <v>70.283500000000004</v>
          </cell>
          <cell r="J287">
            <v>0.61550957854406141</v>
          </cell>
          <cell r="K287">
            <v>2875536.9038190413</v>
          </cell>
          <cell r="L287">
            <v>3970000</v>
          </cell>
          <cell r="M287">
            <v>1.3806117371428572</v>
          </cell>
          <cell r="N287">
            <v>73.237499999999997</v>
          </cell>
          <cell r="O287">
            <v>54.96</v>
          </cell>
          <cell r="P287">
            <v>0.75043522785458272</v>
          </cell>
          <cell r="Q287">
            <v>2300429.5230552331</v>
          </cell>
          <cell r="R287">
            <v>405000</v>
          </cell>
          <cell r="S287">
            <v>0.1760540785714286</v>
          </cell>
          <cell r="T287">
            <v>73.237499999999997</v>
          </cell>
          <cell r="U287">
            <v>25.512499999999999</v>
          </cell>
          <cell r="V287">
            <v>0.34835296125618709</v>
          </cell>
          <cell r="W287">
            <v>2300429.5230552331</v>
          </cell>
          <cell r="X287">
            <v>1635000</v>
          </cell>
          <cell r="Y287">
            <v>0.71073683571428581</v>
          </cell>
        </row>
        <row r="288">
          <cell r="E288" t="str">
            <v>Mirzapur</v>
          </cell>
          <cell r="F288" t="str">
            <v>Mirzapur</v>
          </cell>
          <cell r="G288" t="str">
            <v>10001-M/S Amela treders</v>
          </cell>
          <cell r="H288">
            <v>153.98999999999998</v>
          </cell>
          <cell r="I288">
            <v>0</v>
          </cell>
          <cell r="J288">
            <v>0</v>
          </cell>
          <cell r="K288">
            <v>3877866.9102931074</v>
          </cell>
          <cell r="L288">
            <v>0</v>
          </cell>
          <cell r="M288">
            <v>0</v>
          </cell>
          <cell r="N288">
            <v>98.766000000000005</v>
          </cell>
          <cell r="O288">
            <v>97.72</v>
          </cell>
          <cell r="P288">
            <v>0.98940931089646234</v>
          </cell>
          <cell r="Q288">
            <v>3102293.528234486</v>
          </cell>
          <cell r="R288">
            <v>2671908</v>
          </cell>
          <cell r="S288">
            <v>0.86126859875847461</v>
          </cell>
          <cell r="T288">
            <v>98.766000000000005</v>
          </cell>
          <cell r="U288">
            <v>52.98</v>
          </cell>
          <cell r="V288">
            <v>0.53641941558836026</v>
          </cell>
          <cell r="W288">
            <v>3102293.528234486</v>
          </cell>
          <cell r="X288">
            <v>3218556</v>
          </cell>
          <cell r="Y288">
            <v>1.0374762963940678</v>
          </cell>
        </row>
        <row r="289">
          <cell r="E289" t="str">
            <v>Tangail Area</v>
          </cell>
          <cell r="F289" t="str">
            <v>Tangail Area</v>
          </cell>
          <cell r="G289"/>
          <cell r="H289">
            <v>753.36562500000002</v>
          </cell>
          <cell r="I289">
            <v>659.90075000000002</v>
          </cell>
          <cell r="J289">
            <v>0.87593689982868539</v>
          </cell>
          <cell r="K289">
            <v>18971697.04876801</v>
          </cell>
          <cell r="L289">
            <v>31912400</v>
          </cell>
          <cell r="M289">
            <v>1.6821057134723927</v>
          </cell>
          <cell r="N289">
            <v>483.19312500000001</v>
          </cell>
          <cell r="O289">
            <v>462.14</v>
          </cell>
          <cell r="P289">
            <v>0.95642917104832559</v>
          </cell>
          <cell r="Q289">
            <v>15177357.639014408</v>
          </cell>
          <cell r="R289">
            <v>11537950</v>
          </cell>
          <cell r="S289">
            <v>0.76020808591483224</v>
          </cell>
          <cell r="T289">
            <v>483.19312500000001</v>
          </cell>
          <cell r="U289">
            <v>246.26249999999999</v>
          </cell>
          <cell r="V289">
            <v>0.5096564650004074</v>
          </cell>
          <cell r="W289">
            <v>15177357.639014408</v>
          </cell>
          <cell r="X289">
            <v>15045650</v>
          </cell>
          <cell r="Y289">
            <v>0.99132209689281847</v>
          </cell>
        </row>
        <row r="290">
          <cell r="E290" t="str">
            <v>Jamalpur Sadar</v>
          </cell>
          <cell r="F290" t="str">
            <v>Jamalpur Sadar</v>
          </cell>
          <cell r="G290" t="str">
            <v>10018-M/S Ranjan Kumar Singh</v>
          </cell>
          <cell r="H290">
            <v>204.363</v>
          </cell>
          <cell r="I290">
            <v>271.79050000000001</v>
          </cell>
          <cell r="J290">
            <v>1.3299398619123814</v>
          </cell>
          <cell r="K290">
            <v>5146389.4758635648</v>
          </cell>
          <cell r="L290">
            <v>10000000</v>
          </cell>
          <cell r="M290">
            <v>1.9431098339719031</v>
          </cell>
          <cell r="N290">
            <v>131.07420000000002</v>
          </cell>
          <cell r="O290">
            <v>117.5</v>
          </cell>
          <cell r="P290">
            <v>0.89643881099407807</v>
          </cell>
          <cell r="Q290">
            <v>4117111.5806908528</v>
          </cell>
          <cell r="R290">
            <v>0</v>
          </cell>
          <cell r="S290">
            <v>0</v>
          </cell>
          <cell r="T290">
            <v>131.07420000000002</v>
          </cell>
          <cell r="U290">
            <v>90</v>
          </cell>
          <cell r="V290">
            <v>0.68663398288908106</v>
          </cell>
          <cell r="W290">
            <v>4117111.5806908528</v>
          </cell>
          <cell r="X290">
            <v>6500000</v>
          </cell>
          <cell r="Y290">
            <v>1.5787767401021708</v>
          </cell>
        </row>
        <row r="291">
          <cell r="E291" t="str">
            <v>Sarishabari</v>
          </cell>
          <cell r="F291" t="str">
            <v>Shorishabari</v>
          </cell>
          <cell r="G291" t="str">
            <v>10018-M/S Ranjan Kumar Singh</v>
          </cell>
          <cell r="H291">
            <v>33.93</v>
          </cell>
          <cell r="I291">
            <v>0</v>
          </cell>
          <cell r="J291">
            <v>0</v>
          </cell>
          <cell r="K291">
            <v>854445.25142051524</v>
          </cell>
          <cell r="L291">
            <v>0</v>
          </cell>
          <cell r="M291">
            <v>0</v>
          </cell>
          <cell r="N291">
            <v>21.762</v>
          </cell>
          <cell r="O291">
            <v>19.88</v>
          </cell>
          <cell r="P291">
            <v>0.91351897803510695</v>
          </cell>
          <cell r="Q291">
            <v>683556.2011364121</v>
          </cell>
          <cell r="R291">
            <v>0</v>
          </cell>
          <cell r="S291">
            <v>0</v>
          </cell>
          <cell r="T291">
            <v>21.762</v>
          </cell>
          <cell r="U291">
            <v>15.23</v>
          </cell>
          <cell r="V291">
            <v>0.69984376435989337</v>
          </cell>
          <cell r="W291">
            <v>683556.2011364121</v>
          </cell>
          <cell r="X291">
            <v>1100000</v>
          </cell>
          <cell r="Y291">
            <v>1.6092312500000001</v>
          </cell>
        </row>
        <row r="292">
          <cell r="E292" t="str">
            <v>Madarganj</v>
          </cell>
          <cell r="F292" t="str">
            <v xml:space="preserve">Madarganj , Malandho </v>
          </cell>
          <cell r="G292" t="str">
            <v>10018-M/S Ranjan Kumar Singh</v>
          </cell>
          <cell r="H292">
            <v>74.645999999999987</v>
          </cell>
          <cell r="I292">
            <v>0</v>
          </cell>
          <cell r="J292">
            <v>0</v>
          </cell>
          <cell r="K292">
            <v>1879779.5531251335</v>
          </cell>
          <cell r="L292">
            <v>0</v>
          </cell>
          <cell r="M292">
            <v>0</v>
          </cell>
          <cell r="N292">
            <v>47.876399999999997</v>
          </cell>
          <cell r="O292">
            <v>43.38</v>
          </cell>
          <cell r="P292">
            <v>0.90608316414768042</v>
          </cell>
          <cell r="Q292">
            <v>1503823.6425001065</v>
          </cell>
          <cell r="R292">
            <v>0</v>
          </cell>
          <cell r="S292">
            <v>0</v>
          </cell>
          <cell r="T292">
            <v>47.876399999999997</v>
          </cell>
          <cell r="U292">
            <v>33.229999999999997</v>
          </cell>
          <cell r="V292">
            <v>0.69407891988537151</v>
          </cell>
          <cell r="W292">
            <v>1503823.6425001067</v>
          </cell>
          <cell r="X292">
            <v>2400000</v>
          </cell>
          <cell r="Y292">
            <v>1.5959318181818183</v>
          </cell>
        </row>
        <row r="293">
          <cell r="E293" t="str">
            <v>Dewanganj</v>
          </cell>
          <cell r="F293" t="str">
            <v xml:space="preserve">Dewanganj , Islampur ,Bakshiganj </v>
          </cell>
          <cell r="G293" t="str">
            <v>10024- M/s Durga Enterprise</v>
          </cell>
          <cell r="H293">
            <v>97.614000000000004</v>
          </cell>
          <cell r="I293">
            <v>67.828999999999994</v>
          </cell>
          <cell r="J293">
            <v>0.69486958837871604</v>
          </cell>
          <cell r="K293">
            <v>2458173.261779021</v>
          </cell>
          <cell r="L293">
            <v>3167281.02</v>
          </cell>
          <cell r="M293">
            <v>1.2884693968674064</v>
          </cell>
          <cell r="N293">
            <v>62.607600000000005</v>
          </cell>
          <cell r="O293">
            <v>52.01</v>
          </cell>
          <cell r="P293">
            <v>0.83072981554954983</v>
          </cell>
          <cell r="Q293">
            <v>1966538.6094232167</v>
          </cell>
          <cell r="R293">
            <v>1649750.03</v>
          </cell>
          <cell r="S293">
            <v>0.83891057215696851</v>
          </cell>
          <cell r="T293">
            <v>62.607600000000005</v>
          </cell>
          <cell r="U293">
            <v>40.4925</v>
          </cell>
          <cell r="V293">
            <v>0.64676652674755131</v>
          </cell>
          <cell r="W293">
            <v>1966538.6094232167</v>
          </cell>
          <cell r="X293">
            <v>2298140.0099999998</v>
          </cell>
          <cell r="Y293">
            <v>1.1686218612682318</v>
          </cell>
        </row>
        <row r="294">
          <cell r="E294" t="str">
            <v>Rowmari</v>
          </cell>
          <cell r="F294" t="str">
            <v xml:space="preserve">Rowmari, Rajeebpur </v>
          </cell>
          <cell r="G294" t="str">
            <v>05020-M/S Mofazzal Enterprise</v>
          </cell>
          <cell r="H294">
            <v>67.86</v>
          </cell>
          <cell r="I294">
            <v>0</v>
          </cell>
          <cell r="J294">
            <v>0</v>
          </cell>
          <cell r="K294">
            <v>1708890.5028410305</v>
          </cell>
          <cell r="L294">
            <v>0</v>
          </cell>
          <cell r="M294">
            <v>0</v>
          </cell>
          <cell r="N294">
            <v>43.524000000000001</v>
          </cell>
          <cell r="O294">
            <v>28.2</v>
          </cell>
          <cell r="P294">
            <v>0.64791838985387373</v>
          </cell>
          <cell r="Q294">
            <v>1367112.4022728242</v>
          </cell>
          <cell r="R294">
            <v>986240.43</v>
          </cell>
          <cell r="S294">
            <v>0.72140405453156264</v>
          </cell>
          <cell r="T294">
            <v>43.524000000000001</v>
          </cell>
          <cell r="U294">
            <v>16.774999999999999</v>
          </cell>
          <cell r="V294">
            <v>0.38541953864534506</v>
          </cell>
          <cell r="W294">
            <v>1367112.4022728242</v>
          </cell>
          <cell r="X294">
            <v>1199700.18</v>
          </cell>
          <cell r="Y294">
            <v>0.87754319103937506</v>
          </cell>
        </row>
        <row r="295">
          <cell r="E295" t="str">
            <v>Sherpur</v>
          </cell>
          <cell r="F295" t="str">
            <v xml:space="preserve">Sherpur </v>
          </cell>
          <cell r="G295" t="str">
            <v>05020-M/S Mofazzal Enterprise</v>
          </cell>
          <cell r="H295">
            <v>108.74999999999999</v>
          </cell>
          <cell r="I295">
            <v>252.364</v>
          </cell>
          <cell r="J295">
            <v>2.3205885057471267</v>
          </cell>
          <cell r="K295">
            <v>2738606.5750657539</v>
          </cell>
          <cell r="L295">
            <v>11023559</v>
          </cell>
          <cell r="M295">
            <v>4.0252437500028</v>
          </cell>
          <cell r="N295">
            <v>69.75</v>
          </cell>
          <cell r="O295">
            <v>45.65</v>
          </cell>
          <cell r="P295">
            <v>0.65448028673835124</v>
          </cell>
          <cell r="Q295">
            <v>2190885.2600526032</v>
          </cell>
          <cell r="R295">
            <v>1596770.22</v>
          </cell>
          <cell r="S295">
            <v>0.72882421052102997</v>
          </cell>
          <cell r="T295">
            <v>69.75</v>
          </cell>
          <cell r="U295">
            <v>27.16</v>
          </cell>
          <cell r="V295">
            <v>0.3893906810035842</v>
          </cell>
          <cell r="W295">
            <v>2190885.2600526032</v>
          </cell>
          <cell r="X295">
            <v>1942371.72</v>
          </cell>
          <cell r="Y295">
            <v>0.88656934957577993</v>
          </cell>
        </row>
        <row r="296">
          <cell r="E296" t="str">
            <v>Nakla</v>
          </cell>
          <cell r="F296" t="str">
            <v xml:space="preserve">Nakla, Nalitabari </v>
          </cell>
          <cell r="G296" t="str">
            <v>05020-M/S Mofazzal Enterprise</v>
          </cell>
          <cell r="H296">
            <v>67.86</v>
          </cell>
          <cell r="I296">
            <v>0</v>
          </cell>
          <cell r="J296">
            <v>0</v>
          </cell>
          <cell r="K296">
            <v>1708890.5028410305</v>
          </cell>
          <cell r="L296">
            <v>0</v>
          </cell>
          <cell r="M296">
            <v>0</v>
          </cell>
          <cell r="N296">
            <v>43.524000000000001</v>
          </cell>
          <cell r="O296">
            <v>28.2</v>
          </cell>
          <cell r="P296">
            <v>0.64791838985387373</v>
          </cell>
          <cell r="Q296">
            <v>1367112.4022728242</v>
          </cell>
          <cell r="R296">
            <v>986240.43</v>
          </cell>
          <cell r="S296">
            <v>0.72140405453156264</v>
          </cell>
          <cell r="T296">
            <v>43.524000000000001</v>
          </cell>
          <cell r="U296">
            <v>16.774999999999999</v>
          </cell>
          <cell r="V296">
            <v>0.38541953864534506</v>
          </cell>
          <cell r="W296">
            <v>1367112.4022728242</v>
          </cell>
          <cell r="X296">
            <v>1199700.18</v>
          </cell>
          <cell r="Y296">
            <v>0.87754319103937506</v>
          </cell>
        </row>
        <row r="297">
          <cell r="E297" t="str">
            <v>Jhenaigati</v>
          </cell>
          <cell r="F297" t="str">
            <v xml:space="preserve">Jhinaigati , Sribordi </v>
          </cell>
          <cell r="G297" t="str">
            <v>05020-M/S Mofazzal Enterprise</v>
          </cell>
          <cell r="H297">
            <v>74.928749999999994</v>
          </cell>
          <cell r="I297">
            <v>0</v>
          </cell>
          <cell r="J297">
            <v>0</v>
          </cell>
          <cell r="K297">
            <v>1886899.9302203043</v>
          </cell>
          <cell r="L297">
            <v>0</v>
          </cell>
          <cell r="M297">
            <v>0</v>
          </cell>
          <cell r="N297">
            <v>48.057749999999999</v>
          </cell>
          <cell r="O297">
            <v>32.22</v>
          </cell>
          <cell r="P297">
            <v>0.67044337281707944</v>
          </cell>
          <cell r="Q297">
            <v>1509519.9441762434</v>
          </cell>
          <cell r="R297">
            <v>1127131.92</v>
          </cell>
          <cell r="S297">
            <v>0.74668236372000008</v>
          </cell>
          <cell r="T297">
            <v>48.057749999999999</v>
          </cell>
          <cell r="U297">
            <v>19.172499999999999</v>
          </cell>
          <cell r="V297">
            <v>0.3989471001035213</v>
          </cell>
          <cell r="W297">
            <v>1509519.9441762434</v>
          </cell>
          <cell r="X297">
            <v>1371085.92</v>
          </cell>
          <cell r="Y297">
            <v>0.90829268290867926</v>
          </cell>
        </row>
        <row r="298">
          <cell r="E298" t="str">
            <v>Sherpur  Area</v>
          </cell>
          <cell r="F298" t="str">
            <v>Jamalpur  Area</v>
          </cell>
          <cell r="G298"/>
          <cell r="H298">
            <v>729.95175000000006</v>
          </cell>
          <cell r="I298">
            <v>591.98350000000005</v>
          </cell>
          <cell r="J298">
            <v>0.8109899044697132</v>
          </cell>
          <cell r="K298">
            <v>18382075.053156357</v>
          </cell>
          <cell r="L298">
            <v>24190840.02</v>
          </cell>
          <cell r="M298">
            <v>1.3160015912265699</v>
          </cell>
          <cell r="N298">
            <v>468.17595</v>
          </cell>
          <cell r="O298">
            <v>367.03999999999996</v>
          </cell>
          <cell r="P298">
            <v>0.78397875841336995</v>
          </cell>
          <cell r="Q298">
            <v>14705660.042525083</v>
          </cell>
          <cell r="R298">
            <v>6346133.0299999993</v>
          </cell>
          <cell r="S298">
            <v>0.43154356973087732</v>
          </cell>
          <cell r="T298">
            <v>468.17595</v>
          </cell>
          <cell r="U298">
            <v>258.83500000000004</v>
          </cell>
          <cell r="V298">
            <v>0.55285838582695257</v>
          </cell>
          <cell r="W298">
            <v>14705660.042525083</v>
          </cell>
          <cell r="X298">
            <v>18010998.009999998</v>
          </cell>
          <cell r="Y298">
            <v>1.2247663796059958</v>
          </cell>
        </row>
        <row r="299">
          <cell r="E299" t="str">
            <v>Ishwarganj</v>
          </cell>
          <cell r="F299" t="str">
            <v>Ishwarganj, Nandail</v>
          </cell>
          <cell r="G299" t="str">
            <v>10022 Akhil&amp;Brothers</v>
          </cell>
          <cell r="H299">
            <v>139.19999999999999</v>
          </cell>
          <cell r="I299">
            <v>0</v>
          </cell>
          <cell r="J299">
            <v>0</v>
          </cell>
          <cell r="K299">
            <v>3505416.4160841643</v>
          </cell>
          <cell r="L299">
            <v>0</v>
          </cell>
          <cell r="M299">
            <v>0</v>
          </cell>
          <cell r="N299">
            <v>89.28</v>
          </cell>
          <cell r="O299">
            <v>55.25</v>
          </cell>
          <cell r="P299">
            <v>0.61883960573476704</v>
          </cell>
          <cell r="Q299">
            <v>2804333.1328673321</v>
          </cell>
          <cell r="R299">
            <v>1531181.4</v>
          </cell>
          <cell r="S299">
            <v>0.54600553053210932</v>
          </cell>
          <cell r="T299">
            <v>89.28</v>
          </cell>
          <cell r="U299">
            <v>47.922499999999999</v>
          </cell>
          <cell r="V299">
            <v>0.53676635304659492</v>
          </cell>
          <cell r="W299">
            <v>2804333.1328673321</v>
          </cell>
          <cell r="X299">
            <v>2762625.6</v>
          </cell>
          <cell r="Y299">
            <v>0.98512746849562505</v>
          </cell>
        </row>
        <row r="300">
          <cell r="E300" t="str">
            <v>Gouripur</v>
          </cell>
          <cell r="F300" t="str">
            <v>Gouripur</v>
          </cell>
          <cell r="G300" t="str">
            <v>10022 Akhil&amp;Brothers</v>
          </cell>
          <cell r="H300">
            <v>191.39999999999998</v>
          </cell>
          <cell r="I300">
            <v>0</v>
          </cell>
          <cell r="J300">
            <v>0</v>
          </cell>
          <cell r="K300">
            <v>4819947.5721157258</v>
          </cell>
          <cell r="L300">
            <v>0</v>
          </cell>
          <cell r="M300">
            <v>0</v>
          </cell>
          <cell r="N300">
            <v>122.76</v>
          </cell>
          <cell r="O300">
            <v>78.930000000000007</v>
          </cell>
          <cell r="P300">
            <v>0.64296187683284456</v>
          </cell>
          <cell r="Q300">
            <v>3855958.0576925818</v>
          </cell>
          <cell r="R300">
            <v>2187402</v>
          </cell>
          <cell r="S300">
            <v>0.5672784732801136</v>
          </cell>
          <cell r="T300">
            <v>122.76</v>
          </cell>
          <cell r="U300">
            <v>68.459999999999994</v>
          </cell>
          <cell r="V300">
            <v>0.55767350928641246</v>
          </cell>
          <cell r="W300">
            <v>3855958.0576925818</v>
          </cell>
          <cell r="X300">
            <v>3946608</v>
          </cell>
          <cell r="Y300">
            <v>1.0235090581772726</v>
          </cell>
        </row>
        <row r="301">
          <cell r="E301" t="str">
            <v>Haluaghat</v>
          </cell>
          <cell r="F301" t="str">
            <v>Fulpur, Haluaghat</v>
          </cell>
          <cell r="G301" t="str">
            <v>10022 Akhil&amp;Brothers</v>
          </cell>
          <cell r="H301">
            <v>52.199999999999996</v>
          </cell>
          <cell r="I301">
            <v>0</v>
          </cell>
          <cell r="J301">
            <v>0</v>
          </cell>
          <cell r="K301">
            <v>1314531.1560315618</v>
          </cell>
          <cell r="L301">
            <v>0</v>
          </cell>
          <cell r="M301">
            <v>0</v>
          </cell>
          <cell r="N301">
            <v>33.479999999999997</v>
          </cell>
          <cell r="O301">
            <v>21.05</v>
          </cell>
          <cell r="P301">
            <v>0.62873357228195947</v>
          </cell>
          <cell r="Q301">
            <v>1051624.9248252492</v>
          </cell>
          <cell r="R301">
            <v>583307.19999999995</v>
          </cell>
          <cell r="S301">
            <v>0.5546722849850001</v>
          </cell>
          <cell r="T301">
            <v>33.479999999999997</v>
          </cell>
          <cell r="U301">
            <v>18.254999999999999</v>
          </cell>
          <cell r="V301">
            <v>0.54525089605734767</v>
          </cell>
          <cell r="W301">
            <v>1051624.9248252492</v>
          </cell>
          <cell r="X301">
            <v>1052428.8</v>
          </cell>
          <cell r="Y301">
            <v>1.0007644124400004</v>
          </cell>
        </row>
        <row r="302">
          <cell r="E302" t="str">
            <v>Mymensingh</v>
          </cell>
          <cell r="F302" t="str">
            <v>Mymensingh Sadar</v>
          </cell>
          <cell r="G302" t="str">
            <v>10022 Akhil&amp;Brothers</v>
          </cell>
          <cell r="H302">
            <v>13.049999999999999</v>
          </cell>
          <cell r="I302">
            <v>509.33135000000004</v>
          </cell>
          <cell r="J302">
            <v>39.029222222222231</v>
          </cell>
          <cell r="K302">
            <v>328632.78900789045</v>
          </cell>
          <cell r="L302">
            <v>21702775</v>
          </cell>
          <cell r="M302">
            <v>66.039591075250001</v>
          </cell>
          <cell r="N302">
            <v>8.3699999999999992</v>
          </cell>
          <cell r="O302">
            <v>5.26</v>
          </cell>
          <cell r="P302">
            <v>0.62843488649940271</v>
          </cell>
          <cell r="Q302">
            <v>262906.23120631231</v>
          </cell>
          <cell r="R302">
            <v>145826.79999999999</v>
          </cell>
          <cell r="S302">
            <v>0.5546722849850001</v>
          </cell>
          <cell r="T302">
            <v>8.3699999999999992</v>
          </cell>
          <cell r="U302">
            <v>4.5650000000000004</v>
          </cell>
          <cell r="V302">
            <v>0.5454002389486261</v>
          </cell>
          <cell r="W302">
            <v>262906.23120631231</v>
          </cell>
          <cell r="X302">
            <v>263107.20000000001</v>
          </cell>
          <cell r="Y302">
            <v>1.0007644124400004</v>
          </cell>
        </row>
        <row r="303">
          <cell r="E303" t="str">
            <v>Tarakanda</v>
          </cell>
          <cell r="F303" t="str">
            <v>Tarakanda, Dobaura</v>
          </cell>
          <cell r="G303" t="str">
            <v>10022 Akhil&amp;Brothers</v>
          </cell>
          <cell r="H303">
            <v>54.809999999999995</v>
          </cell>
          <cell r="I303">
            <v>0</v>
          </cell>
          <cell r="J303">
            <v>0</v>
          </cell>
          <cell r="K303">
            <v>1380257.71383314</v>
          </cell>
          <cell r="L303">
            <v>0</v>
          </cell>
          <cell r="M303">
            <v>0</v>
          </cell>
          <cell r="N303">
            <v>35.153999999999996</v>
          </cell>
          <cell r="O303">
            <v>21.05</v>
          </cell>
          <cell r="P303">
            <v>0.59879387836377096</v>
          </cell>
          <cell r="Q303">
            <v>1104206.1710665119</v>
          </cell>
          <cell r="R303">
            <v>583307.19999999995</v>
          </cell>
          <cell r="S303">
            <v>0.52825931903333334</v>
          </cell>
          <cell r="T303">
            <v>35.153999999999996</v>
          </cell>
          <cell r="U303">
            <v>18.254999999999999</v>
          </cell>
          <cell r="V303">
            <v>0.51928656767366443</v>
          </cell>
          <cell r="W303">
            <v>1104206.1710665117</v>
          </cell>
          <cell r="X303">
            <v>1052428.8</v>
          </cell>
          <cell r="Y303">
            <v>0.95310896422857172</v>
          </cell>
        </row>
        <row r="304">
          <cell r="E304" t="str">
            <v>Netrokona Sadar</v>
          </cell>
          <cell r="F304" t="str">
            <v>Netrokona Sadar,Durgapur, Purbodhola,Kendua, Modon</v>
          </cell>
          <cell r="G304" t="str">
            <v>10022 Akhil&amp;Brothers</v>
          </cell>
          <cell r="H304">
            <v>178.524</v>
          </cell>
          <cell r="I304">
            <v>0</v>
          </cell>
          <cell r="J304">
            <v>0</v>
          </cell>
          <cell r="K304">
            <v>4495696.5536279427</v>
          </cell>
          <cell r="L304">
            <v>0</v>
          </cell>
          <cell r="M304">
            <v>0</v>
          </cell>
          <cell r="N304">
            <v>114.50160000000001</v>
          </cell>
          <cell r="O304">
            <v>73.66</v>
          </cell>
          <cell r="P304">
            <v>0.64330978781082526</v>
          </cell>
          <cell r="Q304">
            <v>3596557.2429023539</v>
          </cell>
          <cell r="R304">
            <v>2041575.2</v>
          </cell>
          <cell r="S304">
            <v>0.56764707527704672</v>
          </cell>
          <cell r="T304">
            <v>114.50160000000001</v>
          </cell>
          <cell r="U304">
            <v>63.897500000000001</v>
          </cell>
          <cell r="V304">
            <v>0.55804897049473545</v>
          </cell>
          <cell r="W304">
            <v>3596557.2429023539</v>
          </cell>
          <cell r="X304">
            <v>3683500.8</v>
          </cell>
          <cell r="Y304">
            <v>1.0241741062982455</v>
          </cell>
        </row>
        <row r="305">
          <cell r="E305" t="str">
            <v>Mohanganj</v>
          </cell>
          <cell r="F305" t="str">
            <v>Mohonganj, Barhatta, Atpara, Kalmakanda</v>
          </cell>
          <cell r="G305" t="str">
            <v>10022 Akhil&amp;Brothers</v>
          </cell>
          <cell r="H305">
            <v>17.399999999999999</v>
          </cell>
          <cell r="I305">
            <v>0</v>
          </cell>
          <cell r="J305">
            <v>0</v>
          </cell>
          <cell r="K305">
            <v>438177.05201052054</v>
          </cell>
          <cell r="L305">
            <v>0</v>
          </cell>
          <cell r="M305">
            <v>0</v>
          </cell>
          <cell r="N305">
            <v>11.16</v>
          </cell>
          <cell r="O305">
            <v>7.89</v>
          </cell>
          <cell r="P305">
            <v>0.70698924731182788</v>
          </cell>
          <cell r="Q305">
            <v>350541.64160841651</v>
          </cell>
          <cell r="R305">
            <v>218740.2</v>
          </cell>
          <cell r="S305">
            <v>0.624006320608125</v>
          </cell>
          <cell r="T305">
            <v>11.16</v>
          </cell>
          <cell r="U305">
            <v>6.8449999999999998</v>
          </cell>
          <cell r="V305">
            <v>0.61335125448028671</v>
          </cell>
          <cell r="W305">
            <v>350541.64160841651</v>
          </cell>
          <cell r="X305">
            <v>394660.8</v>
          </cell>
          <cell r="Y305">
            <v>1.125859963995</v>
          </cell>
        </row>
        <row r="306">
          <cell r="E306" t="str">
            <v>Netrokona Area</v>
          </cell>
          <cell r="F306" t="str">
            <v>Netrokona Area</v>
          </cell>
          <cell r="G306"/>
          <cell r="H306">
            <v>646.58399999999995</v>
          </cell>
          <cell r="I306">
            <v>509.33135000000004</v>
          </cell>
          <cell r="J306">
            <v>0.78772649802655192</v>
          </cell>
          <cell r="K306">
            <v>16282659.252710946</v>
          </cell>
          <cell r="L306">
            <v>21702775</v>
          </cell>
          <cell r="M306">
            <v>1.3328765690645183</v>
          </cell>
          <cell r="N306">
            <v>414.7056</v>
          </cell>
          <cell r="O306">
            <v>263.09000000000003</v>
          </cell>
          <cell r="P306">
            <v>0.6344018503728911</v>
          </cell>
          <cell r="Q306">
            <v>13026127.402168758</v>
          </cell>
          <cell r="R306">
            <v>7291340</v>
          </cell>
          <cell r="S306">
            <v>0.55974732742027711</v>
          </cell>
          <cell r="T306">
            <v>414.7056</v>
          </cell>
          <cell r="U306">
            <v>228.2</v>
          </cell>
          <cell r="V306">
            <v>0.55026987819793127</v>
          </cell>
          <cell r="W306">
            <v>13026127.402168758</v>
          </cell>
          <cell r="X306">
            <v>13155360</v>
          </cell>
          <cell r="Y306">
            <v>1.0099210297766414</v>
          </cell>
        </row>
        <row r="307">
          <cell r="E307" t="str">
            <v>Bhairab</v>
          </cell>
          <cell r="F307" t="str">
            <v>Bhoirob, Bajitpur,Kuliarcor</v>
          </cell>
          <cell r="G307" t="str">
            <v>06013-M/s Renu traders</v>
          </cell>
          <cell r="H307">
            <v>11.744999999999999</v>
          </cell>
          <cell r="I307">
            <v>0</v>
          </cell>
          <cell r="J307">
            <v>0</v>
          </cell>
          <cell r="K307">
            <v>295769.51010710147</v>
          </cell>
          <cell r="L307">
            <v>0</v>
          </cell>
          <cell r="M307">
            <v>0</v>
          </cell>
          <cell r="N307">
            <v>7.5330000000000004</v>
          </cell>
          <cell r="O307">
            <v>4.54</v>
          </cell>
          <cell r="P307">
            <v>0.60268153458117613</v>
          </cell>
          <cell r="Q307">
            <v>236615.60808568116</v>
          </cell>
          <cell r="R307">
            <v>140464.79999999999</v>
          </cell>
          <cell r="S307">
            <v>0.59364131189999991</v>
          </cell>
          <cell r="T307">
            <v>7.5330000000000004</v>
          </cell>
          <cell r="U307">
            <v>5.9850000000000003</v>
          </cell>
          <cell r="V307">
            <v>0.79450418160095582</v>
          </cell>
          <cell r="W307">
            <v>236615.60808568116</v>
          </cell>
          <cell r="X307">
            <v>227580</v>
          </cell>
          <cell r="Y307">
            <v>0.96181313583333328</v>
          </cell>
        </row>
        <row r="308">
          <cell r="E308" t="str">
            <v>Katiadi</v>
          </cell>
          <cell r="F308" t="str">
            <v>Pakundia, Kotiadi</v>
          </cell>
          <cell r="G308" t="str">
            <v>06013-M/s Renu traders</v>
          </cell>
          <cell r="H308">
            <v>62.639999999999993</v>
          </cell>
          <cell r="I308">
            <v>90.267499999999998</v>
          </cell>
          <cell r="J308">
            <v>1.4410520434227332</v>
          </cell>
          <cell r="K308">
            <v>1577437.3872378741</v>
          </cell>
          <cell r="L308">
            <v>3650000</v>
          </cell>
          <cell r="M308">
            <v>2.3138794791666668</v>
          </cell>
          <cell r="N308">
            <v>40.176000000000002</v>
          </cell>
          <cell r="O308">
            <v>25.73</v>
          </cell>
          <cell r="P308">
            <v>0.64043209876543206</v>
          </cell>
          <cell r="Q308">
            <v>1261949.9097902996</v>
          </cell>
          <cell r="R308">
            <v>795967.2</v>
          </cell>
          <cell r="S308">
            <v>0.63074389389374985</v>
          </cell>
          <cell r="T308">
            <v>40.176000000000002</v>
          </cell>
          <cell r="U308">
            <v>33.907499999999999</v>
          </cell>
          <cell r="V308">
            <v>0.84397401433691754</v>
          </cell>
          <cell r="W308">
            <v>1261949.9097902996</v>
          </cell>
          <cell r="X308">
            <v>1289620</v>
          </cell>
          <cell r="Y308">
            <v>1.0219264568229165</v>
          </cell>
        </row>
        <row r="309">
          <cell r="E309" t="str">
            <v>Kishoreganj Sadar</v>
          </cell>
          <cell r="F309" t="str">
            <v>Kishorganj, Hossainpur</v>
          </cell>
          <cell r="G309" t="str">
            <v>06013-M/s Renu traders</v>
          </cell>
          <cell r="H309">
            <v>89.174999999999997</v>
          </cell>
          <cell r="I309">
            <v>0</v>
          </cell>
          <cell r="J309">
            <v>0</v>
          </cell>
          <cell r="K309">
            <v>2245657.3915539184</v>
          </cell>
          <cell r="L309">
            <v>0</v>
          </cell>
          <cell r="M309">
            <v>0</v>
          </cell>
          <cell r="N309">
            <v>57.195</v>
          </cell>
          <cell r="O309">
            <v>36.33</v>
          </cell>
          <cell r="P309">
            <v>0.63519538421190658</v>
          </cell>
          <cell r="Q309">
            <v>1796525.9132431345</v>
          </cell>
          <cell r="R309">
            <v>1123718.3999999999</v>
          </cell>
          <cell r="S309">
            <v>0.62549523595317069</v>
          </cell>
          <cell r="T309">
            <v>57.195</v>
          </cell>
          <cell r="U309">
            <v>47.87</v>
          </cell>
          <cell r="V309">
            <v>0.83696127283853483</v>
          </cell>
          <cell r="W309">
            <v>1796525.9132431345</v>
          </cell>
          <cell r="X309">
            <v>1820640</v>
          </cell>
          <cell r="Y309">
            <v>1.0134226211707318</v>
          </cell>
        </row>
        <row r="310">
          <cell r="E310" t="str">
            <v>Karimganj</v>
          </cell>
          <cell r="F310" t="str">
            <v>Karimganj, Tarail</v>
          </cell>
          <cell r="G310" t="str">
            <v>06013-M/s Renu traders</v>
          </cell>
          <cell r="H310">
            <v>23.49</v>
          </cell>
          <cell r="I310">
            <v>0</v>
          </cell>
          <cell r="J310">
            <v>0</v>
          </cell>
          <cell r="K310">
            <v>591539.02021420293</v>
          </cell>
          <cell r="L310">
            <v>0</v>
          </cell>
          <cell r="M310">
            <v>0</v>
          </cell>
          <cell r="N310">
            <v>15.066000000000001</v>
          </cell>
          <cell r="O310">
            <v>9.08</v>
          </cell>
          <cell r="P310">
            <v>0.60268153458117613</v>
          </cell>
          <cell r="Q310">
            <v>473231.21617136232</v>
          </cell>
          <cell r="R310">
            <v>280929.59999999998</v>
          </cell>
          <cell r="S310">
            <v>0.59364131189999991</v>
          </cell>
          <cell r="T310">
            <v>15.066000000000001</v>
          </cell>
          <cell r="U310">
            <v>11.967499999999999</v>
          </cell>
          <cell r="V310">
            <v>0.79433824505509087</v>
          </cell>
          <cell r="W310">
            <v>473231.21617136232</v>
          </cell>
          <cell r="X310">
            <v>455160</v>
          </cell>
          <cell r="Y310">
            <v>0.96181313583333328</v>
          </cell>
        </row>
        <row r="311">
          <cell r="E311" t="str">
            <v>Kishorganj  Area</v>
          </cell>
          <cell r="F311" t="str">
            <v>Kishorganj  Area</v>
          </cell>
          <cell r="G311"/>
          <cell r="H311">
            <v>187.05</v>
          </cell>
          <cell r="I311">
            <v>90.267499999999998</v>
          </cell>
          <cell r="J311">
            <v>0.48258487035551989</v>
          </cell>
          <cell r="K311">
            <v>4710403.3091130964</v>
          </cell>
          <cell r="L311">
            <v>3650000</v>
          </cell>
          <cell r="M311">
            <v>0.77488056976744191</v>
          </cell>
          <cell r="N311">
            <v>119.97</v>
          </cell>
          <cell r="O311">
            <v>75.679999999999993</v>
          </cell>
          <cell r="P311">
            <v>0.63082437275985659</v>
          </cell>
          <cell r="Q311">
            <v>3768322.6472904775</v>
          </cell>
          <cell r="R311">
            <v>2341080</v>
          </cell>
          <cell r="S311">
            <v>0.62125253570930228</v>
          </cell>
          <cell r="T311">
            <v>119.97</v>
          </cell>
          <cell r="U311">
            <v>99.72999999999999</v>
          </cell>
          <cell r="V311">
            <v>0.83129115612236382</v>
          </cell>
          <cell r="W311">
            <v>3768322.6472904775</v>
          </cell>
          <cell r="X311">
            <v>3793000</v>
          </cell>
          <cell r="Y311">
            <v>1.0065486305232558</v>
          </cell>
        </row>
        <row r="312">
          <cell r="E312" t="str">
            <v>Mymensingh Zone</v>
          </cell>
          <cell r="F312"/>
          <cell r="G312"/>
          <cell r="H312">
            <v>3538.3770000000004</v>
          </cell>
          <cell r="I312">
            <v>2412.4184500000001</v>
          </cell>
          <cell r="J312">
            <v>0.68178672029577403</v>
          </cell>
          <cell r="K312">
            <v>89105494.411599427</v>
          </cell>
          <cell r="L312">
            <v>108251715.02</v>
          </cell>
          <cell r="M312">
            <v>1.2148713806576239</v>
          </cell>
          <cell r="N312">
            <v>2269.4418000000001</v>
          </cell>
          <cell r="O312">
            <v>1672.7899999999997</v>
          </cell>
          <cell r="P312">
            <v>0.7370931477511341</v>
          </cell>
          <cell r="Q312">
            <v>71284395.52927953</v>
          </cell>
          <cell r="R312">
            <v>42956236.030000001</v>
          </cell>
          <cell r="S312">
            <v>0.60260363731857769</v>
          </cell>
          <cell r="T312">
            <v>2269.4418000000001</v>
          </cell>
          <cell r="U312">
            <v>1229.02</v>
          </cell>
          <cell r="V312">
            <v>0.54155167142863059</v>
          </cell>
          <cell r="W312">
            <v>71284395.52927953</v>
          </cell>
          <cell r="X312">
            <v>77322280.00999999</v>
          </cell>
          <cell r="Y312">
            <v>1.0847013492348467</v>
          </cell>
        </row>
        <row r="313">
          <cell r="E313" t="str">
            <v>West Division</v>
          </cell>
          <cell r="F313"/>
          <cell r="G313"/>
          <cell r="H313">
            <v>6039.7139999999999</v>
          </cell>
          <cell r="I313">
            <v>3387.1554000000001</v>
          </cell>
          <cell r="J313">
            <v>0.56081387297477991</v>
          </cell>
          <cell r="K313">
            <v>152095636.52337182</v>
          </cell>
          <cell r="L313">
            <v>165672863.01999998</v>
          </cell>
          <cell r="M313">
            <v>1.0892676924005102</v>
          </cell>
          <cell r="N313">
            <v>3873.7475999999997</v>
          </cell>
          <cell r="O313">
            <v>2858.8799999999997</v>
          </cell>
          <cell r="P313">
            <v>0.73801400999899935</v>
          </cell>
          <cell r="Q313">
            <v>121676509.21869744</v>
          </cell>
          <cell r="R313">
            <v>74696563.030000001</v>
          </cell>
          <cell r="S313">
            <v>0.61389469101010119</v>
          </cell>
          <cell r="T313">
            <v>3873.7475999999997</v>
          </cell>
          <cell r="U313">
            <v>1957.2549999999999</v>
          </cell>
          <cell r="V313">
            <v>0.50526136498929353</v>
          </cell>
          <cell r="W313">
            <v>121676509.21869744</v>
          </cell>
          <cell r="X313">
            <v>118549836.00999999</v>
          </cell>
          <cell r="Y313">
            <v>0.97430339488883866</v>
          </cell>
        </row>
        <row r="314">
          <cell r="E314"/>
          <cell r="H314"/>
          <cell r="I314"/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</row>
        <row r="315">
          <cell r="E315" t="str">
            <v>National Total</v>
          </cell>
          <cell r="F315"/>
          <cell r="G315"/>
          <cell r="H315">
            <v>39709.9755</v>
          </cell>
          <cell r="I315">
            <v>25111.276949999999</v>
          </cell>
          <cell r="J315">
            <v>0.6323669716190079</v>
          </cell>
          <cell r="K315">
            <v>1000000000</v>
          </cell>
          <cell r="L315">
            <v>1083538552.53</v>
          </cell>
          <cell r="M315">
            <v>1.0835385525299999</v>
          </cell>
          <cell r="N315">
            <v>25469.1567</v>
          </cell>
          <cell r="O315">
            <v>25149.97</v>
          </cell>
          <cell r="P315">
            <v>0.98746771619650842</v>
          </cell>
          <cell r="Q315">
            <v>799999999.99856579</v>
          </cell>
          <cell r="R315">
            <v>780392667.93000007</v>
          </cell>
          <cell r="S315">
            <v>0.97549083491424893</v>
          </cell>
          <cell r="T315">
            <v>25469.1567</v>
          </cell>
          <cell r="U315">
            <v>16790.797500000001</v>
          </cell>
          <cell r="V315">
            <v>0.65926004923437453</v>
          </cell>
          <cell r="W315">
            <v>799999999.99999988</v>
          </cell>
          <cell r="X315">
            <v>814038134.00999999</v>
          </cell>
          <cell r="Y315">
            <v>1.0175476675125001</v>
          </cell>
        </row>
        <row r="317">
          <cell r="E317"/>
          <cell r="F317"/>
          <cell r="H317"/>
          <cell r="I317"/>
          <cell r="J317"/>
          <cell r="K317"/>
          <cell r="L317"/>
          <cell r="M317"/>
        </row>
        <row r="318">
          <cell r="E318"/>
          <cell r="F318"/>
        </row>
        <row r="319">
          <cell r="E319"/>
          <cell r="F319"/>
        </row>
        <row r="320">
          <cell r="E320"/>
          <cell r="F320"/>
        </row>
        <row r="321">
          <cell r="E321"/>
          <cell r="F321"/>
          <cell r="M321">
            <v>67052.044450000001</v>
          </cell>
          <cell r="T321" t="str">
            <v>Total Target DN Q1</v>
          </cell>
          <cell r="V321">
            <v>90648.2889</v>
          </cell>
        </row>
        <row r="322">
          <cell r="E322"/>
          <cell r="F322"/>
          <cell r="H322"/>
          <cell r="I322"/>
          <cell r="J322"/>
          <cell r="K322"/>
          <cell r="L322"/>
          <cell r="M322"/>
          <cell r="T322" t="str">
            <v>Total DN Achv Q1</v>
          </cell>
          <cell r="V322">
            <v>67052.044450000001</v>
          </cell>
        </row>
        <row r="323">
          <cell r="E323"/>
          <cell r="F323"/>
          <cell r="T323" t="str">
            <v>% Q1</v>
          </cell>
          <cell r="V323">
            <v>0.73969454099646004</v>
          </cell>
        </row>
        <row r="324">
          <cell r="E324"/>
          <cell r="F324"/>
          <cell r="T324"/>
        </row>
        <row r="325">
          <cell r="E325"/>
          <cell r="F325"/>
          <cell r="T325"/>
        </row>
        <row r="326">
          <cell r="E326"/>
          <cell r="F326"/>
          <cell r="T326" t="str">
            <v>Total Target Col Q1</v>
          </cell>
          <cell r="V326">
            <v>2599999999.9985657</v>
          </cell>
        </row>
        <row r="327">
          <cell r="E327"/>
          <cell r="F327"/>
          <cell r="T327" t="str">
            <v>Total Col Achv Q1</v>
          </cell>
          <cell r="V327">
            <v>2677969354.4700003</v>
          </cell>
        </row>
        <row r="328">
          <cell r="E328"/>
          <cell r="F328"/>
          <cell r="T328" t="str">
            <v>% Q1</v>
          </cell>
          <cell r="V328">
            <v>1.0299882132582605</v>
          </cell>
        </row>
        <row r="329">
          <cell r="E329"/>
          <cell r="F329"/>
        </row>
        <row r="330">
          <cell r="E330"/>
          <cell r="F330"/>
        </row>
        <row r="331">
          <cell r="E331"/>
          <cell r="F331"/>
        </row>
        <row r="332">
          <cell r="E332"/>
          <cell r="F332"/>
        </row>
        <row r="333">
          <cell r="E333"/>
          <cell r="F333"/>
        </row>
        <row r="334">
          <cell r="E334"/>
          <cell r="F334"/>
        </row>
        <row r="335">
          <cell r="E335"/>
          <cell r="F335"/>
        </row>
        <row r="336">
          <cell r="E336"/>
          <cell r="F336"/>
        </row>
        <row r="337">
          <cell r="E337"/>
          <cell r="F337"/>
        </row>
        <row r="338">
          <cell r="E338"/>
          <cell r="F338"/>
        </row>
        <row r="339">
          <cell r="E339"/>
          <cell r="F339"/>
        </row>
        <row r="340">
          <cell r="E340"/>
          <cell r="F340"/>
        </row>
        <row r="341">
          <cell r="E341"/>
          <cell r="F341"/>
        </row>
        <row r="342">
          <cell r="E342"/>
          <cell r="F342"/>
        </row>
        <row r="343">
          <cell r="E343"/>
          <cell r="F343"/>
        </row>
        <row r="344">
          <cell r="E344"/>
          <cell r="F344"/>
        </row>
        <row r="345">
          <cell r="E345"/>
          <cell r="F345"/>
        </row>
        <row r="346">
          <cell r="E346"/>
          <cell r="F346"/>
        </row>
        <row r="347">
          <cell r="E347"/>
          <cell r="F347"/>
        </row>
        <row r="348">
          <cell r="E348"/>
          <cell r="F348"/>
        </row>
        <row r="349">
          <cell r="E349"/>
          <cell r="F349"/>
        </row>
        <row r="350">
          <cell r="E350"/>
          <cell r="F350"/>
        </row>
        <row r="351">
          <cell r="E351"/>
          <cell r="F351"/>
        </row>
        <row r="352">
          <cell r="E352"/>
          <cell r="F352"/>
        </row>
        <row r="353">
          <cell r="E353"/>
          <cell r="F353"/>
        </row>
        <row r="354">
          <cell r="E354"/>
          <cell r="F354"/>
        </row>
        <row r="355">
          <cell r="E355"/>
          <cell r="F355"/>
        </row>
        <row r="356">
          <cell r="E356"/>
          <cell r="F356"/>
        </row>
        <row r="357">
          <cell r="E357"/>
          <cell r="F357"/>
        </row>
        <row r="358">
          <cell r="E358"/>
          <cell r="F358"/>
        </row>
        <row r="359">
          <cell r="E359"/>
          <cell r="F359"/>
        </row>
        <row r="360">
          <cell r="E360"/>
          <cell r="F360"/>
        </row>
        <row r="361">
          <cell r="E361"/>
          <cell r="F361"/>
        </row>
        <row r="362">
          <cell r="E362"/>
          <cell r="F362"/>
        </row>
        <row r="363">
          <cell r="E363"/>
          <cell r="F363"/>
        </row>
        <row r="364">
          <cell r="E364"/>
          <cell r="F364"/>
        </row>
        <row r="365">
          <cell r="E365"/>
          <cell r="F365"/>
        </row>
        <row r="366">
          <cell r="E366"/>
          <cell r="F366"/>
        </row>
        <row r="367">
          <cell r="E367"/>
          <cell r="F367"/>
        </row>
        <row r="368">
          <cell r="E368"/>
          <cell r="F368"/>
        </row>
        <row r="369">
          <cell r="E369"/>
          <cell r="F369"/>
        </row>
        <row r="370">
          <cell r="E370"/>
          <cell r="F370"/>
        </row>
        <row r="371">
          <cell r="E371"/>
          <cell r="F371"/>
        </row>
        <row r="372">
          <cell r="E372"/>
          <cell r="F372"/>
        </row>
        <row r="373">
          <cell r="E373"/>
          <cell r="F373"/>
        </row>
        <row r="374">
          <cell r="E374"/>
          <cell r="F374"/>
        </row>
        <row r="375">
          <cell r="E375"/>
          <cell r="F375"/>
        </row>
        <row r="376">
          <cell r="E376"/>
          <cell r="F376"/>
        </row>
        <row r="377">
          <cell r="E377"/>
          <cell r="F377"/>
        </row>
        <row r="378">
          <cell r="E378"/>
          <cell r="F378"/>
        </row>
        <row r="379">
          <cell r="E379"/>
          <cell r="F379"/>
        </row>
        <row r="380">
          <cell r="E380"/>
          <cell r="F380"/>
        </row>
        <row r="381">
          <cell r="E381"/>
          <cell r="F381"/>
        </row>
        <row r="382">
          <cell r="E382"/>
          <cell r="F382"/>
        </row>
        <row r="383">
          <cell r="E383"/>
          <cell r="F383"/>
        </row>
        <row r="384">
          <cell r="E384"/>
          <cell r="F384"/>
        </row>
        <row r="385">
          <cell r="E385"/>
          <cell r="F385"/>
        </row>
        <row r="386">
          <cell r="E386"/>
          <cell r="F386"/>
        </row>
        <row r="387">
          <cell r="E387"/>
          <cell r="F387"/>
        </row>
        <row r="388">
          <cell r="E388"/>
          <cell r="F388"/>
        </row>
        <row r="389">
          <cell r="E389"/>
          <cell r="F389"/>
        </row>
        <row r="390">
          <cell r="E390"/>
          <cell r="F390"/>
        </row>
        <row r="391">
          <cell r="E391"/>
          <cell r="F391"/>
        </row>
        <row r="392">
          <cell r="E392"/>
          <cell r="F392"/>
        </row>
        <row r="393">
          <cell r="E393"/>
          <cell r="F393"/>
        </row>
        <row r="394">
          <cell r="E394"/>
          <cell r="F394"/>
        </row>
        <row r="395">
          <cell r="E395"/>
          <cell r="F395"/>
        </row>
        <row r="396">
          <cell r="E396"/>
          <cell r="F396"/>
        </row>
        <row r="397">
          <cell r="E397"/>
          <cell r="F397"/>
        </row>
        <row r="398">
          <cell r="E398"/>
          <cell r="F398"/>
        </row>
        <row r="399">
          <cell r="E399"/>
          <cell r="F399"/>
        </row>
        <row r="400">
          <cell r="E400"/>
          <cell r="F400"/>
        </row>
        <row r="401">
          <cell r="E401"/>
          <cell r="F401"/>
        </row>
        <row r="402">
          <cell r="E402"/>
          <cell r="F402"/>
        </row>
        <row r="403">
          <cell r="E403"/>
          <cell r="F403"/>
        </row>
        <row r="404">
          <cell r="E404"/>
          <cell r="F404"/>
        </row>
        <row r="405">
          <cell r="E405"/>
          <cell r="F405"/>
        </row>
        <row r="406">
          <cell r="E406"/>
          <cell r="F406"/>
        </row>
        <row r="407">
          <cell r="E407"/>
          <cell r="F407"/>
        </row>
        <row r="408">
          <cell r="E408"/>
          <cell r="F408"/>
        </row>
        <row r="409">
          <cell r="E409"/>
          <cell r="F409"/>
        </row>
        <row r="410">
          <cell r="E410"/>
          <cell r="F410"/>
        </row>
        <row r="411">
          <cell r="E411"/>
          <cell r="F411"/>
        </row>
        <row r="412">
          <cell r="E412"/>
          <cell r="F412"/>
        </row>
        <row r="413">
          <cell r="E413"/>
          <cell r="F413"/>
        </row>
        <row r="414">
          <cell r="E414"/>
          <cell r="F414"/>
        </row>
        <row r="415">
          <cell r="E415"/>
          <cell r="F415"/>
        </row>
        <row r="416">
          <cell r="E416"/>
          <cell r="F416"/>
        </row>
        <row r="417">
          <cell r="E417"/>
          <cell r="F417"/>
        </row>
        <row r="418">
          <cell r="E418"/>
          <cell r="F418"/>
        </row>
        <row r="419">
          <cell r="E419"/>
          <cell r="F419"/>
        </row>
        <row r="420">
          <cell r="E420"/>
          <cell r="F420"/>
        </row>
        <row r="421">
          <cell r="E421"/>
          <cell r="F421"/>
        </row>
        <row r="422">
          <cell r="E422"/>
          <cell r="F422"/>
        </row>
        <row r="423">
          <cell r="E423"/>
          <cell r="F423"/>
        </row>
        <row r="424">
          <cell r="E424"/>
          <cell r="F424"/>
        </row>
        <row r="425">
          <cell r="E425"/>
          <cell r="F425"/>
        </row>
        <row r="426">
          <cell r="E426"/>
          <cell r="F426"/>
        </row>
        <row r="427">
          <cell r="E427"/>
          <cell r="F427"/>
        </row>
        <row r="428">
          <cell r="E428"/>
          <cell r="F428"/>
        </row>
        <row r="429">
          <cell r="E429"/>
          <cell r="F429"/>
        </row>
        <row r="430">
          <cell r="E430"/>
          <cell r="F430"/>
        </row>
        <row r="431">
          <cell r="E431"/>
          <cell r="F431"/>
        </row>
        <row r="432">
          <cell r="E432"/>
          <cell r="F432"/>
        </row>
        <row r="433">
          <cell r="E433"/>
          <cell r="F433"/>
        </row>
        <row r="434">
          <cell r="E434"/>
          <cell r="F434"/>
        </row>
        <row r="435">
          <cell r="E435"/>
          <cell r="F435"/>
        </row>
        <row r="436">
          <cell r="E436"/>
          <cell r="F436"/>
        </row>
        <row r="437">
          <cell r="E437"/>
          <cell r="F437"/>
        </row>
        <row r="438">
          <cell r="E438"/>
          <cell r="F438"/>
        </row>
        <row r="439">
          <cell r="E439"/>
          <cell r="F439"/>
        </row>
        <row r="440">
          <cell r="E440"/>
          <cell r="F440"/>
        </row>
        <row r="441">
          <cell r="E441"/>
          <cell r="F441"/>
        </row>
        <row r="442">
          <cell r="E442"/>
          <cell r="F442"/>
        </row>
        <row r="443">
          <cell r="E443"/>
          <cell r="F443"/>
        </row>
        <row r="444">
          <cell r="E444"/>
          <cell r="F444"/>
        </row>
        <row r="445">
          <cell r="E445"/>
          <cell r="F445"/>
        </row>
        <row r="446">
          <cell r="E446"/>
          <cell r="F446"/>
        </row>
        <row r="447">
          <cell r="E447"/>
          <cell r="F447"/>
        </row>
        <row r="448">
          <cell r="E448"/>
          <cell r="F448"/>
        </row>
        <row r="449">
          <cell r="E449"/>
          <cell r="F449"/>
        </row>
        <row r="450">
          <cell r="E450"/>
          <cell r="F450"/>
        </row>
        <row r="451">
          <cell r="E451"/>
          <cell r="F451"/>
        </row>
        <row r="452">
          <cell r="E452"/>
          <cell r="F452"/>
        </row>
        <row r="453">
          <cell r="E453"/>
          <cell r="F453"/>
        </row>
        <row r="454">
          <cell r="E454"/>
          <cell r="F454"/>
        </row>
        <row r="455">
          <cell r="E455"/>
          <cell r="F455"/>
        </row>
        <row r="456">
          <cell r="E456"/>
          <cell r="F456"/>
        </row>
        <row r="457">
          <cell r="E457"/>
          <cell r="F457"/>
        </row>
        <row r="458">
          <cell r="E458"/>
          <cell r="F458"/>
        </row>
        <row r="459">
          <cell r="E459"/>
          <cell r="F459"/>
        </row>
        <row r="460">
          <cell r="E460"/>
          <cell r="F460"/>
        </row>
        <row r="461">
          <cell r="E461"/>
          <cell r="F461"/>
        </row>
        <row r="462">
          <cell r="E462"/>
          <cell r="F462"/>
        </row>
        <row r="463">
          <cell r="E463"/>
          <cell r="F463"/>
        </row>
        <row r="464">
          <cell r="E464"/>
          <cell r="F464"/>
        </row>
        <row r="465">
          <cell r="E465"/>
          <cell r="F465"/>
        </row>
        <row r="466">
          <cell r="E466"/>
          <cell r="F466"/>
        </row>
        <row r="467">
          <cell r="E467"/>
          <cell r="F467"/>
        </row>
        <row r="468">
          <cell r="E468"/>
          <cell r="F468"/>
        </row>
        <row r="469">
          <cell r="E469"/>
          <cell r="F469"/>
        </row>
        <row r="470">
          <cell r="E470"/>
          <cell r="F470"/>
        </row>
        <row r="471">
          <cell r="E471"/>
        </row>
        <row r="472">
          <cell r="E472"/>
        </row>
        <row r="473">
          <cell r="E473"/>
        </row>
        <row r="474">
          <cell r="E474"/>
        </row>
        <row r="475">
          <cell r="E475"/>
        </row>
        <row r="476">
          <cell r="E476"/>
        </row>
        <row r="477">
          <cell r="E477"/>
        </row>
        <row r="478">
          <cell r="E478"/>
        </row>
        <row r="479">
          <cell r="E479"/>
        </row>
        <row r="480">
          <cell r="E480"/>
        </row>
        <row r="481">
          <cell r="E481"/>
        </row>
        <row r="482">
          <cell r="E482"/>
        </row>
        <row r="483">
          <cell r="E483"/>
        </row>
        <row r="484">
          <cell r="E484"/>
        </row>
        <row r="485">
          <cell r="E485"/>
        </row>
        <row r="486">
          <cell r="E486"/>
        </row>
        <row r="487">
          <cell r="E487"/>
        </row>
        <row r="488">
          <cell r="E488"/>
        </row>
        <row r="489">
          <cell r="E489"/>
        </row>
        <row r="490">
          <cell r="E490"/>
        </row>
        <row r="491">
          <cell r="E491"/>
        </row>
        <row r="492">
          <cell r="E492"/>
        </row>
        <row r="493">
          <cell r="E493"/>
        </row>
        <row r="494">
          <cell r="E494"/>
        </row>
        <row r="495">
          <cell r="E495"/>
        </row>
        <row r="496">
          <cell r="E496"/>
        </row>
        <row r="497">
          <cell r="E497"/>
        </row>
        <row r="498">
          <cell r="E498"/>
        </row>
        <row r="499">
          <cell r="E499"/>
        </row>
        <row r="500">
          <cell r="E500"/>
        </row>
        <row r="501">
          <cell r="E501"/>
        </row>
        <row r="502">
          <cell r="E502"/>
        </row>
        <row r="503">
          <cell r="E503"/>
        </row>
        <row r="504">
          <cell r="E504"/>
        </row>
        <row r="505">
          <cell r="E505"/>
        </row>
        <row r="506">
          <cell r="E506"/>
        </row>
        <row r="507">
          <cell r="E507"/>
        </row>
        <row r="508">
          <cell r="E508"/>
        </row>
        <row r="509">
          <cell r="E509"/>
        </row>
        <row r="510">
          <cell r="E510"/>
        </row>
        <row r="511">
          <cell r="E511"/>
        </row>
        <row r="512">
          <cell r="E512"/>
        </row>
        <row r="513">
          <cell r="E513"/>
        </row>
        <row r="514">
          <cell r="E514"/>
        </row>
        <row r="515">
          <cell r="E515"/>
        </row>
        <row r="516">
          <cell r="E516"/>
        </row>
        <row r="517">
          <cell r="E517"/>
        </row>
        <row r="518">
          <cell r="E518"/>
        </row>
        <row r="519">
          <cell r="E519"/>
        </row>
        <row r="520">
          <cell r="E520"/>
        </row>
        <row r="521">
          <cell r="E521"/>
        </row>
        <row r="522">
          <cell r="E522"/>
        </row>
        <row r="523">
          <cell r="E523"/>
        </row>
        <row r="524">
          <cell r="E524"/>
        </row>
        <row r="525">
          <cell r="E525"/>
        </row>
        <row r="526">
          <cell r="E526"/>
        </row>
        <row r="527">
          <cell r="E527"/>
        </row>
        <row r="528">
          <cell r="E528"/>
        </row>
        <row r="529">
          <cell r="E529"/>
        </row>
        <row r="530">
          <cell r="E530"/>
        </row>
        <row r="531">
          <cell r="E531"/>
        </row>
        <row r="532">
          <cell r="E532"/>
        </row>
        <row r="533">
          <cell r="E533"/>
        </row>
        <row r="534">
          <cell r="E534"/>
        </row>
        <row r="535">
          <cell r="E535"/>
        </row>
        <row r="536">
          <cell r="E536"/>
        </row>
        <row r="537">
          <cell r="E537"/>
        </row>
        <row r="538">
          <cell r="E538"/>
        </row>
        <row r="539">
          <cell r="E539"/>
        </row>
        <row r="540">
          <cell r="E540"/>
        </row>
        <row r="541">
          <cell r="E541"/>
        </row>
        <row r="542">
          <cell r="E542"/>
        </row>
        <row r="543">
          <cell r="E543"/>
        </row>
        <row r="544">
          <cell r="E544"/>
        </row>
        <row r="545">
          <cell r="E545"/>
        </row>
        <row r="546">
          <cell r="E546"/>
        </row>
        <row r="547">
          <cell r="E547"/>
        </row>
        <row r="548">
          <cell r="E548"/>
        </row>
        <row r="549">
          <cell r="E549"/>
        </row>
        <row r="550">
          <cell r="E550"/>
        </row>
        <row r="551">
          <cell r="E551"/>
        </row>
        <row r="552">
          <cell r="E552"/>
        </row>
        <row r="553">
          <cell r="E553"/>
        </row>
        <row r="554">
          <cell r="E554"/>
        </row>
        <row r="555">
          <cell r="E555"/>
        </row>
        <row r="556">
          <cell r="E556"/>
        </row>
        <row r="557">
          <cell r="E557"/>
        </row>
        <row r="558">
          <cell r="E558"/>
        </row>
        <row r="559">
          <cell r="E559"/>
        </row>
        <row r="560">
          <cell r="E560"/>
        </row>
        <row r="561">
          <cell r="E561"/>
        </row>
        <row r="562">
          <cell r="E562"/>
        </row>
        <row r="563">
          <cell r="E563"/>
        </row>
        <row r="564">
          <cell r="E564"/>
        </row>
        <row r="565">
          <cell r="E565"/>
        </row>
        <row r="566">
          <cell r="E566"/>
        </row>
        <row r="567">
          <cell r="E567"/>
        </row>
        <row r="568">
          <cell r="E568"/>
        </row>
        <row r="569">
          <cell r="E569"/>
        </row>
        <row r="570">
          <cell r="E570"/>
        </row>
        <row r="571">
          <cell r="E571"/>
        </row>
        <row r="572">
          <cell r="E572"/>
        </row>
        <row r="573">
          <cell r="E573"/>
        </row>
        <row r="574">
          <cell r="E574"/>
        </row>
        <row r="575">
          <cell r="E575"/>
        </row>
        <row r="576">
          <cell r="E576"/>
        </row>
        <row r="577">
          <cell r="E577"/>
        </row>
        <row r="578">
          <cell r="E578"/>
        </row>
        <row r="579">
          <cell r="E579"/>
        </row>
        <row r="580">
          <cell r="E580"/>
        </row>
        <row r="581">
          <cell r="E581"/>
        </row>
        <row r="582">
          <cell r="E582"/>
        </row>
        <row r="583">
          <cell r="E583"/>
        </row>
        <row r="584">
          <cell r="E584"/>
        </row>
        <row r="585">
          <cell r="E585"/>
        </row>
        <row r="586">
          <cell r="E586"/>
        </row>
        <row r="587">
          <cell r="E587"/>
        </row>
        <row r="588">
          <cell r="E588"/>
        </row>
        <row r="589">
          <cell r="E589"/>
        </row>
        <row r="590">
          <cell r="E590"/>
        </row>
        <row r="591">
          <cell r="E591"/>
        </row>
        <row r="592">
          <cell r="E592"/>
        </row>
        <row r="593">
          <cell r="E593"/>
        </row>
        <row r="594">
          <cell r="E594"/>
        </row>
        <row r="595">
          <cell r="E595"/>
        </row>
        <row r="596">
          <cell r="E596"/>
        </row>
        <row r="597">
          <cell r="E597"/>
        </row>
        <row r="598">
          <cell r="E598"/>
        </row>
        <row r="599">
          <cell r="E599"/>
        </row>
        <row r="600">
          <cell r="E600"/>
        </row>
        <row r="601">
          <cell r="E601"/>
        </row>
        <row r="602">
          <cell r="E602"/>
        </row>
        <row r="603">
          <cell r="E603"/>
        </row>
        <row r="604">
          <cell r="E604"/>
        </row>
        <row r="605">
          <cell r="E605"/>
        </row>
        <row r="606">
          <cell r="E606"/>
        </row>
        <row r="607">
          <cell r="E607"/>
        </row>
        <row r="608">
          <cell r="E608"/>
        </row>
        <row r="609">
          <cell r="E609"/>
        </row>
        <row r="610">
          <cell r="E610"/>
        </row>
        <row r="611">
          <cell r="E611"/>
        </row>
        <row r="612">
          <cell r="E612"/>
        </row>
        <row r="613">
          <cell r="E613"/>
        </row>
        <row r="614">
          <cell r="E614"/>
        </row>
        <row r="615">
          <cell r="E615"/>
        </row>
        <row r="616">
          <cell r="E616"/>
        </row>
        <row r="617">
          <cell r="E617"/>
        </row>
        <row r="618">
          <cell r="E618"/>
        </row>
        <row r="619">
          <cell r="E619"/>
        </row>
        <row r="620">
          <cell r="E620"/>
        </row>
        <row r="621">
          <cell r="E621"/>
        </row>
        <row r="622">
          <cell r="E622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D71A0-26D2-4C1B-A429-3E6D9AFAEC0D}">
  <dimension ref="A1:N344"/>
  <sheetViews>
    <sheetView showGridLines="0" tabSelected="1" zoomScale="99" zoomScaleNormal="99" workbookViewId="0">
      <pane xSplit="1" ySplit="4" topLeftCell="G322" activePane="bottomRight" state="frozen"/>
      <selection pane="topRight" activeCell="B1" sqref="B1"/>
      <selection pane="bottomLeft" activeCell="A5" sqref="A5"/>
      <selection pane="bottomRight" activeCell="J3" sqref="J3"/>
    </sheetView>
  </sheetViews>
  <sheetFormatPr defaultRowHeight="14.4" x14ac:dyDescent="0.3"/>
  <cols>
    <col min="1" max="1" width="27.77734375" style="6" customWidth="1"/>
    <col min="2" max="3" width="18.88671875" style="5" customWidth="1"/>
    <col min="4" max="4" width="18.88671875" style="3" customWidth="1"/>
    <col min="5" max="6" width="21.6640625" style="4" bestFit="1" customWidth="1"/>
    <col min="7" max="7" width="18.88671875" style="3" customWidth="1"/>
    <col min="8" max="9" width="25.109375" style="2" bestFit="1" customWidth="1"/>
    <col min="10" max="10" width="18.6640625" style="1" customWidth="1"/>
    <col min="11" max="11" width="21.77734375" style="1" customWidth="1"/>
    <col min="12" max="12" width="21.33203125" style="1" customWidth="1"/>
    <col min="13" max="13" width="21.44140625" style="1" customWidth="1"/>
  </cols>
  <sheetData>
    <row r="1" spans="1:14" s="107" customFormat="1" ht="26.4" customHeight="1" thickBot="1" x14ac:dyDescent="0.35">
      <c r="A1" s="225" t="s">
        <v>348</v>
      </c>
      <c r="B1" s="222" t="s">
        <v>347</v>
      </c>
      <c r="C1" s="222"/>
      <c r="D1" s="222"/>
      <c r="E1" s="222"/>
      <c r="F1" s="222"/>
      <c r="G1" s="222"/>
      <c r="H1" s="122"/>
      <c r="I1" s="122"/>
      <c r="J1" s="222" t="s">
        <v>346</v>
      </c>
      <c r="K1" s="222"/>
      <c r="L1" s="222"/>
      <c r="M1" s="222"/>
      <c r="N1" s="123"/>
    </row>
    <row r="2" spans="1:14" s="107" customFormat="1" ht="26.4" customHeight="1" thickBot="1" x14ac:dyDescent="0.35">
      <c r="A2" s="225"/>
      <c r="B2" s="223" t="s">
        <v>345</v>
      </c>
      <c r="C2" s="223"/>
      <c r="D2" s="223"/>
      <c r="E2" s="224" t="s">
        <v>344</v>
      </c>
      <c r="F2" s="224"/>
      <c r="G2" s="224"/>
      <c r="H2" s="122"/>
      <c r="I2" s="122"/>
      <c r="J2" s="226" t="s">
        <v>343</v>
      </c>
      <c r="K2" s="226"/>
      <c r="L2" s="226"/>
      <c r="M2" s="226"/>
      <c r="N2" s="121"/>
    </row>
    <row r="3" spans="1:14" s="107" customFormat="1" ht="26.4" customHeight="1" thickBot="1" x14ac:dyDescent="0.35">
      <c r="A3" s="225"/>
      <c r="B3" s="218">
        <v>55197.687304199993</v>
      </c>
      <c r="C3" s="218">
        <v>36479.581178250002</v>
      </c>
      <c r="D3" s="219">
        <f>IFERROR((C3-B3)/B3,100%)</f>
        <v>-0.33911033306146743</v>
      </c>
      <c r="E3" s="218">
        <v>1608776622.4152</v>
      </c>
      <c r="F3" s="218">
        <v>1784780789.3153334</v>
      </c>
      <c r="G3" s="219">
        <f>IFERROR((F3-E3)/E3,100%)</f>
        <v>0.10940248910125538</v>
      </c>
      <c r="H3" s="220" t="s">
        <v>342</v>
      </c>
      <c r="I3" s="118"/>
      <c r="J3" s="221">
        <v>38000</v>
      </c>
      <c r="K3" s="221">
        <v>24600</v>
      </c>
      <c r="L3" s="221">
        <v>27000</v>
      </c>
      <c r="M3" s="221">
        <f>SUM(J3:L3)</f>
        <v>89600</v>
      </c>
      <c r="N3" s="116"/>
    </row>
    <row r="4" spans="1:14" s="107" customFormat="1" ht="26.4" customHeight="1" thickBot="1" x14ac:dyDescent="0.35">
      <c r="A4" s="225"/>
      <c r="B4" s="114">
        <v>2025</v>
      </c>
      <c r="C4" s="114">
        <v>2026</v>
      </c>
      <c r="D4" s="115" t="s">
        <v>341</v>
      </c>
      <c r="E4" s="114">
        <v>2025</v>
      </c>
      <c r="F4" s="114">
        <v>2026</v>
      </c>
      <c r="G4" s="113" t="s">
        <v>341</v>
      </c>
      <c r="H4" s="112" t="s">
        <v>340</v>
      </c>
      <c r="I4" s="111" t="s">
        <v>339</v>
      </c>
      <c r="J4" s="110" t="s">
        <v>338</v>
      </c>
      <c r="K4" s="109" t="s">
        <v>337</v>
      </c>
      <c r="L4" s="109" t="s">
        <v>336</v>
      </c>
      <c r="M4" s="109" t="s">
        <v>335</v>
      </c>
      <c r="N4" s="108"/>
    </row>
    <row r="5" spans="1:14" ht="15.6" x14ac:dyDescent="0.3">
      <c r="A5" s="53" t="s">
        <v>334</v>
      </c>
      <c r="B5" s="49">
        <v>0</v>
      </c>
      <c r="C5" s="49">
        <v>218.61452550000004</v>
      </c>
      <c r="D5" s="106">
        <f t="shared" ref="D5:D68" si="0">IFERROR((C5-B5)/B5,100%)</f>
        <v>1</v>
      </c>
      <c r="E5" s="49">
        <v>0</v>
      </c>
      <c r="F5" s="49">
        <v>10882605.697297297</v>
      </c>
      <c r="G5" s="105">
        <f t="shared" ref="G5:G68" si="1">IFERROR((F5-E5)/E5,100%)</f>
        <v>1</v>
      </c>
      <c r="H5" s="104">
        <f t="shared" ref="H5:H68" si="2">F5/$F$3</f>
        <v>6.0974466794165884E-3</v>
      </c>
      <c r="I5" s="103">
        <f t="shared" ref="I5:I68" si="3">E5/$E$3</f>
        <v>0</v>
      </c>
      <c r="J5" s="45">
        <f t="shared" ref="J5:J68" si="4">$J$3*H5</f>
        <v>231.70297381783035</v>
      </c>
      <c r="K5" s="102">
        <f t="shared" ref="K5:K68" si="5">$K$3*H5</f>
        <v>149.99718831364808</v>
      </c>
      <c r="L5" s="102">
        <f t="shared" ref="L5:L68" si="6">$L$3*H5</f>
        <v>164.63106034424789</v>
      </c>
      <c r="M5" s="101">
        <f t="shared" ref="M5:M68" si="7">SUM(J5:L5)</f>
        <v>546.33122247572635</v>
      </c>
    </row>
    <row r="6" spans="1:14" ht="15.6" x14ac:dyDescent="0.3">
      <c r="A6" s="52" t="s">
        <v>333</v>
      </c>
      <c r="B6" s="49">
        <v>863.54775900000004</v>
      </c>
      <c r="C6" s="49">
        <v>161.43507450000001</v>
      </c>
      <c r="D6" s="50">
        <f t="shared" si="0"/>
        <v>-0.81305599740430801</v>
      </c>
      <c r="E6" s="49">
        <v>29967600</v>
      </c>
      <c r="F6" s="49">
        <v>6965953.702702703</v>
      </c>
      <c r="G6" s="48">
        <f t="shared" si="1"/>
        <v>-0.76755049778084661</v>
      </c>
      <c r="H6" s="47">
        <f t="shared" si="2"/>
        <v>3.9029743845320855E-3</v>
      </c>
      <c r="I6" s="46">
        <f t="shared" si="3"/>
        <v>1.8627570529344648E-2</v>
      </c>
      <c r="J6" s="45">
        <f t="shared" si="4"/>
        <v>148.31302661221926</v>
      </c>
      <c r="K6" s="45">
        <f t="shared" si="5"/>
        <v>96.013169859489295</v>
      </c>
      <c r="L6" s="45">
        <f t="shared" si="6"/>
        <v>105.38030838236631</v>
      </c>
      <c r="M6" s="44">
        <f t="shared" si="7"/>
        <v>349.70650485407486</v>
      </c>
    </row>
    <row r="7" spans="1:14" ht="15.6" x14ac:dyDescent="0.3">
      <c r="A7" s="52" t="s">
        <v>332</v>
      </c>
      <c r="B7" s="49">
        <v>0</v>
      </c>
      <c r="C7" s="49">
        <v>86.578038750000005</v>
      </c>
      <c r="D7" s="50">
        <f t="shared" si="0"/>
        <v>1</v>
      </c>
      <c r="E7" s="49">
        <v>0</v>
      </c>
      <c r="F7" s="49">
        <v>4737540.7610750152</v>
      </c>
      <c r="G7" s="48">
        <f t="shared" si="1"/>
        <v>1</v>
      </c>
      <c r="H7" s="47">
        <f t="shared" si="2"/>
        <v>2.6544104404510097E-3</v>
      </c>
      <c r="I7" s="46">
        <f t="shared" si="3"/>
        <v>0</v>
      </c>
      <c r="J7" s="45">
        <f t="shared" si="4"/>
        <v>100.86759673713837</v>
      </c>
      <c r="K7" s="45">
        <f t="shared" si="5"/>
        <v>65.298496835094838</v>
      </c>
      <c r="L7" s="45">
        <f t="shared" si="6"/>
        <v>71.66908189217726</v>
      </c>
      <c r="M7" s="44">
        <f t="shared" si="7"/>
        <v>237.83517546441044</v>
      </c>
    </row>
    <row r="8" spans="1:14" ht="15.6" x14ac:dyDescent="0.3">
      <c r="A8" s="55" t="s">
        <v>331</v>
      </c>
      <c r="B8" s="49">
        <v>382.58924999999999</v>
      </c>
      <c r="C8" s="49">
        <v>166.62421125000003</v>
      </c>
      <c r="D8" s="50">
        <f t="shared" si="0"/>
        <v>-0.56448276774634931</v>
      </c>
      <c r="E8" s="49">
        <v>6759276.8399999999</v>
      </c>
      <c r="F8" s="49">
        <v>8571373.0389249846</v>
      </c>
      <c r="G8" s="48">
        <f t="shared" si="1"/>
        <v>0.26809024719943042</v>
      </c>
      <c r="H8" s="47">
        <f t="shared" si="2"/>
        <v>4.802479436263476E-3</v>
      </c>
      <c r="I8" s="46">
        <f t="shared" si="3"/>
        <v>4.2015011567314636E-3</v>
      </c>
      <c r="J8" s="45">
        <f t="shared" si="4"/>
        <v>182.4942185780121</v>
      </c>
      <c r="K8" s="45">
        <f t="shared" si="5"/>
        <v>118.1409941320815</v>
      </c>
      <c r="L8" s="45">
        <f t="shared" si="6"/>
        <v>129.66694477911386</v>
      </c>
      <c r="M8" s="44">
        <f t="shared" si="7"/>
        <v>430.30215748920745</v>
      </c>
    </row>
    <row r="9" spans="1:14" ht="15.6" x14ac:dyDescent="0.3">
      <c r="A9" s="52" t="s">
        <v>330</v>
      </c>
      <c r="B9" s="49">
        <v>375.10041000000007</v>
      </c>
      <c r="C9" s="49">
        <v>111.14100375000001</v>
      </c>
      <c r="D9" s="50">
        <f t="shared" si="0"/>
        <v>-0.7037033263973238</v>
      </c>
      <c r="E9" s="49">
        <v>15849771.84</v>
      </c>
      <c r="F9" s="49">
        <v>8071774.3888742747</v>
      </c>
      <c r="G9" s="48">
        <f t="shared" si="1"/>
        <v>-0.49073245530868947</v>
      </c>
      <c r="H9" s="47">
        <f t="shared" si="2"/>
        <v>4.5225578609968788E-3</v>
      </c>
      <c r="I9" s="46">
        <f t="shared" si="3"/>
        <v>9.8520649909776114E-3</v>
      </c>
      <c r="J9" s="45">
        <f t="shared" si="4"/>
        <v>171.8571987178814</v>
      </c>
      <c r="K9" s="45">
        <f t="shared" si="5"/>
        <v>111.25492338052322</v>
      </c>
      <c r="L9" s="45">
        <f t="shared" si="6"/>
        <v>122.10906224691573</v>
      </c>
      <c r="M9" s="44">
        <f t="shared" si="7"/>
        <v>405.22118434532035</v>
      </c>
    </row>
    <row r="10" spans="1:14" ht="15.6" x14ac:dyDescent="0.3">
      <c r="A10" s="52" t="s">
        <v>329</v>
      </c>
      <c r="B10" s="49">
        <v>0</v>
      </c>
      <c r="C10" s="49">
        <v>86.868626250000005</v>
      </c>
      <c r="D10" s="50">
        <f t="shared" si="0"/>
        <v>1</v>
      </c>
      <c r="E10" s="49">
        <v>405501</v>
      </c>
      <c r="F10" s="49">
        <v>5615183.3665411826</v>
      </c>
      <c r="G10" s="48">
        <f t="shared" si="1"/>
        <v>12.84752039215978</v>
      </c>
      <c r="H10" s="47">
        <f t="shared" si="2"/>
        <v>3.1461473589119281E-3</v>
      </c>
      <c r="I10" s="46">
        <f t="shared" si="3"/>
        <v>2.5205550251671086E-4</v>
      </c>
      <c r="J10" s="45">
        <f t="shared" si="4"/>
        <v>119.55359963865327</v>
      </c>
      <c r="K10" s="45">
        <f t="shared" si="5"/>
        <v>77.39522502923343</v>
      </c>
      <c r="L10" s="45">
        <f t="shared" si="6"/>
        <v>84.945978690622056</v>
      </c>
      <c r="M10" s="44">
        <f t="shared" si="7"/>
        <v>281.89480335850874</v>
      </c>
    </row>
    <row r="11" spans="1:14" ht="16.2" thickBot="1" x14ac:dyDescent="0.35">
      <c r="A11" s="51" t="s">
        <v>328</v>
      </c>
      <c r="B11" s="49">
        <v>0</v>
      </c>
      <c r="C11" s="49">
        <v>93.155370000000005</v>
      </c>
      <c r="D11" s="50">
        <f t="shared" si="0"/>
        <v>1</v>
      </c>
      <c r="E11" s="49">
        <v>0</v>
      </c>
      <c r="F11" s="49">
        <v>7678287.8945845431</v>
      </c>
      <c r="G11" s="48">
        <f t="shared" si="1"/>
        <v>1</v>
      </c>
      <c r="H11" s="47">
        <f t="shared" si="2"/>
        <v>4.302090172950618E-3</v>
      </c>
      <c r="I11" s="46">
        <f t="shared" si="3"/>
        <v>0</v>
      </c>
      <c r="J11" s="45">
        <f t="shared" si="4"/>
        <v>163.47942657212349</v>
      </c>
      <c r="K11" s="45">
        <f t="shared" si="5"/>
        <v>105.8314182545852</v>
      </c>
      <c r="L11" s="45">
        <f t="shared" si="6"/>
        <v>116.15643466966668</v>
      </c>
      <c r="M11" s="44">
        <f t="shared" si="7"/>
        <v>385.4672794963754</v>
      </c>
    </row>
    <row r="12" spans="1:14" ht="16.2" thickBot="1" x14ac:dyDescent="0.35">
      <c r="A12" s="43" t="s">
        <v>327</v>
      </c>
      <c r="B12" s="42">
        <v>1621.237419</v>
      </c>
      <c r="C12" s="40">
        <v>924.41685000000007</v>
      </c>
      <c r="D12" s="41">
        <f t="shared" si="0"/>
        <v>-0.42980784975331238</v>
      </c>
      <c r="E12" s="40">
        <v>52982149.680000007</v>
      </c>
      <c r="F12" s="40">
        <v>52522718.850000001</v>
      </c>
      <c r="G12" s="39">
        <f t="shared" si="1"/>
        <v>-8.6714267498556059E-3</v>
      </c>
      <c r="H12" s="38">
        <f t="shared" si="2"/>
        <v>2.9428106333522587E-2</v>
      </c>
      <c r="I12" s="37">
        <f t="shared" si="3"/>
        <v>3.2933192179570435E-2</v>
      </c>
      <c r="J12" s="36">
        <f t="shared" si="4"/>
        <v>1118.2680406738582</v>
      </c>
      <c r="K12" s="36">
        <f t="shared" si="5"/>
        <v>723.93141580465567</v>
      </c>
      <c r="L12" s="36">
        <f t="shared" si="6"/>
        <v>794.55887100510984</v>
      </c>
      <c r="M12" s="36">
        <f t="shared" si="7"/>
        <v>2636.7583274836238</v>
      </c>
    </row>
    <row r="13" spans="1:14" ht="15.6" x14ac:dyDescent="0.3">
      <c r="A13" s="53" t="s">
        <v>326</v>
      </c>
      <c r="B13" s="49">
        <v>0</v>
      </c>
      <c r="C13" s="49">
        <v>77.639814000000001</v>
      </c>
      <c r="D13" s="50">
        <f t="shared" si="0"/>
        <v>1</v>
      </c>
      <c r="E13" s="49">
        <v>812738.04</v>
      </c>
      <c r="F13" s="49">
        <v>6165818.3412903231</v>
      </c>
      <c r="G13" s="48">
        <f t="shared" si="1"/>
        <v>6.5864768693370408</v>
      </c>
      <c r="H13" s="47">
        <f t="shared" si="2"/>
        <v>3.454664224425912E-3</v>
      </c>
      <c r="I13" s="46">
        <f t="shared" si="3"/>
        <v>5.0519011071895417E-4</v>
      </c>
      <c r="J13" s="45">
        <f t="shared" si="4"/>
        <v>131.27724052818465</v>
      </c>
      <c r="K13" s="45">
        <f t="shared" si="5"/>
        <v>84.984739920877431</v>
      </c>
      <c r="L13" s="45">
        <f t="shared" si="6"/>
        <v>93.275934059499619</v>
      </c>
      <c r="M13" s="44">
        <f t="shared" si="7"/>
        <v>309.5379145085617</v>
      </c>
    </row>
    <row r="14" spans="1:14" ht="15.6" x14ac:dyDescent="0.3">
      <c r="A14" s="52" t="s">
        <v>325</v>
      </c>
      <c r="B14" s="49">
        <v>0</v>
      </c>
      <c r="C14" s="49">
        <v>118.16876190000001</v>
      </c>
      <c r="D14" s="50">
        <f t="shared" si="0"/>
        <v>1</v>
      </c>
      <c r="E14" s="49">
        <v>0</v>
      </c>
      <c r="F14" s="49">
        <v>8376159.9306451613</v>
      </c>
      <c r="G14" s="48">
        <f t="shared" si="1"/>
        <v>1</v>
      </c>
      <c r="H14" s="47">
        <f t="shared" si="2"/>
        <v>4.6931029181787485E-3</v>
      </c>
      <c r="I14" s="46">
        <f t="shared" si="3"/>
        <v>0</v>
      </c>
      <c r="J14" s="45">
        <f t="shared" si="4"/>
        <v>178.33791089079244</v>
      </c>
      <c r="K14" s="45">
        <f t="shared" si="5"/>
        <v>115.45033178719721</v>
      </c>
      <c r="L14" s="45">
        <f t="shared" si="6"/>
        <v>126.71377879082621</v>
      </c>
      <c r="M14" s="44">
        <f t="shared" si="7"/>
        <v>420.50202146881588</v>
      </c>
    </row>
    <row r="15" spans="1:14" ht="15.6" x14ac:dyDescent="0.3">
      <c r="A15" s="52" t="s">
        <v>324</v>
      </c>
      <c r="B15" s="49">
        <v>515.93150400000002</v>
      </c>
      <c r="C15" s="49">
        <v>119.80646265</v>
      </c>
      <c r="D15" s="50">
        <f t="shared" si="0"/>
        <v>-0.767786107804729</v>
      </c>
      <c r="E15" s="49">
        <v>25461029.879999999</v>
      </c>
      <c r="F15" s="49">
        <v>9484805.2780645173</v>
      </c>
      <c r="G15" s="48">
        <f t="shared" si="1"/>
        <v>-0.62747754812875944</v>
      </c>
      <c r="H15" s="47">
        <f t="shared" si="2"/>
        <v>5.3142690322787595E-3</v>
      </c>
      <c r="I15" s="46">
        <f t="shared" si="3"/>
        <v>1.5826330097820696E-2</v>
      </c>
      <c r="J15" s="45">
        <f t="shared" si="4"/>
        <v>201.94222322659286</v>
      </c>
      <c r="K15" s="45">
        <f t="shared" si="5"/>
        <v>130.73101819405747</v>
      </c>
      <c r="L15" s="45">
        <f t="shared" si="6"/>
        <v>143.48526387152651</v>
      </c>
      <c r="M15" s="44">
        <f t="shared" si="7"/>
        <v>476.15850529217687</v>
      </c>
    </row>
    <row r="16" spans="1:14" ht="15.6" x14ac:dyDescent="0.3">
      <c r="A16" s="52" t="s">
        <v>323</v>
      </c>
      <c r="B16" s="49">
        <v>0</v>
      </c>
      <c r="C16" s="49">
        <v>113.724975</v>
      </c>
      <c r="D16" s="50">
        <f t="shared" si="0"/>
        <v>1</v>
      </c>
      <c r="E16" s="49">
        <v>203245.2</v>
      </c>
      <c r="F16" s="49">
        <v>4186426.6500000004</v>
      </c>
      <c r="G16" s="48">
        <f t="shared" si="1"/>
        <v>19.597911537394239</v>
      </c>
      <c r="H16" s="47">
        <f t="shared" si="2"/>
        <v>2.3456251182566636E-3</v>
      </c>
      <c r="I16" s="46">
        <f t="shared" si="3"/>
        <v>1.2633525199718225E-4</v>
      </c>
      <c r="J16" s="45">
        <f t="shared" si="4"/>
        <v>89.133754493753216</v>
      </c>
      <c r="K16" s="45">
        <f t="shared" si="5"/>
        <v>57.702377909113928</v>
      </c>
      <c r="L16" s="45">
        <f t="shared" si="6"/>
        <v>63.331878192929921</v>
      </c>
      <c r="M16" s="44">
        <f t="shared" si="7"/>
        <v>210.16801059579706</v>
      </c>
    </row>
    <row r="17" spans="1:13" ht="15.6" x14ac:dyDescent="0.3">
      <c r="A17" s="52" t="s">
        <v>322</v>
      </c>
      <c r="B17" s="49">
        <v>0</v>
      </c>
      <c r="C17" s="49">
        <v>37.851974999999996</v>
      </c>
      <c r="D17" s="50">
        <f t="shared" si="0"/>
        <v>1</v>
      </c>
      <c r="E17" s="49">
        <v>0</v>
      </c>
      <c r="F17" s="49">
        <v>3429066.9000000004</v>
      </c>
      <c r="G17" s="48">
        <f t="shared" si="1"/>
        <v>1</v>
      </c>
      <c r="H17" s="47">
        <f t="shared" si="2"/>
        <v>1.9212818294147137E-3</v>
      </c>
      <c r="I17" s="46">
        <f t="shared" si="3"/>
        <v>0</v>
      </c>
      <c r="J17" s="45">
        <f t="shared" si="4"/>
        <v>73.008709517759115</v>
      </c>
      <c r="K17" s="45">
        <f t="shared" si="5"/>
        <v>47.263533003601957</v>
      </c>
      <c r="L17" s="45">
        <f t="shared" si="6"/>
        <v>51.874609394197272</v>
      </c>
      <c r="M17" s="44">
        <f t="shared" si="7"/>
        <v>172.14685191555836</v>
      </c>
    </row>
    <row r="18" spans="1:13" ht="15.6" x14ac:dyDescent="0.3">
      <c r="A18" s="52" t="s">
        <v>321</v>
      </c>
      <c r="B18" s="49">
        <v>0</v>
      </c>
      <c r="C18" s="49">
        <v>28.38189375</v>
      </c>
      <c r="D18" s="50">
        <f t="shared" si="0"/>
        <v>1</v>
      </c>
      <c r="E18" s="49">
        <v>0</v>
      </c>
      <c r="F18" s="49">
        <v>5136695.55</v>
      </c>
      <c r="G18" s="48">
        <f t="shared" si="1"/>
        <v>1</v>
      </c>
      <c r="H18" s="47">
        <f t="shared" si="2"/>
        <v>2.8780540337228233E-3</v>
      </c>
      <c r="I18" s="46">
        <f t="shared" si="3"/>
        <v>0</v>
      </c>
      <c r="J18" s="45">
        <f t="shared" si="4"/>
        <v>109.36605328146729</v>
      </c>
      <c r="K18" s="45">
        <f t="shared" si="5"/>
        <v>70.800129229581458</v>
      </c>
      <c r="L18" s="45">
        <f t="shared" si="6"/>
        <v>77.707458910516223</v>
      </c>
      <c r="M18" s="44">
        <f t="shared" si="7"/>
        <v>257.87364142156497</v>
      </c>
    </row>
    <row r="19" spans="1:13" ht="16.2" thickBot="1" x14ac:dyDescent="0.35">
      <c r="A19" s="51" t="s">
        <v>320</v>
      </c>
      <c r="B19" s="49">
        <v>0</v>
      </c>
      <c r="C19" s="49">
        <v>135.68716875000001</v>
      </c>
      <c r="D19" s="50">
        <f t="shared" si="0"/>
        <v>1</v>
      </c>
      <c r="E19" s="49">
        <v>391680</v>
      </c>
      <c r="F19" s="49">
        <v>5416272.75</v>
      </c>
      <c r="G19" s="48">
        <f t="shared" si="1"/>
        <v>12.828310738357843</v>
      </c>
      <c r="H19" s="47">
        <f t="shared" si="2"/>
        <v>3.0346991532095979E-3</v>
      </c>
      <c r="I19" s="46">
        <f t="shared" si="3"/>
        <v>2.4346450249381702E-4</v>
      </c>
      <c r="J19" s="45">
        <f t="shared" si="4"/>
        <v>115.31856782196472</v>
      </c>
      <c r="K19" s="45">
        <f t="shared" si="5"/>
        <v>74.653599168956106</v>
      </c>
      <c r="L19" s="45">
        <f t="shared" si="6"/>
        <v>81.936877136659149</v>
      </c>
      <c r="M19" s="44">
        <f t="shared" si="7"/>
        <v>271.90904412757993</v>
      </c>
    </row>
    <row r="20" spans="1:13" ht="16.2" thickBot="1" x14ac:dyDescent="0.35">
      <c r="A20" s="43" t="s">
        <v>319</v>
      </c>
      <c r="B20" s="42">
        <v>515.93150400000002</v>
      </c>
      <c r="C20" s="40">
        <v>631.26105104999999</v>
      </c>
      <c r="D20" s="41">
        <f t="shared" si="0"/>
        <v>0.22353654730493056</v>
      </c>
      <c r="E20" s="40">
        <v>26868693.119999997</v>
      </c>
      <c r="F20" s="40">
        <v>42195245.399999999</v>
      </c>
      <c r="G20" s="39">
        <f t="shared" si="1"/>
        <v>0.5704241814646176</v>
      </c>
      <c r="H20" s="38">
        <f t="shared" si="2"/>
        <v>2.3641696309487217E-2</v>
      </c>
      <c r="I20" s="37">
        <f t="shared" si="3"/>
        <v>1.6701319963030647E-2</v>
      </c>
      <c r="J20" s="36">
        <f t="shared" si="4"/>
        <v>898.38445976051423</v>
      </c>
      <c r="K20" s="36">
        <f t="shared" si="5"/>
        <v>581.58572921338555</v>
      </c>
      <c r="L20" s="36">
        <f t="shared" si="6"/>
        <v>638.3258003561549</v>
      </c>
      <c r="M20" s="36">
        <f t="shared" si="7"/>
        <v>2118.2959893300549</v>
      </c>
    </row>
    <row r="21" spans="1:13" ht="15.6" x14ac:dyDescent="0.3">
      <c r="A21" s="53" t="s">
        <v>318</v>
      </c>
      <c r="B21" s="49">
        <v>185.65683000000001</v>
      </c>
      <c r="C21" s="49">
        <v>12.665100000000002</v>
      </c>
      <c r="D21" s="50">
        <f t="shared" si="0"/>
        <v>-0.93178220268007383</v>
      </c>
      <c r="E21" s="49">
        <v>6910500</v>
      </c>
      <c r="F21" s="49">
        <v>1155000</v>
      </c>
      <c r="G21" s="48">
        <f t="shared" si="1"/>
        <v>-0.83286303451269805</v>
      </c>
      <c r="H21" s="47">
        <f t="shared" si="2"/>
        <v>6.4713829671097817E-4</v>
      </c>
      <c r="I21" s="46">
        <f t="shared" si="3"/>
        <v>4.2955000114469023E-3</v>
      </c>
      <c r="J21" s="45">
        <f t="shared" si="4"/>
        <v>24.591255275017172</v>
      </c>
      <c r="K21" s="45">
        <f t="shared" si="5"/>
        <v>15.919602099090064</v>
      </c>
      <c r="L21" s="45">
        <f t="shared" si="6"/>
        <v>17.472734011196412</v>
      </c>
      <c r="M21" s="44">
        <f t="shared" si="7"/>
        <v>57.98359138530364</v>
      </c>
    </row>
    <row r="22" spans="1:13" ht="15.6" x14ac:dyDescent="0.3">
      <c r="A22" s="52" t="s">
        <v>317</v>
      </c>
      <c r="B22" s="49">
        <v>0</v>
      </c>
      <c r="C22" s="49">
        <v>155.64336585000001</v>
      </c>
      <c r="D22" s="50">
        <f t="shared" si="0"/>
        <v>1</v>
      </c>
      <c r="E22" s="49">
        <v>0</v>
      </c>
      <c r="F22" s="49">
        <v>4006543.7858449691</v>
      </c>
      <c r="G22" s="48">
        <f t="shared" si="1"/>
        <v>1</v>
      </c>
      <c r="H22" s="47">
        <f t="shared" si="2"/>
        <v>2.2448380270733053E-3</v>
      </c>
      <c r="I22" s="46">
        <f t="shared" si="3"/>
        <v>0</v>
      </c>
      <c r="J22" s="45">
        <f t="shared" si="4"/>
        <v>85.303845028785602</v>
      </c>
      <c r="K22" s="45">
        <f t="shared" si="5"/>
        <v>55.223015466003311</v>
      </c>
      <c r="L22" s="45">
        <f t="shared" si="6"/>
        <v>60.610626730979241</v>
      </c>
      <c r="M22" s="44">
        <f t="shared" si="7"/>
        <v>201.13748722576815</v>
      </c>
    </row>
    <row r="23" spans="1:13" ht="15.6" x14ac:dyDescent="0.3">
      <c r="A23" s="52" t="s">
        <v>316</v>
      </c>
      <c r="B23" s="49">
        <v>1370.4013649999999</v>
      </c>
      <c r="C23" s="49">
        <v>128.16422850000001</v>
      </c>
      <c r="D23" s="50">
        <f t="shared" si="0"/>
        <v>-0.9064768674540834</v>
      </c>
      <c r="E23" s="49">
        <v>21299339.100000001</v>
      </c>
      <c r="F23" s="49">
        <v>3415849.0253009149</v>
      </c>
      <c r="G23" s="48">
        <f t="shared" si="1"/>
        <v>-0.83962652506429569</v>
      </c>
      <c r="H23" s="47">
        <f t="shared" si="2"/>
        <v>1.9138759480996441E-3</v>
      </c>
      <c r="I23" s="46">
        <f t="shared" si="3"/>
        <v>1.323946333085326E-2</v>
      </c>
      <c r="J23" s="45">
        <f t="shared" si="4"/>
        <v>72.727286027786477</v>
      </c>
      <c r="K23" s="45">
        <f t="shared" si="5"/>
        <v>47.081348323251248</v>
      </c>
      <c r="L23" s="45">
        <f t="shared" si="6"/>
        <v>51.674650598690391</v>
      </c>
      <c r="M23" s="44">
        <f t="shared" si="7"/>
        <v>171.4832849497281</v>
      </c>
    </row>
    <row r="24" spans="1:13" ht="15.6" x14ac:dyDescent="0.3">
      <c r="A24" s="52" t="s">
        <v>315</v>
      </c>
      <c r="B24" s="49">
        <v>0</v>
      </c>
      <c r="C24" s="49">
        <v>89.033798700000006</v>
      </c>
      <c r="D24" s="50">
        <f t="shared" si="0"/>
        <v>1</v>
      </c>
      <c r="E24" s="49">
        <v>0</v>
      </c>
      <c r="F24" s="49">
        <v>2354295.2206307175</v>
      </c>
      <c r="G24" s="48">
        <f t="shared" si="1"/>
        <v>1</v>
      </c>
      <c r="H24" s="47">
        <f t="shared" si="2"/>
        <v>1.3190948909383195E-3</v>
      </c>
      <c r="I24" s="46">
        <f t="shared" si="3"/>
        <v>0</v>
      </c>
      <c r="J24" s="45">
        <f t="shared" si="4"/>
        <v>50.12560585565614</v>
      </c>
      <c r="K24" s="45">
        <f t="shared" si="5"/>
        <v>32.449734317082658</v>
      </c>
      <c r="L24" s="45">
        <f t="shared" si="6"/>
        <v>35.615562055334628</v>
      </c>
      <c r="M24" s="44">
        <f t="shared" si="7"/>
        <v>118.19090222807344</v>
      </c>
    </row>
    <row r="25" spans="1:13" ht="15.6" x14ac:dyDescent="0.3">
      <c r="A25" s="52" t="s">
        <v>314</v>
      </c>
      <c r="B25" s="49">
        <v>0</v>
      </c>
      <c r="C25" s="49">
        <v>155.64336585000001</v>
      </c>
      <c r="D25" s="50">
        <f t="shared" si="0"/>
        <v>1</v>
      </c>
      <c r="E25" s="49">
        <v>0</v>
      </c>
      <c r="F25" s="49">
        <v>4006543.7858449691</v>
      </c>
      <c r="G25" s="48">
        <f t="shared" si="1"/>
        <v>1</v>
      </c>
      <c r="H25" s="47">
        <f t="shared" si="2"/>
        <v>2.2448380270733053E-3</v>
      </c>
      <c r="I25" s="46">
        <f t="shared" si="3"/>
        <v>0</v>
      </c>
      <c r="J25" s="45">
        <f t="shared" si="4"/>
        <v>85.303845028785602</v>
      </c>
      <c r="K25" s="45">
        <f t="shared" si="5"/>
        <v>55.223015466003311</v>
      </c>
      <c r="L25" s="45">
        <f t="shared" si="6"/>
        <v>60.610626730979241</v>
      </c>
      <c r="M25" s="44">
        <f t="shared" si="7"/>
        <v>201.13748722576815</v>
      </c>
    </row>
    <row r="26" spans="1:13" ht="16.2" thickBot="1" x14ac:dyDescent="0.35">
      <c r="A26" s="51" t="s">
        <v>313</v>
      </c>
      <c r="B26" s="49">
        <v>0</v>
      </c>
      <c r="C26" s="49">
        <v>54.079918200000009</v>
      </c>
      <c r="D26" s="50">
        <f t="shared" si="0"/>
        <v>1</v>
      </c>
      <c r="E26" s="49">
        <v>0</v>
      </c>
      <c r="F26" s="49">
        <v>1412577.1323784306</v>
      </c>
      <c r="G26" s="48">
        <f t="shared" si="1"/>
        <v>1</v>
      </c>
      <c r="H26" s="47">
        <f t="shared" si="2"/>
        <v>7.9145693456299173E-4</v>
      </c>
      <c r="I26" s="46">
        <f t="shared" si="3"/>
        <v>0</v>
      </c>
      <c r="J26" s="45">
        <f t="shared" si="4"/>
        <v>30.075363513393686</v>
      </c>
      <c r="K26" s="45">
        <f t="shared" si="5"/>
        <v>19.469840590249596</v>
      </c>
      <c r="L26" s="45">
        <f t="shared" si="6"/>
        <v>21.369337233200778</v>
      </c>
      <c r="M26" s="44">
        <f t="shared" si="7"/>
        <v>70.914541336844067</v>
      </c>
    </row>
    <row r="27" spans="1:13" ht="16.2" thickBot="1" x14ac:dyDescent="0.35">
      <c r="A27" s="43" t="s">
        <v>312</v>
      </c>
      <c r="B27" s="42">
        <v>1556.0581950000001</v>
      </c>
      <c r="C27" s="40">
        <v>595.22977710000009</v>
      </c>
      <c r="D27" s="41">
        <f t="shared" si="0"/>
        <v>-0.61747588938985665</v>
      </c>
      <c r="E27" s="40">
        <v>28209839.100000001</v>
      </c>
      <c r="F27" s="40">
        <v>16350808.949999999</v>
      </c>
      <c r="G27" s="39">
        <f t="shared" si="1"/>
        <v>-0.42038630947030114</v>
      </c>
      <c r="H27" s="38">
        <f t="shared" si="2"/>
        <v>9.1612421244585424E-3</v>
      </c>
      <c r="I27" s="37">
        <f t="shared" si="3"/>
        <v>1.7534963342300161E-2</v>
      </c>
      <c r="J27" s="36">
        <f t="shared" si="4"/>
        <v>348.1272007294246</v>
      </c>
      <c r="K27" s="36">
        <f t="shared" si="5"/>
        <v>225.36655626168013</v>
      </c>
      <c r="L27" s="36">
        <f t="shared" si="6"/>
        <v>247.35353736038064</v>
      </c>
      <c r="M27" s="36">
        <f t="shared" si="7"/>
        <v>820.8472943514854</v>
      </c>
    </row>
    <row r="28" spans="1:13" ht="15.6" x14ac:dyDescent="0.3">
      <c r="A28" s="53" t="s">
        <v>311</v>
      </c>
      <c r="B28" s="49">
        <v>0</v>
      </c>
      <c r="C28" s="49">
        <v>373.06108979999999</v>
      </c>
      <c r="D28" s="50">
        <f t="shared" si="0"/>
        <v>1</v>
      </c>
      <c r="E28" s="49">
        <v>0</v>
      </c>
      <c r="F28" s="49">
        <v>15630805.830275232</v>
      </c>
      <c r="G28" s="48">
        <f t="shared" si="1"/>
        <v>1</v>
      </c>
      <c r="H28" s="47">
        <f t="shared" si="2"/>
        <v>8.7578294902375241E-3</v>
      </c>
      <c r="I28" s="46">
        <f t="shared" si="3"/>
        <v>0</v>
      </c>
      <c r="J28" s="45">
        <f t="shared" si="4"/>
        <v>332.79752062902594</v>
      </c>
      <c r="K28" s="45">
        <f t="shared" si="5"/>
        <v>215.44260545984309</v>
      </c>
      <c r="L28" s="45">
        <f t="shared" si="6"/>
        <v>236.46139623641315</v>
      </c>
      <c r="M28" s="44">
        <f t="shared" si="7"/>
        <v>784.70152232528221</v>
      </c>
    </row>
    <row r="29" spans="1:13" ht="15.6" x14ac:dyDescent="0.3">
      <c r="A29" s="52" t="s">
        <v>310</v>
      </c>
      <c r="B29" s="49">
        <v>0</v>
      </c>
      <c r="C29" s="49">
        <v>360.4007148</v>
      </c>
      <c r="D29" s="50">
        <f t="shared" si="0"/>
        <v>1</v>
      </c>
      <c r="E29" s="49">
        <v>357000</v>
      </c>
      <c r="F29" s="49">
        <v>16050805.830275236</v>
      </c>
      <c r="G29" s="48">
        <f t="shared" si="1"/>
        <v>43.960240420939037</v>
      </c>
      <c r="H29" s="47">
        <f t="shared" si="2"/>
        <v>8.993152507223337E-3</v>
      </c>
      <c r="I29" s="46">
        <f t="shared" si="3"/>
        <v>2.2190774966884366E-4</v>
      </c>
      <c r="J29" s="45">
        <f t="shared" si="4"/>
        <v>341.73979527448682</v>
      </c>
      <c r="K29" s="45">
        <f t="shared" si="5"/>
        <v>221.23155167769409</v>
      </c>
      <c r="L29" s="45">
        <f t="shared" si="6"/>
        <v>242.8151176950301</v>
      </c>
      <c r="M29" s="44">
        <f t="shared" si="7"/>
        <v>805.78646464721101</v>
      </c>
    </row>
    <row r="30" spans="1:13" ht="15.6" x14ac:dyDescent="0.3">
      <c r="A30" s="52" t="s">
        <v>309</v>
      </c>
      <c r="B30" s="49">
        <v>2222.1153899999999</v>
      </c>
      <c r="C30" s="49">
        <v>261.83535630000006</v>
      </c>
      <c r="D30" s="50">
        <f t="shared" si="0"/>
        <v>-0.88216842497094627</v>
      </c>
      <c r="E30" s="49">
        <v>59488914.300000004</v>
      </c>
      <c r="F30" s="49">
        <v>11595444.876605509</v>
      </c>
      <c r="G30" s="48">
        <f t="shared" si="1"/>
        <v>-0.80508225754246943</v>
      </c>
      <c r="H30" s="47">
        <f t="shared" si="2"/>
        <v>6.4968454087034871E-3</v>
      </c>
      <c r="I30" s="46">
        <f t="shared" si="3"/>
        <v>3.6977734180828274E-2</v>
      </c>
      <c r="J30" s="45">
        <f t="shared" si="4"/>
        <v>246.8801255307325</v>
      </c>
      <c r="K30" s="45">
        <f t="shared" si="5"/>
        <v>159.82239705410578</v>
      </c>
      <c r="L30" s="45">
        <f t="shared" si="6"/>
        <v>175.41482603499415</v>
      </c>
      <c r="M30" s="44">
        <f t="shared" si="7"/>
        <v>582.11734861983246</v>
      </c>
    </row>
    <row r="31" spans="1:13" ht="15.6" x14ac:dyDescent="0.3">
      <c r="A31" s="52" t="s">
        <v>308</v>
      </c>
      <c r="B31" s="49">
        <v>61.511099999999992</v>
      </c>
      <c r="C31" s="49">
        <v>222.65908455000002</v>
      </c>
      <c r="D31" s="50">
        <f t="shared" si="0"/>
        <v>2.6198195862210243</v>
      </c>
      <c r="E31" s="49">
        <v>2027760</v>
      </c>
      <c r="F31" s="49">
        <v>9794030.2266055066</v>
      </c>
      <c r="G31" s="48">
        <f t="shared" si="1"/>
        <v>3.8299750594772095</v>
      </c>
      <c r="H31" s="47">
        <f t="shared" si="2"/>
        <v>5.4875255747024445E-3</v>
      </c>
      <c r="I31" s="46">
        <f t="shared" si="3"/>
        <v>1.2604360181190319E-3</v>
      </c>
      <c r="J31" s="45">
        <f t="shared" si="4"/>
        <v>208.5259718386929</v>
      </c>
      <c r="K31" s="45">
        <f t="shared" si="5"/>
        <v>134.99312913768014</v>
      </c>
      <c r="L31" s="45">
        <f t="shared" si="6"/>
        <v>148.16319051696601</v>
      </c>
      <c r="M31" s="44">
        <f t="shared" si="7"/>
        <v>491.68229149333899</v>
      </c>
    </row>
    <row r="32" spans="1:13" ht="15.6" x14ac:dyDescent="0.3">
      <c r="A32" s="52" t="s">
        <v>307</v>
      </c>
      <c r="B32" s="49">
        <v>0</v>
      </c>
      <c r="C32" s="49">
        <v>222.65908455000002</v>
      </c>
      <c r="D32" s="50">
        <f t="shared" si="0"/>
        <v>1</v>
      </c>
      <c r="E32" s="49">
        <v>0</v>
      </c>
      <c r="F32" s="49">
        <v>9447741.2862385344</v>
      </c>
      <c r="G32" s="48">
        <f t="shared" si="1"/>
        <v>1</v>
      </c>
      <c r="H32" s="47">
        <f t="shared" si="2"/>
        <v>5.2935023409025027E-3</v>
      </c>
      <c r="I32" s="46">
        <f t="shared" si="3"/>
        <v>0</v>
      </c>
      <c r="J32" s="45">
        <f t="shared" si="4"/>
        <v>201.1530889542951</v>
      </c>
      <c r="K32" s="45">
        <f t="shared" si="5"/>
        <v>130.22015758620157</v>
      </c>
      <c r="L32" s="45">
        <f t="shared" si="6"/>
        <v>142.92456320436756</v>
      </c>
      <c r="M32" s="44">
        <f t="shared" si="7"/>
        <v>474.29780974486425</v>
      </c>
    </row>
    <row r="33" spans="1:13" ht="15.6" x14ac:dyDescent="0.3">
      <c r="A33" s="52" t="s">
        <v>306</v>
      </c>
      <c r="B33" s="49">
        <v>0</v>
      </c>
      <c r="C33" s="49">
        <v>59.592067500000006</v>
      </c>
      <c r="D33" s="50">
        <f t="shared" si="0"/>
        <v>1</v>
      </c>
      <c r="E33" s="49">
        <v>1261740</v>
      </c>
      <c r="F33" s="49">
        <v>2373149.4868421052</v>
      </c>
      <c r="G33" s="48">
        <f t="shared" si="1"/>
        <v>0.88085460304191443</v>
      </c>
      <c r="H33" s="47">
        <f t="shared" si="2"/>
        <v>1.3296588023857419E-3</v>
      </c>
      <c r="I33" s="46">
        <f t="shared" si="3"/>
        <v>7.8428538954388458E-4</v>
      </c>
      <c r="J33" s="45">
        <f t="shared" si="4"/>
        <v>50.527034490658188</v>
      </c>
      <c r="K33" s="45">
        <f t="shared" si="5"/>
        <v>32.70960653868925</v>
      </c>
      <c r="L33" s="45">
        <f t="shared" si="6"/>
        <v>35.900787664415034</v>
      </c>
      <c r="M33" s="44">
        <f t="shared" si="7"/>
        <v>119.13742869376247</v>
      </c>
    </row>
    <row r="34" spans="1:13" ht="15.6" x14ac:dyDescent="0.3">
      <c r="A34" s="52" t="s">
        <v>305</v>
      </c>
      <c r="B34" s="49">
        <v>319.36200000000002</v>
      </c>
      <c r="C34" s="49">
        <v>66.662557500000005</v>
      </c>
      <c r="D34" s="50">
        <f t="shared" si="0"/>
        <v>-0.79126333909482038</v>
      </c>
      <c r="E34" s="49">
        <v>13171000.92</v>
      </c>
      <c r="F34" s="49">
        <v>2638335.6631578947</v>
      </c>
      <c r="G34" s="48">
        <f t="shared" si="1"/>
        <v>-0.7996860163336853</v>
      </c>
      <c r="H34" s="47">
        <f t="shared" si="2"/>
        <v>1.4782407335132718E-3</v>
      </c>
      <c r="I34" s="46">
        <f t="shared" si="3"/>
        <v>8.1869668768724639E-3</v>
      </c>
      <c r="J34" s="45">
        <f t="shared" si="4"/>
        <v>56.173147873504327</v>
      </c>
      <c r="K34" s="45">
        <f t="shared" si="5"/>
        <v>36.364722044426486</v>
      </c>
      <c r="L34" s="45">
        <f t="shared" si="6"/>
        <v>39.912499804858342</v>
      </c>
      <c r="M34" s="44">
        <f t="shared" si="7"/>
        <v>132.45036972278916</v>
      </c>
    </row>
    <row r="35" spans="1:13" ht="16.2" thickBot="1" x14ac:dyDescent="0.35">
      <c r="A35" s="51" t="s">
        <v>304</v>
      </c>
      <c r="B35" s="49">
        <v>0</v>
      </c>
      <c r="C35" s="49">
        <v>25.216694999999998</v>
      </c>
      <c r="D35" s="50">
        <f t="shared" si="0"/>
        <v>1</v>
      </c>
      <c r="E35" s="49">
        <v>4932628.2</v>
      </c>
      <c r="F35" s="49">
        <v>649509</v>
      </c>
      <c r="G35" s="48">
        <f t="shared" si="1"/>
        <v>-0.86832394949207803</v>
      </c>
      <c r="H35" s="47">
        <f t="shared" si="2"/>
        <v>3.6391527961770624E-4</v>
      </c>
      <c r="I35" s="46">
        <f t="shared" si="3"/>
        <v>3.0660740162887362E-3</v>
      </c>
      <c r="J35" s="45">
        <f t="shared" si="4"/>
        <v>13.828780625472838</v>
      </c>
      <c r="K35" s="45">
        <f t="shared" si="5"/>
        <v>8.9523158785955737</v>
      </c>
      <c r="L35" s="45">
        <f t="shared" si="6"/>
        <v>9.8257125496780677</v>
      </c>
      <c r="M35" s="44">
        <f t="shared" si="7"/>
        <v>32.606809053746481</v>
      </c>
    </row>
    <row r="36" spans="1:13" ht="16.2" thickBot="1" x14ac:dyDescent="0.35">
      <c r="A36" s="43" t="s">
        <v>303</v>
      </c>
      <c r="B36" s="42">
        <v>2602.9884900000002</v>
      </c>
      <c r="C36" s="40">
        <v>1592.0866500000002</v>
      </c>
      <c r="D36" s="41">
        <f t="shared" si="0"/>
        <v>-0.38836200923808156</v>
      </c>
      <c r="E36" s="40">
        <v>81239043.420000002</v>
      </c>
      <c r="F36" s="40">
        <v>68179822.200000018</v>
      </c>
      <c r="G36" s="39">
        <f t="shared" si="1"/>
        <v>-0.16075055380064918</v>
      </c>
      <c r="H36" s="38">
        <f t="shared" si="2"/>
        <v>3.8200670137286015E-2</v>
      </c>
      <c r="I36" s="37">
        <f t="shared" si="3"/>
        <v>5.0497404231321236E-2</v>
      </c>
      <c r="J36" s="36">
        <f t="shared" si="4"/>
        <v>1451.6254652168686</v>
      </c>
      <c r="K36" s="36">
        <f t="shared" si="5"/>
        <v>939.73648537723602</v>
      </c>
      <c r="L36" s="36">
        <f t="shared" si="6"/>
        <v>1031.4180937067224</v>
      </c>
      <c r="M36" s="36">
        <f t="shared" si="7"/>
        <v>3422.7800443008273</v>
      </c>
    </row>
    <row r="37" spans="1:13" ht="16.2" thickBot="1" x14ac:dyDescent="0.35">
      <c r="A37" s="100" t="s">
        <v>302</v>
      </c>
      <c r="B37" s="34">
        <v>6296.2156080000004</v>
      </c>
      <c r="C37" s="32">
        <v>3742.9943281500005</v>
      </c>
      <c r="D37" s="33">
        <f t="shared" si="0"/>
        <v>-0.40551681181404675</v>
      </c>
      <c r="E37" s="32">
        <v>189299725.32000002</v>
      </c>
      <c r="F37" s="32">
        <v>179248595.40000001</v>
      </c>
      <c r="G37" s="31">
        <f t="shared" si="1"/>
        <v>-5.3096378787709141E-2</v>
      </c>
      <c r="H37" s="30">
        <f t="shared" si="2"/>
        <v>0.10043171490475436</v>
      </c>
      <c r="I37" s="29">
        <f t="shared" si="3"/>
        <v>0.11766687971622249</v>
      </c>
      <c r="J37" s="28">
        <f t="shared" si="4"/>
        <v>3816.4051663806658</v>
      </c>
      <c r="K37" s="28">
        <f t="shared" si="5"/>
        <v>2470.6201866569572</v>
      </c>
      <c r="L37" s="28">
        <f t="shared" si="6"/>
        <v>2711.6563024283678</v>
      </c>
      <c r="M37" s="28">
        <f t="shared" si="7"/>
        <v>8998.6816554659908</v>
      </c>
    </row>
    <row r="38" spans="1:13" ht="15.6" x14ac:dyDescent="0.3">
      <c r="A38" s="53" t="s">
        <v>301</v>
      </c>
      <c r="B38" s="49">
        <v>665.365635</v>
      </c>
      <c r="C38" s="49">
        <v>65.532027749999997</v>
      </c>
      <c r="D38" s="50">
        <f t="shared" si="0"/>
        <v>-0.90150974997378697</v>
      </c>
      <c r="E38" s="49">
        <v>16427208.120000001</v>
      </c>
      <c r="F38" s="49">
        <v>2725436.6504716985</v>
      </c>
      <c r="G38" s="48">
        <f t="shared" si="1"/>
        <v>-0.83409008819012287</v>
      </c>
      <c r="H38" s="47">
        <f t="shared" si="2"/>
        <v>1.5270427980778602E-3</v>
      </c>
      <c r="I38" s="46">
        <f t="shared" si="3"/>
        <v>1.0210993801823406E-2</v>
      </c>
      <c r="J38" s="45">
        <f t="shared" si="4"/>
        <v>58.027626326958689</v>
      </c>
      <c r="K38" s="45">
        <f t="shared" si="5"/>
        <v>37.565252832715359</v>
      </c>
      <c r="L38" s="45">
        <f t="shared" si="6"/>
        <v>41.230155548102225</v>
      </c>
      <c r="M38" s="44">
        <f t="shared" si="7"/>
        <v>136.82303470777629</v>
      </c>
    </row>
    <row r="39" spans="1:13" ht="15.6" x14ac:dyDescent="0.3">
      <c r="A39" s="52" t="s">
        <v>300</v>
      </c>
      <c r="B39" s="49">
        <v>0</v>
      </c>
      <c r="C39" s="49">
        <v>71.604708000000016</v>
      </c>
      <c r="D39" s="50">
        <f t="shared" si="0"/>
        <v>1</v>
      </c>
      <c r="E39" s="49">
        <v>0</v>
      </c>
      <c r="F39" s="49">
        <v>2881363.294811321</v>
      </c>
      <c r="G39" s="48">
        <f t="shared" si="1"/>
        <v>1</v>
      </c>
      <c r="H39" s="47">
        <f t="shared" si="2"/>
        <v>1.6144073894456539E-3</v>
      </c>
      <c r="I39" s="46">
        <f t="shared" si="3"/>
        <v>0</v>
      </c>
      <c r="J39" s="45">
        <f t="shared" si="4"/>
        <v>61.347480798934846</v>
      </c>
      <c r="K39" s="45">
        <f t="shared" si="5"/>
        <v>39.714421780363082</v>
      </c>
      <c r="L39" s="45">
        <f t="shared" si="6"/>
        <v>43.588999515032654</v>
      </c>
      <c r="M39" s="44">
        <f t="shared" si="7"/>
        <v>144.6509020943306</v>
      </c>
    </row>
    <row r="40" spans="1:13" ht="15.6" x14ac:dyDescent="0.3">
      <c r="A40" s="52" t="s">
        <v>299</v>
      </c>
      <c r="B40" s="49">
        <v>0</v>
      </c>
      <c r="C40" s="49">
        <v>71.604708000000016</v>
      </c>
      <c r="D40" s="50">
        <f t="shared" si="0"/>
        <v>1</v>
      </c>
      <c r="E40" s="49">
        <v>0</v>
      </c>
      <c r="F40" s="49">
        <v>2881363.294811321</v>
      </c>
      <c r="G40" s="48">
        <f t="shared" si="1"/>
        <v>1</v>
      </c>
      <c r="H40" s="47">
        <f t="shared" si="2"/>
        <v>1.6144073894456539E-3</v>
      </c>
      <c r="I40" s="46">
        <f t="shared" si="3"/>
        <v>0</v>
      </c>
      <c r="J40" s="45">
        <f t="shared" si="4"/>
        <v>61.347480798934846</v>
      </c>
      <c r="K40" s="45">
        <f t="shared" si="5"/>
        <v>39.714421780363082</v>
      </c>
      <c r="L40" s="45">
        <f t="shared" si="6"/>
        <v>43.588999515032654</v>
      </c>
      <c r="M40" s="44">
        <f t="shared" si="7"/>
        <v>144.6509020943306</v>
      </c>
    </row>
    <row r="41" spans="1:13" ht="15.6" x14ac:dyDescent="0.3">
      <c r="A41" s="52" t="s">
        <v>298</v>
      </c>
      <c r="B41" s="49">
        <v>0</v>
      </c>
      <c r="C41" s="49">
        <v>69.580481249999991</v>
      </c>
      <c r="D41" s="50">
        <f t="shared" si="0"/>
        <v>1</v>
      </c>
      <c r="E41" s="49">
        <v>51000</v>
      </c>
      <c r="F41" s="49">
        <v>3121588.059905658</v>
      </c>
      <c r="G41" s="48">
        <f t="shared" si="1"/>
        <v>60.207609017758003</v>
      </c>
      <c r="H41" s="47">
        <f t="shared" si="2"/>
        <v>1.749003619152099E-3</v>
      </c>
      <c r="I41" s="46">
        <f t="shared" si="3"/>
        <v>3.170110709554909E-5</v>
      </c>
      <c r="J41" s="45">
        <f t="shared" si="4"/>
        <v>66.46213752777976</v>
      </c>
      <c r="K41" s="45">
        <f t="shared" si="5"/>
        <v>43.025489031141639</v>
      </c>
      <c r="L41" s="45">
        <f t="shared" si="6"/>
        <v>47.223097717106675</v>
      </c>
      <c r="M41" s="44">
        <f t="shared" si="7"/>
        <v>156.71072427602806</v>
      </c>
    </row>
    <row r="42" spans="1:13" ht="15.6" x14ac:dyDescent="0.3">
      <c r="A42" s="52" t="s">
        <v>297</v>
      </c>
      <c r="B42" s="49">
        <v>0</v>
      </c>
      <c r="C42" s="49">
        <v>129.8466225</v>
      </c>
      <c r="D42" s="50">
        <f t="shared" si="0"/>
        <v>1</v>
      </c>
      <c r="E42" s="49">
        <v>0</v>
      </c>
      <c r="F42" s="49">
        <v>6386632.0978575936</v>
      </c>
      <c r="G42" s="48">
        <f t="shared" si="1"/>
        <v>1</v>
      </c>
      <c r="H42" s="47">
        <f t="shared" si="2"/>
        <v>3.5783846039196747E-3</v>
      </c>
      <c r="I42" s="46">
        <f t="shared" si="3"/>
        <v>0</v>
      </c>
      <c r="J42" s="45">
        <f t="shared" si="4"/>
        <v>135.97861494894764</v>
      </c>
      <c r="K42" s="45">
        <f t="shared" si="5"/>
        <v>88.028261256424003</v>
      </c>
      <c r="L42" s="45">
        <f t="shared" si="6"/>
        <v>96.616384305831218</v>
      </c>
      <c r="M42" s="44">
        <f t="shared" si="7"/>
        <v>320.62326051120283</v>
      </c>
    </row>
    <row r="43" spans="1:13" ht="16.2" thickBot="1" x14ac:dyDescent="0.35">
      <c r="A43" s="51" t="s">
        <v>296</v>
      </c>
      <c r="B43" s="49">
        <v>430.63609500000007</v>
      </c>
      <c r="C43" s="49">
        <v>199.8523275</v>
      </c>
      <c r="D43" s="50">
        <f t="shared" si="0"/>
        <v>-0.53591366394867579</v>
      </c>
      <c r="E43" s="49">
        <v>10784664</v>
      </c>
      <c r="F43" s="49">
        <v>9902938.5421424098</v>
      </c>
      <c r="G43" s="48">
        <f t="shared" si="1"/>
        <v>-8.1757341522887522E-2</v>
      </c>
      <c r="H43" s="47">
        <f t="shared" si="2"/>
        <v>5.5485461303857453E-3</v>
      </c>
      <c r="I43" s="46">
        <f t="shared" si="3"/>
        <v>6.7036429108531933E-3</v>
      </c>
      <c r="J43" s="45">
        <f t="shared" si="4"/>
        <v>210.84475295465833</v>
      </c>
      <c r="K43" s="45">
        <f t="shared" si="5"/>
        <v>136.49423480748933</v>
      </c>
      <c r="L43" s="45">
        <f t="shared" si="6"/>
        <v>149.81074552041511</v>
      </c>
      <c r="M43" s="44">
        <f t="shared" si="7"/>
        <v>497.14973328256281</v>
      </c>
    </row>
    <row r="44" spans="1:13" ht="16.2" thickBot="1" x14ac:dyDescent="0.35">
      <c r="A44" s="43" t="s">
        <v>295</v>
      </c>
      <c r="B44" s="42">
        <v>1096.00173</v>
      </c>
      <c r="C44" s="40">
        <v>608.02087500000005</v>
      </c>
      <c r="D44" s="41">
        <f t="shared" si="0"/>
        <v>-0.44523730359440211</v>
      </c>
      <c r="E44" s="40">
        <v>27262872.120000001</v>
      </c>
      <c r="F44" s="40">
        <v>27899321.940000001</v>
      </c>
      <c r="G44" s="39">
        <f t="shared" si="1"/>
        <v>2.3344929220905589E-2</v>
      </c>
      <c r="H44" s="38">
        <f t="shared" si="2"/>
        <v>1.5631791930426686E-2</v>
      </c>
      <c r="I44" s="37">
        <f t="shared" si="3"/>
        <v>1.6946337819772148E-2</v>
      </c>
      <c r="J44" s="36">
        <f t="shared" si="4"/>
        <v>594.00809335621409</v>
      </c>
      <c r="K44" s="36">
        <f t="shared" si="5"/>
        <v>384.54208148849648</v>
      </c>
      <c r="L44" s="36">
        <f t="shared" si="6"/>
        <v>422.05838212152054</v>
      </c>
      <c r="M44" s="36">
        <f t="shared" si="7"/>
        <v>1400.6085569662312</v>
      </c>
    </row>
    <row r="45" spans="1:13" ht="15.6" x14ac:dyDescent="0.3">
      <c r="A45" s="53" t="s">
        <v>294</v>
      </c>
      <c r="B45" s="49">
        <v>260.22500100000002</v>
      </c>
      <c r="C45" s="49">
        <v>148.26430500000001</v>
      </c>
      <c r="D45" s="50">
        <f t="shared" si="0"/>
        <v>-0.43024573184649545</v>
      </c>
      <c r="E45" s="49">
        <v>6076141.0200000005</v>
      </c>
      <c r="F45" s="49">
        <v>6384540.6000000006</v>
      </c>
      <c r="G45" s="48">
        <f t="shared" si="1"/>
        <v>5.0755829890202261E-2</v>
      </c>
      <c r="H45" s="47">
        <f t="shared" si="2"/>
        <v>3.5772127525247506E-3</v>
      </c>
      <c r="I45" s="46">
        <f t="shared" si="3"/>
        <v>3.776870533385861E-3</v>
      </c>
      <c r="J45" s="45">
        <f t="shared" si="4"/>
        <v>135.93408459594053</v>
      </c>
      <c r="K45" s="45">
        <f t="shared" si="5"/>
        <v>87.999433712108868</v>
      </c>
      <c r="L45" s="45">
        <f t="shared" si="6"/>
        <v>96.584744318168262</v>
      </c>
      <c r="M45" s="44">
        <f t="shared" si="7"/>
        <v>320.51826262621768</v>
      </c>
    </row>
    <row r="46" spans="1:13" ht="15.6" x14ac:dyDescent="0.3">
      <c r="A46" s="52" t="s">
        <v>293</v>
      </c>
      <c r="B46" s="49">
        <v>0</v>
      </c>
      <c r="C46" s="49">
        <v>28.818719999999999</v>
      </c>
      <c r="D46" s="50">
        <f t="shared" si="0"/>
        <v>1</v>
      </c>
      <c r="E46" s="49">
        <v>0</v>
      </c>
      <c r="F46" s="49">
        <v>1189988.0750000002</v>
      </c>
      <c r="G46" s="48">
        <f t="shared" si="1"/>
        <v>1</v>
      </c>
      <c r="H46" s="47">
        <f t="shared" si="2"/>
        <v>6.6674186663365871E-4</v>
      </c>
      <c r="I46" s="46">
        <f t="shared" si="3"/>
        <v>0</v>
      </c>
      <c r="J46" s="45">
        <f t="shared" si="4"/>
        <v>25.336190932079031</v>
      </c>
      <c r="K46" s="45">
        <f t="shared" si="5"/>
        <v>16.401849919188003</v>
      </c>
      <c r="L46" s="45">
        <f t="shared" si="6"/>
        <v>18.002030399108786</v>
      </c>
      <c r="M46" s="44">
        <f t="shared" si="7"/>
        <v>59.74007125037582</v>
      </c>
    </row>
    <row r="47" spans="1:13" ht="15.6" x14ac:dyDescent="0.3">
      <c r="A47" s="52" t="s">
        <v>292</v>
      </c>
      <c r="B47" s="49">
        <v>444.16410000000002</v>
      </c>
      <c r="C47" s="49">
        <v>214.87126499999999</v>
      </c>
      <c r="D47" s="50">
        <f t="shared" si="0"/>
        <v>-0.51623450657088232</v>
      </c>
      <c r="E47" s="49">
        <v>14740199.775</v>
      </c>
      <c r="F47" s="49">
        <v>10645796.700000001</v>
      </c>
      <c r="G47" s="48">
        <f t="shared" si="1"/>
        <v>-0.27777120646249853</v>
      </c>
      <c r="H47" s="47">
        <f t="shared" si="2"/>
        <v>5.9647642801466255E-3</v>
      </c>
      <c r="I47" s="46">
        <f t="shared" si="3"/>
        <v>9.1623657191581102E-3</v>
      </c>
      <c r="J47" s="45">
        <f t="shared" si="4"/>
        <v>226.66104264557177</v>
      </c>
      <c r="K47" s="45">
        <f t="shared" si="5"/>
        <v>146.73320129160697</v>
      </c>
      <c r="L47" s="45">
        <f t="shared" si="6"/>
        <v>161.0486355639589</v>
      </c>
      <c r="M47" s="44">
        <f t="shared" si="7"/>
        <v>534.44287950113767</v>
      </c>
    </row>
    <row r="48" spans="1:13" ht="15.6" x14ac:dyDescent="0.3">
      <c r="A48" s="52" t="s">
        <v>291</v>
      </c>
      <c r="B48" s="49">
        <v>0</v>
      </c>
      <c r="C48" s="49">
        <v>40.47645</v>
      </c>
      <c r="D48" s="50">
        <f t="shared" si="0"/>
        <v>1</v>
      </c>
      <c r="E48" s="49">
        <v>0</v>
      </c>
      <c r="F48" s="49">
        <v>2224203.6782833254</v>
      </c>
      <c r="G48" s="48">
        <f t="shared" si="1"/>
        <v>1</v>
      </c>
      <c r="H48" s="47">
        <f t="shared" si="2"/>
        <v>1.2462055237251633E-3</v>
      </c>
      <c r="I48" s="46">
        <f t="shared" si="3"/>
        <v>0</v>
      </c>
      <c r="J48" s="45">
        <f t="shared" si="4"/>
        <v>47.355809901556206</v>
      </c>
      <c r="K48" s="45">
        <f t="shared" si="5"/>
        <v>30.656655883639019</v>
      </c>
      <c r="L48" s="45">
        <f t="shared" si="6"/>
        <v>33.647549140579407</v>
      </c>
      <c r="M48" s="44">
        <f t="shared" si="7"/>
        <v>111.66001492577462</v>
      </c>
    </row>
    <row r="49" spans="1:13" ht="15.6" x14ac:dyDescent="0.3">
      <c r="A49" s="52" t="s">
        <v>290</v>
      </c>
      <c r="B49" s="49">
        <v>292.94323500000002</v>
      </c>
      <c r="C49" s="49">
        <v>60.714675</v>
      </c>
      <c r="D49" s="50">
        <f t="shared" si="0"/>
        <v>-0.79274252569785408</v>
      </c>
      <c r="E49" s="49">
        <v>7107460.9800000004</v>
      </c>
      <c r="F49" s="49">
        <v>4317893.7717166748</v>
      </c>
      <c r="G49" s="48">
        <f t="shared" si="1"/>
        <v>-0.39248435075943611</v>
      </c>
      <c r="H49" s="47">
        <f t="shared" si="2"/>
        <v>2.4192852128204936E-3</v>
      </c>
      <c r="I49" s="46">
        <f t="shared" si="3"/>
        <v>4.4179290530277707E-3</v>
      </c>
      <c r="J49" s="45">
        <f t="shared" si="4"/>
        <v>91.932838087178752</v>
      </c>
      <c r="K49" s="45">
        <f t="shared" si="5"/>
        <v>59.514416235384139</v>
      </c>
      <c r="L49" s="45">
        <f t="shared" si="6"/>
        <v>65.320700746153321</v>
      </c>
      <c r="M49" s="44">
        <f t="shared" si="7"/>
        <v>216.76795506871622</v>
      </c>
    </row>
    <row r="50" spans="1:13" ht="15.6" x14ac:dyDescent="0.3">
      <c r="A50" s="52" t="s">
        <v>289</v>
      </c>
      <c r="B50" s="49">
        <v>0</v>
      </c>
      <c r="C50" s="49">
        <v>57.354196200000011</v>
      </c>
      <c r="D50" s="50">
        <f t="shared" si="0"/>
        <v>1</v>
      </c>
      <c r="E50" s="49">
        <v>0</v>
      </c>
      <c r="F50" s="49">
        <v>1787024.0769230772</v>
      </c>
      <c r="G50" s="48">
        <f t="shared" si="1"/>
        <v>1</v>
      </c>
      <c r="H50" s="47">
        <f t="shared" si="2"/>
        <v>1.0012568981138598E-3</v>
      </c>
      <c r="I50" s="46">
        <f t="shared" si="3"/>
        <v>0</v>
      </c>
      <c r="J50" s="45">
        <f t="shared" si="4"/>
        <v>38.047762128326674</v>
      </c>
      <c r="K50" s="45">
        <f t="shared" si="5"/>
        <v>24.630919693600951</v>
      </c>
      <c r="L50" s="45">
        <f t="shared" si="6"/>
        <v>27.033936249074216</v>
      </c>
      <c r="M50" s="44">
        <f t="shared" si="7"/>
        <v>89.712618071001842</v>
      </c>
    </row>
    <row r="51" spans="1:13" ht="15.6" x14ac:dyDescent="0.3">
      <c r="A51" s="52" t="s">
        <v>288</v>
      </c>
      <c r="B51" s="49">
        <v>0</v>
      </c>
      <c r="C51" s="49">
        <v>69.025011300000003</v>
      </c>
      <c r="D51" s="50">
        <f t="shared" si="0"/>
        <v>1</v>
      </c>
      <c r="E51" s="49">
        <v>1020000</v>
      </c>
      <c r="F51" s="49">
        <v>5483774.4230769239</v>
      </c>
      <c r="G51" s="48">
        <f t="shared" si="1"/>
        <v>4.3762494343891412</v>
      </c>
      <c r="H51" s="47">
        <f t="shared" si="2"/>
        <v>3.0725198612097208E-3</v>
      </c>
      <c r="I51" s="46">
        <f t="shared" si="3"/>
        <v>6.3402214191098181E-4</v>
      </c>
      <c r="J51" s="45">
        <f t="shared" si="4"/>
        <v>116.7557547259694</v>
      </c>
      <c r="K51" s="45">
        <f t="shared" si="5"/>
        <v>75.58398858575913</v>
      </c>
      <c r="L51" s="45">
        <f t="shared" si="6"/>
        <v>82.958036252662467</v>
      </c>
      <c r="M51" s="44">
        <f t="shared" si="7"/>
        <v>275.29777956439096</v>
      </c>
    </row>
    <row r="52" spans="1:13" ht="16.2" thickBot="1" x14ac:dyDescent="0.35">
      <c r="A52" s="51" t="s">
        <v>287</v>
      </c>
      <c r="B52" s="49">
        <v>493.81158000000005</v>
      </c>
      <c r="C52" s="49">
        <v>12.65775</v>
      </c>
      <c r="D52" s="50">
        <f t="shared" si="0"/>
        <v>-0.97436724752384296</v>
      </c>
      <c r="E52" s="49">
        <v>9960168.4199999999</v>
      </c>
      <c r="F52" s="49">
        <v>490140</v>
      </c>
      <c r="G52" s="48">
        <f t="shared" si="1"/>
        <v>-0.95078998875000953</v>
      </c>
      <c r="H52" s="47">
        <f t="shared" si="2"/>
        <v>2.7462196082244056E-4</v>
      </c>
      <c r="I52" s="46">
        <f t="shared" si="3"/>
        <v>6.1911444269044311E-3</v>
      </c>
      <c r="J52" s="45">
        <f t="shared" si="4"/>
        <v>10.435634511252742</v>
      </c>
      <c r="K52" s="45">
        <f t="shared" si="5"/>
        <v>6.7557002362320375</v>
      </c>
      <c r="L52" s="45">
        <f t="shared" si="6"/>
        <v>7.4147929422058949</v>
      </c>
      <c r="M52" s="44">
        <f t="shared" si="7"/>
        <v>24.606127689690677</v>
      </c>
    </row>
    <row r="53" spans="1:13" ht="16.2" thickBot="1" x14ac:dyDescent="0.35">
      <c r="A53" s="43" t="s">
        <v>286</v>
      </c>
      <c r="B53" s="42">
        <v>1491.143916</v>
      </c>
      <c r="C53" s="40">
        <v>632.18237249999993</v>
      </c>
      <c r="D53" s="41">
        <f t="shared" si="0"/>
        <v>-0.5760420133049049</v>
      </c>
      <c r="E53" s="40">
        <v>38903970.195</v>
      </c>
      <c r="F53" s="40">
        <v>32523361.325000003</v>
      </c>
      <c r="G53" s="39">
        <f t="shared" si="1"/>
        <v>-0.16400919592571669</v>
      </c>
      <c r="H53" s="38">
        <f t="shared" si="2"/>
        <v>1.8222608355996713E-2</v>
      </c>
      <c r="I53" s="37">
        <f t="shared" si="3"/>
        <v>2.4182331874387154E-2</v>
      </c>
      <c r="J53" s="36">
        <f t="shared" si="4"/>
        <v>692.45911752787504</v>
      </c>
      <c r="K53" s="36">
        <f t="shared" si="5"/>
        <v>448.27616555751911</v>
      </c>
      <c r="L53" s="36">
        <f t="shared" si="6"/>
        <v>492.01042561191122</v>
      </c>
      <c r="M53" s="36">
        <f t="shared" si="7"/>
        <v>1632.7457086973054</v>
      </c>
    </row>
    <row r="54" spans="1:13" ht="15.6" x14ac:dyDescent="0.3">
      <c r="A54" s="53" t="s">
        <v>285</v>
      </c>
      <c r="B54" s="49">
        <v>735.45161999999993</v>
      </c>
      <c r="C54" s="49">
        <v>12.652500000000002</v>
      </c>
      <c r="D54" s="50">
        <f t="shared" si="0"/>
        <v>-0.98279628509078543</v>
      </c>
      <c r="E54" s="49">
        <v>21112923.899999999</v>
      </c>
      <c r="F54" s="49">
        <v>8916810</v>
      </c>
      <c r="G54" s="48">
        <f t="shared" si="1"/>
        <v>-0.57766105527430045</v>
      </c>
      <c r="H54" s="47">
        <f t="shared" si="2"/>
        <v>4.9960253121172447E-3</v>
      </c>
      <c r="I54" s="46">
        <f t="shared" si="3"/>
        <v>1.3123589444197607E-2</v>
      </c>
      <c r="J54" s="45">
        <f t="shared" si="4"/>
        <v>189.84896186045529</v>
      </c>
      <c r="K54" s="45">
        <f t="shared" si="5"/>
        <v>122.90222267808421</v>
      </c>
      <c r="L54" s="45">
        <f t="shared" si="6"/>
        <v>134.89268342716559</v>
      </c>
      <c r="M54" s="44">
        <f t="shared" si="7"/>
        <v>447.64386796570511</v>
      </c>
    </row>
    <row r="55" spans="1:13" ht="15.6" x14ac:dyDescent="0.3">
      <c r="A55" s="52" t="s">
        <v>284</v>
      </c>
      <c r="B55" s="49">
        <v>0</v>
      </c>
      <c r="C55" s="49">
        <v>118.66498875000001</v>
      </c>
      <c r="D55" s="50">
        <f t="shared" si="0"/>
        <v>1</v>
      </c>
      <c r="E55" s="49">
        <v>0</v>
      </c>
      <c r="F55" s="49">
        <v>6109596.3369258223</v>
      </c>
      <c r="G55" s="48">
        <f t="shared" si="1"/>
        <v>1</v>
      </c>
      <c r="H55" s="47">
        <f t="shared" si="2"/>
        <v>3.4231634346924746E-3</v>
      </c>
      <c r="I55" s="46">
        <f t="shared" si="3"/>
        <v>0</v>
      </c>
      <c r="J55" s="45">
        <f t="shared" si="4"/>
        <v>130.08021051831403</v>
      </c>
      <c r="K55" s="45">
        <f t="shared" si="5"/>
        <v>84.209820493434876</v>
      </c>
      <c r="L55" s="45">
        <f t="shared" si="6"/>
        <v>92.425412736696813</v>
      </c>
      <c r="M55" s="44">
        <f t="shared" si="7"/>
        <v>306.71544374844575</v>
      </c>
    </row>
    <row r="56" spans="1:13" ht="15.6" x14ac:dyDescent="0.3">
      <c r="A56" s="52" t="s">
        <v>283</v>
      </c>
      <c r="B56" s="49">
        <v>0</v>
      </c>
      <c r="C56" s="49">
        <v>166.92505514999999</v>
      </c>
      <c r="D56" s="50">
        <f t="shared" si="0"/>
        <v>1</v>
      </c>
      <c r="E56" s="49">
        <v>51000</v>
      </c>
      <c r="F56" s="49">
        <v>6171070.4643645557</v>
      </c>
      <c r="G56" s="48">
        <f t="shared" si="1"/>
        <v>120.00138165420698</v>
      </c>
      <c r="H56" s="47">
        <f t="shared" si="2"/>
        <v>3.4576069516816482E-3</v>
      </c>
      <c r="I56" s="46">
        <f t="shared" si="3"/>
        <v>3.170110709554909E-5</v>
      </c>
      <c r="J56" s="45">
        <f t="shared" si="4"/>
        <v>131.38906416390265</v>
      </c>
      <c r="K56" s="45">
        <f t="shared" si="5"/>
        <v>85.05713101136854</v>
      </c>
      <c r="L56" s="45">
        <f t="shared" si="6"/>
        <v>93.355387695404502</v>
      </c>
      <c r="M56" s="44">
        <f t="shared" si="7"/>
        <v>309.8015828706757</v>
      </c>
    </row>
    <row r="57" spans="1:13" ht="15.6" x14ac:dyDescent="0.3">
      <c r="A57" s="52" t="s">
        <v>282</v>
      </c>
      <c r="B57" s="49">
        <v>2040.0941970000001</v>
      </c>
      <c r="C57" s="49">
        <v>217.68783225000001</v>
      </c>
      <c r="D57" s="50">
        <f t="shared" si="0"/>
        <v>-0.89329520540271412</v>
      </c>
      <c r="E57" s="49">
        <v>49388006.789999999</v>
      </c>
      <c r="F57" s="49">
        <v>12815232.919350211</v>
      </c>
      <c r="G57" s="48">
        <f t="shared" si="1"/>
        <v>-0.74051933349241739</v>
      </c>
      <c r="H57" s="47">
        <f t="shared" si="2"/>
        <v>7.1802839856127719E-3</v>
      </c>
      <c r="I57" s="46">
        <f t="shared" si="3"/>
        <v>3.0699107695794033E-2</v>
      </c>
      <c r="J57" s="45">
        <f t="shared" si="4"/>
        <v>272.85079145328535</v>
      </c>
      <c r="K57" s="45">
        <f t="shared" si="5"/>
        <v>176.6349860460742</v>
      </c>
      <c r="L57" s="45">
        <f t="shared" si="6"/>
        <v>193.86766761154485</v>
      </c>
      <c r="M57" s="44">
        <f t="shared" si="7"/>
        <v>643.35344511090443</v>
      </c>
    </row>
    <row r="58" spans="1:13" ht="15.6" x14ac:dyDescent="0.3">
      <c r="A58" s="52" t="s">
        <v>281</v>
      </c>
      <c r="B58" s="49">
        <v>0</v>
      </c>
      <c r="C58" s="49">
        <v>122.22934395</v>
      </c>
      <c r="D58" s="50">
        <f t="shared" si="0"/>
        <v>1</v>
      </c>
      <c r="E58" s="49">
        <v>0</v>
      </c>
      <c r="F58" s="49">
        <v>5831105.4526830493</v>
      </c>
      <c r="G58" s="48">
        <f t="shared" si="1"/>
        <v>1</v>
      </c>
      <c r="H58" s="47">
        <f t="shared" si="2"/>
        <v>3.2671269702090095E-3</v>
      </c>
      <c r="I58" s="46">
        <f t="shared" si="3"/>
        <v>0</v>
      </c>
      <c r="J58" s="45">
        <f t="shared" si="4"/>
        <v>124.15082486794236</v>
      </c>
      <c r="K58" s="45">
        <f t="shared" si="5"/>
        <v>80.371323467141636</v>
      </c>
      <c r="L58" s="45">
        <f t="shared" si="6"/>
        <v>88.212428195643255</v>
      </c>
      <c r="M58" s="44">
        <f t="shared" si="7"/>
        <v>292.73457653072728</v>
      </c>
    </row>
    <row r="59" spans="1:13" ht="15.6" x14ac:dyDescent="0.3">
      <c r="A59" s="52" t="s">
        <v>280</v>
      </c>
      <c r="B59" s="49">
        <v>0</v>
      </c>
      <c r="C59" s="49">
        <v>157.81229730000004</v>
      </c>
      <c r="D59" s="50">
        <f t="shared" si="0"/>
        <v>1</v>
      </c>
      <c r="E59" s="49">
        <v>0</v>
      </c>
      <c r="F59" s="49">
        <v>7398771.6759234304</v>
      </c>
      <c r="G59" s="48">
        <f t="shared" si="1"/>
        <v>1</v>
      </c>
      <c r="H59" s="47">
        <f t="shared" si="2"/>
        <v>4.1454792208749074E-3</v>
      </c>
      <c r="I59" s="46">
        <f t="shared" si="3"/>
        <v>0</v>
      </c>
      <c r="J59" s="45">
        <f t="shared" si="4"/>
        <v>157.5282103932465</v>
      </c>
      <c r="K59" s="45">
        <f t="shared" si="5"/>
        <v>101.97878883352273</v>
      </c>
      <c r="L59" s="45">
        <f t="shared" si="6"/>
        <v>111.92793896362249</v>
      </c>
      <c r="M59" s="44">
        <f t="shared" si="7"/>
        <v>371.43493819039168</v>
      </c>
    </row>
    <row r="60" spans="1:13" ht="15.6" x14ac:dyDescent="0.3">
      <c r="A60" s="52" t="s">
        <v>279</v>
      </c>
      <c r="B60" s="49">
        <v>0</v>
      </c>
      <c r="C60" s="49">
        <v>168.68556075000001</v>
      </c>
      <c r="D60" s="50">
        <f t="shared" si="0"/>
        <v>1</v>
      </c>
      <c r="E60" s="49">
        <v>0</v>
      </c>
      <c r="F60" s="49">
        <v>8376671.0115159852</v>
      </c>
      <c r="G60" s="48">
        <f t="shared" si="1"/>
        <v>1</v>
      </c>
      <c r="H60" s="47">
        <f t="shared" si="2"/>
        <v>4.6933892731607632E-3</v>
      </c>
      <c r="I60" s="46">
        <f t="shared" si="3"/>
        <v>0</v>
      </c>
      <c r="J60" s="45">
        <f t="shared" si="4"/>
        <v>178.34879238010899</v>
      </c>
      <c r="K60" s="45">
        <f t="shared" si="5"/>
        <v>115.45737611975477</v>
      </c>
      <c r="L60" s="45">
        <f t="shared" si="6"/>
        <v>126.7215103753406</v>
      </c>
      <c r="M60" s="44">
        <f t="shared" si="7"/>
        <v>420.52767887520434</v>
      </c>
    </row>
    <row r="61" spans="1:13" ht="16.2" thickBot="1" x14ac:dyDescent="0.35">
      <c r="A61" s="51" t="s">
        <v>278</v>
      </c>
      <c r="B61" s="49">
        <v>0</v>
      </c>
      <c r="C61" s="49">
        <v>133.8542625</v>
      </c>
      <c r="D61" s="50">
        <f t="shared" si="0"/>
        <v>1</v>
      </c>
      <c r="E61" s="49">
        <v>0</v>
      </c>
      <c r="F61" s="49">
        <v>5114954.4892369546</v>
      </c>
      <c r="G61" s="48">
        <f t="shared" si="1"/>
        <v>1</v>
      </c>
      <c r="H61" s="47">
        <f t="shared" si="2"/>
        <v>2.8658726717913194E-3</v>
      </c>
      <c r="I61" s="46">
        <f t="shared" si="3"/>
        <v>0</v>
      </c>
      <c r="J61" s="45">
        <f t="shared" si="4"/>
        <v>108.90316152807014</v>
      </c>
      <c r="K61" s="45">
        <f t="shared" si="5"/>
        <v>70.500467726066461</v>
      </c>
      <c r="L61" s="45">
        <f t="shared" si="6"/>
        <v>77.378562138365623</v>
      </c>
      <c r="M61" s="44">
        <f t="shared" si="7"/>
        <v>256.78219139250223</v>
      </c>
    </row>
    <row r="62" spans="1:13" ht="16.2" thickBot="1" x14ac:dyDescent="0.35">
      <c r="A62" s="43" t="s">
        <v>277</v>
      </c>
      <c r="B62" s="42">
        <v>2775.5458170000002</v>
      </c>
      <c r="C62" s="40">
        <v>1098.5118406500001</v>
      </c>
      <c r="D62" s="41">
        <f t="shared" si="0"/>
        <v>-0.60421772398001816</v>
      </c>
      <c r="E62" s="40">
        <v>70551930.689999998</v>
      </c>
      <c r="F62" s="40">
        <v>60734212.349999994</v>
      </c>
      <c r="G62" s="39">
        <f t="shared" si="1"/>
        <v>-0.13915591315478434</v>
      </c>
      <c r="H62" s="38">
        <f t="shared" si="2"/>
        <v>3.4028947820140133E-2</v>
      </c>
      <c r="I62" s="37">
        <f t="shared" si="3"/>
        <v>4.3854398247087194E-2</v>
      </c>
      <c r="J62" s="36">
        <f t="shared" si="4"/>
        <v>1293.100017165325</v>
      </c>
      <c r="K62" s="36">
        <f t="shared" si="5"/>
        <v>837.11211637544727</v>
      </c>
      <c r="L62" s="36">
        <f t="shared" si="6"/>
        <v>918.78159114378354</v>
      </c>
      <c r="M62" s="36">
        <f t="shared" si="7"/>
        <v>3048.9937246845557</v>
      </c>
    </row>
    <row r="63" spans="1:13" ht="16.2" thickBot="1" x14ac:dyDescent="0.35">
      <c r="A63" s="35" t="s">
        <v>276</v>
      </c>
      <c r="B63" s="34">
        <v>5362.6914630000001</v>
      </c>
      <c r="C63" s="32">
        <v>2338.7150881500002</v>
      </c>
      <c r="D63" s="33">
        <f t="shared" si="0"/>
        <v>-0.56389154507843442</v>
      </c>
      <c r="E63" s="32">
        <v>136718773.005</v>
      </c>
      <c r="F63" s="32">
        <v>121156895.61499999</v>
      </c>
      <c r="G63" s="31">
        <f t="shared" si="1"/>
        <v>-0.11382399832853153</v>
      </c>
      <c r="H63" s="30">
        <f t="shared" si="2"/>
        <v>6.7883348106563532E-2</v>
      </c>
      <c r="I63" s="29">
        <f t="shared" si="3"/>
        <v>8.4983067941246493E-2</v>
      </c>
      <c r="J63" s="28">
        <f t="shared" si="4"/>
        <v>2579.5672280494141</v>
      </c>
      <c r="K63" s="28">
        <f t="shared" si="5"/>
        <v>1669.930363421463</v>
      </c>
      <c r="L63" s="28">
        <f t="shared" si="6"/>
        <v>1832.8503988772154</v>
      </c>
      <c r="M63" s="28">
        <f t="shared" si="7"/>
        <v>6082.3479903480929</v>
      </c>
    </row>
    <row r="64" spans="1:13" ht="15.6" x14ac:dyDescent="0.3">
      <c r="A64" s="99" t="s">
        <v>275</v>
      </c>
      <c r="B64" s="49">
        <v>625.97349000000008</v>
      </c>
      <c r="C64" s="49">
        <v>273.67446749999999</v>
      </c>
      <c r="D64" s="50">
        <f t="shared" si="0"/>
        <v>-0.5628018248823925</v>
      </c>
      <c r="E64" s="49">
        <v>19590468.84</v>
      </c>
      <c r="F64" s="49">
        <v>13999018.154979145</v>
      </c>
      <c r="G64" s="48">
        <f t="shared" si="1"/>
        <v>-0.28541688974815033</v>
      </c>
      <c r="H64" s="47">
        <f t="shared" si="2"/>
        <v>7.8435504454019596E-3</v>
      </c>
      <c r="I64" s="46">
        <f t="shared" si="3"/>
        <v>1.217724609311485E-2</v>
      </c>
      <c r="J64" s="45">
        <f t="shared" si="4"/>
        <v>298.05491692527448</v>
      </c>
      <c r="K64" s="45">
        <f t="shared" si="5"/>
        <v>192.9513409568882</v>
      </c>
      <c r="L64" s="45">
        <f t="shared" si="6"/>
        <v>211.77586202585292</v>
      </c>
      <c r="M64" s="44">
        <f t="shared" si="7"/>
        <v>702.7821199080156</v>
      </c>
    </row>
    <row r="65" spans="1:13" ht="15.6" x14ac:dyDescent="0.3">
      <c r="A65" s="55" t="s">
        <v>274</v>
      </c>
      <c r="B65" s="49">
        <v>0</v>
      </c>
      <c r="C65" s="49">
        <v>144.3924825</v>
      </c>
      <c r="D65" s="50">
        <f t="shared" si="0"/>
        <v>1</v>
      </c>
      <c r="E65" s="49">
        <v>0</v>
      </c>
      <c r="F65" s="49">
        <v>6997169.2950208578</v>
      </c>
      <c r="G65" s="48">
        <f t="shared" si="1"/>
        <v>1</v>
      </c>
      <c r="H65" s="47">
        <f t="shared" si="2"/>
        <v>3.9204642592018651E-3</v>
      </c>
      <c r="I65" s="46">
        <f t="shared" si="3"/>
        <v>0</v>
      </c>
      <c r="J65" s="45">
        <f t="shared" si="4"/>
        <v>148.97764184967087</v>
      </c>
      <c r="K65" s="45">
        <f t="shared" si="5"/>
        <v>96.443420776365883</v>
      </c>
      <c r="L65" s="45">
        <f t="shared" si="6"/>
        <v>105.85253499845035</v>
      </c>
      <c r="M65" s="44">
        <f t="shared" si="7"/>
        <v>351.27359762448714</v>
      </c>
    </row>
    <row r="66" spans="1:13" ht="15.6" x14ac:dyDescent="0.3">
      <c r="A66" s="55" t="s">
        <v>273</v>
      </c>
      <c r="B66" s="49">
        <v>209.4315</v>
      </c>
      <c r="C66" s="49">
        <v>189.63446250000001</v>
      </c>
      <c r="D66" s="50">
        <f t="shared" si="0"/>
        <v>-9.4527506607172213E-2</v>
      </c>
      <c r="E66" s="49">
        <v>5480215.2000000002</v>
      </c>
      <c r="F66" s="49">
        <v>8884300.9500000011</v>
      </c>
      <c r="G66" s="48">
        <f t="shared" si="1"/>
        <v>0.62115913805720635</v>
      </c>
      <c r="H66" s="47">
        <f t="shared" si="2"/>
        <v>4.9778107222950008E-3</v>
      </c>
      <c r="I66" s="46">
        <f t="shared" si="3"/>
        <v>3.4064488031736468E-3</v>
      </c>
      <c r="J66" s="45">
        <f t="shared" si="4"/>
        <v>189.15680744721004</v>
      </c>
      <c r="K66" s="45">
        <f t="shared" si="5"/>
        <v>122.45414376845702</v>
      </c>
      <c r="L66" s="45">
        <f t="shared" si="6"/>
        <v>134.40088950196503</v>
      </c>
      <c r="M66" s="44">
        <f t="shared" si="7"/>
        <v>446.01184071763208</v>
      </c>
    </row>
    <row r="67" spans="1:13" ht="15.6" x14ac:dyDescent="0.3">
      <c r="A67" s="55" t="s">
        <v>272</v>
      </c>
      <c r="B67" s="49">
        <v>135.44044500000001</v>
      </c>
      <c r="C67" s="49">
        <v>165.73730250000003</v>
      </c>
      <c r="D67" s="50">
        <f t="shared" si="0"/>
        <v>0.22369136117354024</v>
      </c>
      <c r="E67" s="49">
        <v>3119160</v>
      </c>
      <c r="F67" s="49">
        <v>7416675</v>
      </c>
      <c r="G67" s="48">
        <f t="shared" si="1"/>
        <v>1.3777795945062132</v>
      </c>
      <c r="H67" s="47">
        <f t="shared" si="2"/>
        <v>4.1555103261981764E-3</v>
      </c>
      <c r="I67" s="46">
        <f t="shared" si="3"/>
        <v>1.9388397099637826E-3</v>
      </c>
      <c r="J67" s="45">
        <f t="shared" si="4"/>
        <v>157.90939239553072</v>
      </c>
      <c r="K67" s="45">
        <f t="shared" si="5"/>
        <v>102.22555402447514</v>
      </c>
      <c r="L67" s="45">
        <f t="shared" si="6"/>
        <v>112.19877880735076</v>
      </c>
      <c r="M67" s="44">
        <f t="shared" si="7"/>
        <v>372.33372522735664</v>
      </c>
    </row>
    <row r="68" spans="1:13" ht="15.6" x14ac:dyDescent="0.3">
      <c r="A68" s="55" t="s">
        <v>271</v>
      </c>
      <c r="B68" s="49">
        <v>372.48375300000004</v>
      </c>
      <c r="C68" s="49">
        <v>228.40629000000004</v>
      </c>
      <c r="D68" s="50">
        <f t="shared" si="0"/>
        <v>-0.3868020063683153</v>
      </c>
      <c r="E68" s="49">
        <v>9816480</v>
      </c>
      <c r="F68" s="49">
        <v>10339340.550000001</v>
      </c>
      <c r="G68" s="48">
        <f t="shared" si="1"/>
        <v>5.3263547626033032E-2</v>
      </c>
      <c r="H68" s="47">
        <f t="shared" si="2"/>
        <v>5.7930590758803018E-3</v>
      </c>
      <c r="I68" s="46">
        <f t="shared" si="3"/>
        <v>6.1018290937512893E-3</v>
      </c>
      <c r="J68" s="45">
        <f t="shared" si="4"/>
        <v>220.13624488345147</v>
      </c>
      <c r="K68" s="45">
        <f t="shared" si="5"/>
        <v>142.50925326665543</v>
      </c>
      <c r="L68" s="45">
        <f t="shared" si="6"/>
        <v>156.41259504876814</v>
      </c>
      <c r="M68" s="44">
        <f t="shared" si="7"/>
        <v>519.05809319887499</v>
      </c>
    </row>
    <row r="69" spans="1:13" ht="15.6" x14ac:dyDescent="0.3">
      <c r="A69" s="55" t="s">
        <v>270</v>
      </c>
      <c r="B69" s="49">
        <v>1313.5503900000001</v>
      </c>
      <c r="C69" s="49">
        <v>403.90361024999999</v>
      </c>
      <c r="D69" s="50">
        <f t="shared" ref="D69:D132" si="8">IFERROR((C69-B69)/B69,100%)</f>
        <v>-0.69250999936896229</v>
      </c>
      <c r="E69" s="49">
        <v>63328602.300000004</v>
      </c>
      <c r="F69" s="49">
        <v>13351232.988534482</v>
      </c>
      <c r="G69" s="48">
        <f t="shared" ref="G69:G132" si="9">IFERROR((F69-E69)/E69,100%)</f>
        <v>-0.78917530936042024</v>
      </c>
      <c r="H69" s="47">
        <f t="shared" ref="H69:H132" si="10">F69/$F$3</f>
        <v>7.4806010174819281E-3</v>
      </c>
      <c r="I69" s="46">
        <f t="shared" ref="I69:I132" si="11">E69/$E$3</f>
        <v>3.9364447131837975E-2</v>
      </c>
      <c r="J69" s="45">
        <f t="shared" ref="J69:J132" si="12">$J$3*H69</f>
        <v>284.26283866431328</v>
      </c>
      <c r="K69" s="45">
        <f t="shared" ref="K69:K132" si="13">$K$3*H69</f>
        <v>184.02278503005545</v>
      </c>
      <c r="L69" s="45">
        <f t="shared" ref="L69:L132" si="14">$L$3*H69</f>
        <v>201.97622747201206</v>
      </c>
      <c r="M69" s="44">
        <f t="shared" ref="M69:M132" si="15">SUM(J69:L69)</f>
        <v>670.26185116638078</v>
      </c>
    </row>
    <row r="70" spans="1:13" ht="15.6" x14ac:dyDescent="0.3">
      <c r="A70" s="55" t="s">
        <v>269</v>
      </c>
      <c r="B70" s="49">
        <v>0</v>
      </c>
      <c r="C70" s="49">
        <v>557.85869685</v>
      </c>
      <c r="D70" s="50">
        <f t="shared" si="8"/>
        <v>1</v>
      </c>
      <c r="E70" s="49">
        <v>0</v>
      </c>
      <c r="F70" s="49">
        <v>18125747.861465517</v>
      </c>
      <c r="G70" s="48">
        <f t="shared" si="9"/>
        <v>1</v>
      </c>
      <c r="H70" s="47">
        <f t="shared" si="10"/>
        <v>1.0155727790200389E-2</v>
      </c>
      <c r="I70" s="46">
        <f t="shared" si="11"/>
        <v>0</v>
      </c>
      <c r="J70" s="45">
        <f t="shared" si="12"/>
        <v>385.91765602761478</v>
      </c>
      <c r="K70" s="45">
        <f t="shared" si="13"/>
        <v>249.83090363892958</v>
      </c>
      <c r="L70" s="45">
        <f t="shared" si="14"/>
        <v>274.20465033541052</v>
      </c>
      <c r="M70" s="44">
        <f t="shared" si="15"/>
        <v>909.95321000195486</v>
      </c>
    </row>
    <row r="71" spans="1:13" x14ac:dyDescent="0.3">
      <c r="A71" s="98" t="s">
        <v>268</v>
      </c>
      <c r="B71" s="49">
        <v>0</v>
      </c>
      <c r="C71" s="49">
        <v>100.910775</v>
      </c>
      <c r="D71" s="50">
        <f t="shared" si="8"/>
        <v>1</v>
      </c>
      <c r="E71" s="49">
        <v>0</v>
      </c>
      <c r="F71" s="49">
        <v>4277708.4000000004</v>
      </c>
      <c r="G71" s="48">
        <f t="shared" si="9"/>
        <v>1</v>
      </c>
      <c r="H71" s="47">
        <f t="shared" si="10"/>
        <v>2.3967696344608172E-3</v>
      </c>
      <c r="I71" s="46">
        <f t="shared" si="11"/>
        <v>0</v>
      </c>
      <c r="J71" s="45">
        <f t="shared" si="12"/>
        <v>91.077246109511051</v>
      </c>
      <c r="K71" s="45">
        <f t="shared" si="13"/>
        <v>58.960533007736103</v>
      </c>
      <c r="L71" s="45">
        <f t="shared" si="14"/>
        <v>64.71278013044207</v>
      </c>
      <c r="M71" s="44">
        <f t="shared" si="15"/>
        <v>214.75055924768924</v>
      </c>
    </row>
    <row r="72" spans="1:13" ht="15" thickBot="1" x14ac:dyDescent="0.35">
      <c r="A72" s="97" t="s">
        <v>267</v>
      </c>
      <c r="B72" s="49">
        <v>0</v>
      </c>
      <c r="C72" s="49">
        <v>63.105000000000004</v>
      </c>
      <c r="D72" s="50">
        <f t="shared" si="8"/>
        <v>1</v>
      </c>
      <c r="E72" s="49">
        <v>0</v>
      </c>
      <c r="F72" s="49">
        <v>6005223</v>
      </c>
      <c r="G72" s="48">
        <f t="shared" si="9"/>
        <v>1</v>
      </c>
      <c r="H72" s="47">
        <f t="shared" si="10"/>
        <v>3.3646837953156625E-3</v>
      </c>
      <c r="I72" s="46">
        <f t="shared" si="11"/>
        <v>0</v>
      </c>
      <c r="J72" s="45">
        <f t="shared" si="12"/>
        <v>127.85798422199518</v>
      </c>
      <c r="K72" s="45">
        <f t="shared" si="13"/>
        <v>82.771221364765296</v>
      </c>
      <c r="L72" s="45">
        <f t="shared" si="14"/>
        <v>90.846462473522891</v>
      </c>
      <c r="M72" s="44">
        <f t="shared" si="15"/>
        <v>301.47566806028334</v>
      </c>
    </row>
    <row r="73" spans="1:13" ht="16.2" thickBot="1" x14ac:dyDescent="0.35">
      <c r="A73" s="56" t="s">
        <v>266</v>
      </c>
      <c r="B73" s="42">
        <v>2656.879578</v>
      </c>
      <c r="C73" s="40">
        <v>2127.6230870999998</v>
      </c>
      <c r="D73" s="41">
        <f t="shared" si="8"/>
        <v>-0.19920228800825246</v>
      </c>
      <c r="E73" s="40">
        <v>101334926.34</v>
      </c>
      <c r="F73" s="40">
        <v>89396416.200000003</v>
      </c>
      <c r="G73" s="39">
        <f t="shared" si="9"/>
        <v>-0.11781239273756204</v>
      </c>
      <c r="H73" s="38">
        <f t="shared" si="10"/>
        <v>5.0088177066436104E-2</v>
      </c>
      <c r="I73" s="37">
        <f t="shared" si="11"/>
        <v>6.2988810831841546E-2</v>
      </c>
      <c r="J73" s="36">
        <f t="shared" si="12"/>
        <v>1903.3507285245719</v>
      </c>
      <c r="K73" s="36">
        <f t="shared" si="13"/>
        <v>1232.1691558343282</v>
      </c>
      <c r="L73" s="36">
        <f t="shared" si="14"/>
        <v>1352.3807807937749</v>
      </c>
      <c r="M73" s="36">
        <f t="shared" si="15"/>
        <v>4487.9006651526752</v>
      </c>
    </row>
    <row r="74" spans="1:13" ht="15.6" x14ac:dyDescent="0.3">
      <c r="A74" s="64" t="s">
        <v>265</v>
      </c>
      <c r="B74" s="49">
        <v>333.18187800000004</v>
      </c>
      <c r="C74" s="49">
        <v>207.30595200000002</v>
      </c>
      <c r="D74" s="50">
        <f t="shared" si="8"/>
        <v>-0.37779943721909148</v>
      </c>
      <c r="E74" s="49">
        <v>12309859.800000001</v>
      </c>
      <c r="F74" s="49">
        <v>8555381.9723076914</v>
      </c>
      <c r="G74" s="48">
        <f t="shared" si="9"/>
        <v>-0.30499761075201759</v>
      </c>
      <c r="H74" s="47">
        <f t="shared" si="10"/>
        <v>4.7935197552129941E-3</v>
      </c>
      <c r="I74" s="46">
        <f t="shared" si="11"/>
        <v>7.6516898794312662E-3</v>
      </c>
      <c r="J74" s="45">
        <f t="shared" si="12"/>
        <v>182.15375069809377</v>
      </c>
      <c r="K74" s="45">
        <f t="shared" si="13"/>
        <v>117.92058597823966</v>
      </c>
      <c r="L74" s="45">
        <f t="shared" si="14"/>
        <v>129.42503339075085</v>
      </c>
      <c r="M74" s="44">
        <f t="shared" si="15"/>
        <v>429.49937006708427</v>
      </c>
    </row>
    <row r="75" spans="1:13" ht="15.6" x14ac:dyDescent="0.3">
      <c r="A75" s="86" t="s">
        <v>264</v>
      </c>
      <c r="B75" s="49">
        <v>0</v>
      </c>
      <c r="C75" s="49">
        <v>97.979290500000019</v>
      </c>
      <c r="D75" s="50">
        <f t="shared" si="8"/>
        <v>1</v>
      </c>
      <c r="E75" s="49">
        <v>0</v>
      </c>
      <c r="F75" s="49">
        <v>4552286.7276923079</v>
      </c>
      <c r="G75" s="48">
        <f t="shared" si="9"/>
        <v>1</v>
      </c>
      <c r="H75" s="47">
        <f t="shared" si="10"/>
        <v>2.550613921297656E-3</v>
      </c>
      <c r="I75" s="46">
        <f t="shared" si="11"/>
        <v>0</v>
      </c>
      <c r="J75" s="45">
        <f t="shared" si="12"/>
        <v>96.923329009310933</v>
      </c>
      <c r="K75" s="45">
        <f t="shared" si="13"/>
        <v>62.745102463922336</v>
      </c>
      <c r="L75" s="45">
        <f t="shared" si="14"/>
        <v>68.866575875036716</v>
      </c>
      <c r="M75" s="44">
        <f t="shared" si="15"/>
        <v>228.53500734827</v>
      </c>
    </row>
    <row r="76" spans="1:13" ht="15.6" x14ac:dyDescent="0.3">
      <c r="A76" s="96" t="s">
        <v>263</v>
      </c>
      <c r="B76" s="49">
        <v>406.45342499999998</v>
      </c>
      <c r="C76" s="49">
        <v>253.44690000000003</v>
      </c>
      <c r="D76" s="50">
        <f t="shared" si="8"/>
        <v>-0.37644294669186257</v>
      </c>
      <c r="E76" s="49">
        <v>13853538</v>
      </c>
      <c r="F76" s="49">
        <v>12390643.65</v>
      </c>
      <c r="G76" s="48">
        <f t="shared" si="9"/>
        <v>-0.10559716586477762</v>
      </c>
      <c r="H76" s="47">
        <f t="shared" si="10"/>
        <v>6.9423896336049326E-3</v>
      </c>
      <c r="I76" s="46">
        <f t="shared" si="11"/>
        <v>8.6112253292207636E-3</v>
      </c>
      <c r="J76" s="45">
        <f t="shared" si="12"/>
        <v>263.81080607698743</v>
      </c>
      <c r="K76" s="45">
        <f t="shared" si="13"/>
        <v>170.78278498668135</v>
      </c>
      <c r="L76" s="45">
        <f t="shared" si="14"/>
        <v>187.44452010733318</v>
      </c>
      <c r="M76" s="44">
        <f t="shared" si="15"/>
        <v>622.0381111710019</v>
      </c>
    </row>
    <row r="77" spans="1:13" ht="15.6" x14ac:dyDescent="0.3">
      <c r="A77" s="55" t="s">
        <v>262</v>
      </c>
      <c r="B77" s="49">
        <v>429.21854999999999</v>
      </c>
      <c r="C77" s="49">
        <v>289.98301500000002</v>
      </c>
      <c r="D77" s="50">
        <f t="shared" si="8"/>
        <v>-0.32439309764221508</v>
      </c>
      <c r="E77" s="49">
        <v>21142670.16</v>
      </c>
      <c r="F77" s="49">
        <v>17229093</v>
      </c>
      <c r="G77" s="48">
        <f t="shared" si="9"/>
        <v>-0.18510325944563666</v>
      </c>
      <c r="H77" s="47">
        <f t="shared" si="10"/>
        <v>9.6533384397359621E-3</v>
      </c>
      <c r="I77" s="46">
        <f t="shared" si="11"/>
        <v>1.3142079431922159E-2</v>
      </c>
      <c r="J77" s="45">
        <f t="shared" si="12"/>
        <v>366.82686070996658</v>
      </c>
      <c r="K77" s="45">
        <f t="shared" si="13"/>
        <v>237.47212561750467</v>
      </c>
      <c r="L77" s="45">
        <f t="shared" si="14"/>
        <v>260.64013787287098</v>
      </c>
      <c r="M77" s="44">
        <f t="shared" si="15"/>
        <v>864.93912420034235</v>
      </c>
    </row>
    <row r="78" spans="1:13" ht="15.6" x14ac:dyDescent="0.3">
      <c r="A78" s="55" t="s">
        <v>261</v>
      </c>
      <c r="B78" s="49">
        <v>577.92460500000004</v>
      </c>
      <c r="C78" s="49">
        <v>254.21077500000001</v>
      </c>
      <c r="D78" s="50">
        <f t="shared" si="8"/>
        <v>-0.56013159363581688</v>
      </c>
      <c r="E78" s="49">
        <v>15961776</v>
      </c>
      <c r="F78" s="49">
        <v>12504519.300000001</v>
      </c>
      <c r="G78" s="48">
        <f t="shared" si="9"/>
        <v>-0.21659599157386994</v>
      </c>
      <c r="H78" s="47">
        <f t="shared" si="10"/>
        <v>7.0061933515078384E-3</v>
      </c>
      <c r="I78" s="46">
        <f t="shared" si="11"/>
        <v>9.9216856943365721E-3</v>
      </c>
      <c r="J78" s="45">
        <f t="shared" si="12"/>
        <v>266.23534735729788</v>
      </c>
      <c r="K78" s="45">
        <f t="shared" si="13"/>
        <v>172.35235644709283</v>
      </c>
      <c r="L78" s="45">
        <f t="shared" si="14"/>
        <v>189.16722049071163</v>
      </c>
      <c r="M78" s="44">
        <f t="shared" si="15"/>
        <v>627.75492429510234</v>
      </c>
    </row>
    <row r="79" spans="1:13" ht="15.6" x14ac:dyDescent="0.3">
      <c r="A79" s="55" t="s">
        <v>260</v>
      </c>
      <c r="B79" s="49">
        <v>49.158900000000003</v>
      </c>
      <c r="C79" s="49">
        <v>139.17330000000004</v>
      </c>
      <c r="D79" s="50">
        <f t="shared" si="8"/>
        <v>1.8310906061771119</v>
      </c>
      <c r="E79" s="49">
        <v>1455467.58</v>
      </c>
      <c r="F79" s="49">
        <v>9454324.9500000011</v>
      </c>
      <c r="G79" s="48">
        <f t="shared" si="9"/>
        <v>5.4957303617851805</v>
      </c>
      <c r="H79" s="47">
        <f t="shared" si="10"/>
        <v>5.2971911209481427E-3</v>
      </c>
      <c r="I79" s="46">
        <f t="shared" si="11"/>
        <v>9.0470458093489545E-4</v>
      </c>
      <c r="J79" s="45">
        <f t="shared" si="12"/>
        <v>201.29326259602942</v>
      </c>
      <c r="K79" s="45">
        <f t="shared" si="13"/>
        <v>130.31090157532432</v>
      </c>
      <c r="L79" s="45">
        <f t="shared" si="14"/>
        <v>143.02416026559985</v>
      </c>
      <c r="M79" s="44">
        <f t="shared" si="15"/>
        <v>474.62832443695362</v>
      </c>
    </row>
    <row r="80" spans="1:13" ht="15.6" x14ac:dyDescent="0.3">
      <c r="A80" s="55" t="s">
        <v>259</v>
      </c>
      <c r="B80" s="49">
        <v>0</v>
      </c>
      <c r="C80" s="49">
        <v>88.293115050000011</v>
      </c>
      <c r="D80" s="50">
        <f t="shared" si="8"/>
        <v>1</v>
      </c>
      <c r="E80" s="49">
        <v>0</v>
      </c>
      <c r="F80" s="49">
        <v>4626520.9565217393</v>
      </c>
      <c r="G80" s="48">
        <f t="shared" si="9"/>
        <v>1</v>
      </c>
      <c r="H80" s="47">
        <f t="shared" si="10"/>
        <v>2.5922068324685053E-3</v>
      </c>
      <c r="I80" s="46">
        <f t="shared" si="11"/>
        <v>0</v>
      </c>
      <c r="J80" s="45">
        <f t="shared" si="12"/>
        <v>98.503859633803202</v>
      </c>
      <c r="K80" s="45">
        <f t="shared" si="13"/>
        <v>63.768288078725227</v>
      </c>
      <c r="L80" s="45">
        <f t="shared" si="14"/>
        <v>69.98958447664964</v>
      </c>
      <c r="M80" s="44">
        <f t="shared" si="15"/>
        <v>232.26173218917808</v>
      </c>
    </row>
    <row r="81" spans="1:13" ht="16.2" thickBot="1" x14ac:dyDescent="0.35">
      <c r="A81" s="93" t="s">
        <v>258</v>
      </c>
      <c r="B81" s="49">
        <v>319.63995</v>
      </c>
      <c r="C81" s="49">
        <v>127.35693704999998</v>
      </c>
      <c r="D81" s="50">
        <f t="shared" si="8"/>
        <v>-0.60156126588682046</v>
      </c>
      <c r="E81" s="49">
        <v>10013238</v>
      </c>
      <c r="F81" s="49">
        <v>6697107.4434782611</v>
      </c>
      <c r="G81" s="48">
        <f t="shared" si="9"/>
        <v>-0.33117464665493207</v>
      </c>
      <c r="H81" s="47">
        <f t="shared" si="10"/>
        <v>3.7523417349462642E-3</v>
      </c>
      <c r="I81" s="46">
        <f t="shared" si="11"/>
        <v>6.2241319649259177E-3</v>
      </c>
      <c r="J81" s="45">
        <f t="shared" si="12"/>
        <v>142.58898592795805</v>
      </c>
      <c r="K81" s="45">
        <f t="shared" si="13"/>
        <v>92.307606679678102</v>
      </c>
      <c r="L81" s="45">
        <f t="shared" si="14"/>
        <v>101.31322684354913</v>
      </c>
      <c r="M81" s="44">
        <f t="shared" si="15"/>
        <v>336.20981945118524</v>
      </c>
    </row>
    <row r="82" spans="1:13" ht="16.2" thickBot="1" x14ac:dyDescent="0.35">
      <c r="A82" s="87" t="s">
        <v>257</v>
      </c>
      <c r="B82" s="42">
        <v>2115.5773079999999</v>
      </c>
      <c r="C82" s="40">
        <v>1457.7492846000002</v>
      </c>
      <c r="D82" s="41">
        <f t="shared" si="8"/>
        <v>-0.31094492312450145</v>
      </c>
      <c r="E82" s="40">
        <v>74736549.539999992</v>
      </c>
      <c r="F82" s="40">
        <v>76009878</v>
      </c>
      <c r="G82" s="39">
        <f t="shared" si="9"/>
        <v>1.7037560174202396E-2</v>
      </c>
      <c r="H82" s="38">
        <f t="shared" si="10"/>
        <v>4.2587794789722293E-2</v>
      </c>
      <c r="I82" s="37">
        <f t="shared" si="11"/>
        <v>4.6455516880771569E-2</v>
      </c>
      <c r="J82" s="36">
        <f t="shared" si="12"/>
        <v>1618.3362020094471</v>
      </c>
      <c r="K82" s="36">
        <f t="shared" si="13"/>
        <v>1047.6597518271683</v>
      </c>
      <c r="L82" s="36">
        <f t="shared" si="14"/>
        <v>1149.8704593225018</v>
      </c>
      <c r="M82" s="36">
        <f t="shared" si="15"/>
        <v>3815.8664131591177</v>
      </c>
    </row>
    <row r="83" spans="1:13" ht="15.6" x14ac:dyDescent="0.3">
      <c r="A83" s="91" t="s">
        <v>256</v>
      </c>
      <c r="B83" s="49">
        <v>332.97466499999996</v>
      </c>
      <c r="C83" s="49">
        <v>117.2449845</v>
      </c>
      <c r="D83" s="50">
        <f t="shared" si="8"/>
        <v>-0.64788617025862916</v>
      </c>
      <c r="E83" s="49">
        <v>8812800</v>
      </c>
      <c r="F83" s="49">
        <v>7660299.01232816</v>
      </c>
      <c r="G83" s="48">
        <f t="shared" si="9"/>
        <v>-0.13077580197801381</v>
      </c>
      <c r="H83" s="47">
        <f t="shared" si="10"/>
        <v>4.2920111299868694E-3</v>
      </c>
      <c r="I83" s="46">
        <f t="shared" si="11"/>
        <v>5.4779513061108832E-3</v>
      </c>
      <c r="J83" s="45">
        <f t="shared" si="12"/>
        <v>163.09642293950102</v>
      </c>
      <c r="K83" s="45">
        <f t="shared" si="13"/>
        <v>105.58347379767699</v>
      </c>
      <c r="L83" s="45">
        <f t="shared" si="14"/>
        <v>115.88430050964547</v>
      </c>
      <c r="M83" s="44">
        <f t="shared" si="15"/>
        <v>384.56419724682348</v>
      </c>
    </row>
    <row r="84" spans="1:13" ht="15.6" x14ac:dyDescent="0.3">
      <c r="A84" s="86" t="s">
        <v>255</v>
      </c>
      <c r="B84" s="49">
        <v>0</v>
      </c>
      <c r="C84" s="49">
        <v>87.17507925000001</v>
      </c>
      <c r="D84" s="50">
        <f t="shared" si="8"/>
        <v>1</v>
      </c>
      <c r="E84" s="49">
        <v>0</v>
      </c>
      <c r="F84" s="49">
        <v>3655561.6793569839</v>
      </c>
      <c r="G84" s="48">
        <f t="shared" si="9"/>
        <v>1</v>
      </c>
      <c r="H84" s="47">
        <f t="shared" si="10"/>
        <v>2.0481852456285727E-3</v>
      </c>
      <c r="I84" s="46">
        <f t="shared" si="11"/>
        <v>0</v>
      </c>
      <c r="J84" s="45">
        <f t="shared" si="12"/>
        <v>77.831039333885769</v>
      </c>
      <c r="K84" s="45">
        <f t="shared" si="13"/>
        <v>50.385357042462886</v>
      </c>
      <c r="L84" s="45">
        <f t="shared" si="14"/>
        <v>55.301001631971467</v>
      </c>
      <c r="M84" s="44">
        <f t="shared" si="15"/>
        <v>183.51739800832013</v>
      </c>
    </row>
    <row r="85" spans="1:13" ht="15.6" x14ac:dyDescent="0.3">
      <c r="A85" s="86" t="s">
        <v>254</v>
      </c>
      <c r="B85" s="49">
        <v>0</v>
      </c>
      <c r="C85" s="49">
        <v>101.83170375</v>
      </c>
      <c r="D85" s="50">
        <f t="shared" si="8"/>
        <v>1</v>
      </c>
      <c r="E85" s="49">
        <v>0</v>
      </c>
      <c r="F85" s="49">
        <v>5082055.4583148556</v>
      </c>
      <c r="G85" s="48">
        <f t="shared" si="9"/>
        <v>1</v>
      </c>
      <c r="H85" s="47">
        <f t="shared" si="10"/>
        <v>2.8474395784282296E-3</v>
      </c>
      <c r="I85" s="46">
        <f t="shared" si="11"/>
        <v>0</v>
      </c>
      <c r="J85" s="45">
        <f t="shared" si="12"/>
        <v>108.20270398027273</v>
      </c>
      <c r="K85" s="45">
        <f t="shared" si="13"/>
        <v>70.047013629334444</v>
      </c>
      <c r="L85" s="45">
        <f t="shared" si="14"/>
        <v>76.8808686175622</v>
      </c>
      <c r="M85" s="44">
        <f t="shared" si="15"/>
        <v>255.13058622716937</v>
      </c>
    </row>
    <row r="86" spans="1:13" ht="15.6" x14ac:dyDescent="0.3">
      <c r="A86" s="95" t="s">
        <v>253</v>
      </c>
      <c r="B86" s="49">
        <v>0</v>
      </c>
      <c r="C86" s="49">
        <v>73.323576900000006</v>
      </c>
      <c r="D86" s="50">
        <f t="shared" si="8"/>
        <v>1</v>
      </c>
      <c r="E86" s="49">
        <v>0</v>
      </c>
      <c r="F86" s="49">
        <v>6540330.1302791322</v>
      </c>
      <c r="G86" s="48">
        <f t="shared" si="9"/>
        <v>1</v>
      </c>
      <c r="H86" s="47">
        <f t="shared" si="10"/>
        <v>3.6645005198582921E-3</v>
      </c>
      <c r="I86" s="46">
        <f t="shared" si="11"/>
        <v>0</v>
      </c>
      <c r="J86" s="45">
        <f t="shared" si="12"/>
        <v>139.2510197546151</v>
      </c>
      <c r="K86" s="45">
        <f t="shared" si="13"/>
        <v>90.14671278851398</v>
      </c>
      <c r="L86" s="45">
        <f t="shared" si="14"/>
        <v>98.941514036173885</v>
      </c>
      <c r="M86" s="44">
        <f t="shared" si="15"/>
        <v>328.33924657930299</v>
      </c>
    </row>
    <row r="87" spans="1:13" ht="15.6" x14ac:dyDescent="0.3">
      <c r="A87" s="94" t="s">
        <v>252</v>
      </c>
      <c r="B87" s="49">
        <v>509.13886500000001</v>
      </c>
      <c r="C87" s="49">
        <v>84.40322415</v>
      </c>
      <c r="D87" s="50">
        <f t="shared" si="8"/>
        <v>-0.83422356855432744</v>
      </c>
      <c r="E87" s="49">
        <v>17260822.5</v>
      </c>
      <c r="F87" s="49">
        <v>7677378.2082486972</v>
      </c>
      <c r="G87" s="48">
        <f t="shared" si="9"/>
        <v>-0.55521365171047343</v>
      </c>
      <c r="H87" s="47">
        <f t="shared" si="10"/>
        <v>4.3015804821576135E-3</v>
      </c>
      <c r="I87" s="46">
        <f t="shared" si="11"/>
        <v>1.0729160443720851E-2</v>
      </c>
      <c r="J87" s="45">
        <f t="shared" si="12"/>
        <v>163.46005832198932</v>
      </c>
      <c r="K87" s="45">
        <f t="shared" si="13"/>
        <v>105.81887986107729</v>
      </c>
      <c r="L87" s="45">
        <f t="shared" si="14"/>
        <v>116.14267301825556</v>
      </c>
      <c r="M87" s="44">
        <f t="shared" si="15"/>
        <v>385.42161120132215</v>
      </c>
    </row>
    <row r="88" spans="1:13" ht="16.2" thickBot="1" x14ac:dyDescent="0.35">
      <c r="A88" s="93" t="s">
        <v>251</v>
      </c>
      <c r="B88" s="49">
        <v>0</v>
      </c>
      <c r="C88" s="49">
        <v>96.644100000000009</v>
      </c>
      <c r="D88" s="50">
        <f t="shared" si="8"/>
        <v>1</v>
      </c>
      <c r="E88" s="49">
        <v>0</v>
      </c>
      <c r="F88" s="49">
        <v>8651300.8574999999</v>
      </c>
      <c r="G88" s="48">
        <f t="shared" si="9"/>
        <v>1</v>
      </c>
      <c r="H88" s="47">
        <f t="shared" si="10"/>
        <v>4.8472624253305405E-3</v>
      </c>
      <c r="I88" s="46">
        <f t="shared" si="11"/>
        <v>0</v>
      </c>
      <c r="J88" s="45">
        <f t="shared" si="12"/>
        <v>184.19597216256054</v>
      </c>
      <c r="K88" s="45">
        <f t="shared" si="13"/>
        <v>119.2426556631313</v>
      </c>
      <c r="L88" s="45">
        <f t="shared" si="14"/>
        <v>130.87608548392458</v>
      </c>
      <c r="M88" s="44">
        <f t="shared" si="15"/>
        <v>434.31471330961642</v>
      </c>
    </row>
    <row r="89" spans="1:13" ht="16.2" thickBot="1" x14ac:dyDescent="0.35">
      <c r="A89" s="87" t="s">
        <v>250</v>
      </c>
      <c r="B89" s="42">
        <v>842.11352999999997</v>
      </c>
      <c r="C89" s="40">
        <v>560.62266855000007</v>
      </c>
      <c r="D89" s="41">
        <f t="shared" si="8"/>
        <v>-0.33426711651337548</v>
      </c>
      <c r="E89" s="40">
        <v>26073622.5</v>
      </c>
      <c r="F89" s="40">
        <v>39266925.346027829</v>
      </c>
      <c r="G89" s="39">
        <f t="shared" si="9"/>
        <v>0.50600191231685698</v>
      </c>
      <c r="H89" s="38">
        <f t="shared" si="10"/>
        <v>2.2000979381390118E-2</v>
      </c>
      <c r="I89" s="37">
        <f t="shared" si="11"/>
        <v>1.6207111749831735E-2</v>
      </c>
      <c r="J89" s="36">
        <f t="shared" si="12"/>
        <v>836.03721649282443</v>
      </c>
      <c r="K89" s="36">
        <f t="shared" si="13"/>
        <v>541.22409278219686</v>
      </c>
      <c r="L89" s="36">
        <f t="shared" si="14"/>
        <v>594.02644329753321</v>
      </c>
      <c r="M89" s="36">
        <f t="shared" si="15"/>
        <v>1971.2877525725544</v>
      </c>
    </row>
    <row r="90" spans="1:13" ht="16.2" thickBot="1" x14ac:dyDescent="0.35">
      <c r="A90" s="92" t="s">
        <v>249</v>
      </c>
      <c r="B90" s="34">
        <v>5614.5704160000005</v>
      </c>
      <c r="C90" s="32">
        <v>4145.9950402499999</v>
      </c>
      <c r="D90" s="33">
        <f t="shared" si="8"/>
        <v>-0.26156504717884732</v>
      </c>
      <c r="E90" s="32">
        <v>202145098.38</v>
      </c>
      <c r="F90" s="32">
        <v>204673219.54602784</v>
      </c>
      <c r="G90" s="31">
        <f t="shared" si="9"/>
        <v>1.2506467810935422E-2</v>
      </c>
      <c r="H90" s="30">
        <f t="shared" si="10"/>
        <v>0.11467695123754852</v>
      </c>
      <c r="I90" s="29">
        <f t="shared" si="11"/>
        <v>0.12565143946244484</v>
      </c>
      <c r="J90" s="28">
        <f t="shared" si="12"/>
        <v>4357.7241470268436</v>
      </c>
      <c r="K90" s="28">
        <f t="shared" si="13"/>
        <v>2821.0530004436937</v>
      </c>
      <c r="L90" s="28">
        <f t="shared" si="14"/>
        <v>3096.2776834138099</v>
      </c>
      <c r="M90" s="28">
        <f t="shared" si="15"/>
        <v>10275.054830884346</v>
      </c>
    </row>
    <row r="91" spans="1:13" ht="15.6" x14ac:dyDescent="0.3">
      <c r="A91" s="91" t="s">
        <v>248</v>
      </c>
      <c r="B91" s="49">
        <v>0</v>
      </c>
      <c r="C91" s="49">
        <v>63.231000000000002</v>
      </c>
      <c r="D91" s="50">
        <f t="shared" si="8"/>
        <v>1</v>
      </c>
      <c r="E91" s="49">
        <v>0</v>
      </c>
      <c r="F91" s="49">
        <v>0</v>
      </c>
      <c r="G91" s="48">
        <f t="shared" si="9"/>
        <v>1</v>
      </c>
      <c r="H91" s="47">
        <f t="shared" si="10"/>
        <v>0</v>
      </c>
      <c r="I91" s="46">
        <f t="shared" si="11"/>
        <v>0</v>
      </c>
      <c r="J91" s="45">
        <f t="shared" si="12"/>
        <v>0</v>
      </c>
      <c r="K91" s="45">
        <f t="shared" si="13"/>
        <v>0</v>
      </c>
      <c r="L91" s="45">
        <f t="shared" si="14"/>
        <v>0</v>
      </c>
      <c r="M91" s="44">
        <f t="shared" si="15"/>
        <v>0</v>
      </c>
    </row>
    <row r="92" spans="1:13" ht="15.6" x14ac:dyDescent="0.3">
      <c r="A92" s="86" t="s">
        <v>247</v>
      </c>
      <c r="B92" s="49">
        <v>493.99033500000002</v>
      </c>
      <c r="C92" s="49">
        <v>152.38912500000001</v>
      </c>
      <c r="D92" s="50">
        <f t="shared" si="8"/>
        <v>-0.69151395441775199</v>
      </c>
      <c r="E92" s="49">
        <v>14177056.5</v>
      </c>
      <c r="F92" s="49">
        <v>7702810.5</v>
      </c>
      <c r="G92" s="48">
        <f t="shared" si="9"/>
        <v>-0.45667067772495651</v>
      </c>
      <c r="H92" s="47">
        <f t="shared" si="10"/>
        <v>4.3158300145951841E-3</v>
      </c>
      <c r="I92" s="46">
        <f t="shared" si="11"/>
        <v>8.8123213020813804E-3</v>
      </c>
      <c r="J92" s="45">
        <f t="shared" si="12"/>
        <v>164.00154055461701</v>
      </c>
      <c r="K92" s="45">
        <f t="shared" si="13"/>
        <v>106.16941835904153</v>
      </c>
      <c r="L92" s="45">
        <f t="shared" si="14"/>
        <v>116.52741039406997</v>
      </c>
      <c r="M92" s="44">
        <f t="shared" si="15"/>
        <v>386.69836930772851</v>
      </c>
    </row>
    <row r="93" spans="1:13" ht="15.6" x14ac:dyDescent="0.3">
      <c r="A93" s="55" t="s">
        <v>246</v>
      </c>
      <c r="B93" s="49">
        <v>0</v>
      </c>
      <c r="C93" s="49">
        <v>199.70178585000005</v>
      </c>
      <c r="D93" s="50">
        <f t="shared" si="8"/>
        <v>1</v>
      </c>
      <c r="E93" s="49">
        <v>0</v>
      </c>
      <c r="F93" s="49">
        <v>6958018.5846561892</v>
      </c>
      <c r="G93" s="48">
        <f t="shared" si="9"/>
        <v>1</v>
      </c>
      <c r="H93" s="47">
        <f t="shared" si="10"/>
        <v>3.898528394249123E-3</v>
      </c>
      <c r="I93" s="46">
        <f t="shared" si="11"/>
        <v>0</v>
      </c>
      <c r="J93" s="45">
        <f t="shared" si="12"/>
        <v>148.14407898146666</v>
      </c>
      <c r="K93" s="45">
        <f t="shared" si="13"/>
        <v>95.903798498528431</v>
      </c>
      <c r="L93" s="45">
        <f t="shared" si="14"/>
        <v>105.26026664472631</v>
      </c>
      <c r="M93" s="44">
        <f t="shared" si="15"/>
        <v>349.30814412472142</v>
      </c>
    </row>
    <row r="94" spans="1:13" ht="15.6" x14ac:dyDescent="0.3">
      <c r="A94" s="90" t="s">
        <v>245</v>
      </c>
      <c r="B94" s="49">
        <v>0</v>
      </c>
      <c r="C94" s="49">
        <v>69.60295545000001</v>
      </c>
      <c r="D94" s="50">
        <f t="shared" si="8"/>
        <v>1</v>
      </c>
      <c r="E94" s="49">
        <v>0</v>
      </c>
      <c r="F94" s="49">
        <v>2826531.123070823</v>
      </c>
      <c r="G94" s="48">
        <f t="shared" si="9"/>
        <v>1</v>
      </c>
      <c r="H94" s="47">
        <f t="shared" si="10"/>
        <v>1.5836853130602776E-3</v>
      </c>
      <c r="I94" s="46">
        <f t="shared" si="11"/>
        <v>0</v>
      </c>
      <c r="J94" s="45">
        <f t="shared" si="12"/>
        <v>60.180041896290547</v>
      </c>
      <c r="K94" s="45">
        <f t="shared" si="13"/>
        <v>38.958658701282829</v>
      </c>
      <c r="L94" s="45">
        <f t="shared" si="14"/>
        <v>42.759503452627499</v>
      </c>
      <c r="M94" s="44">
        <f t="shared" si="15"/>
        <v>141.89820405020089</v>
      </c>
    </row>
    <row r="95" spans="1:13" ht="15.6" x14ac:dyDescent="0.3">
      <c r="A95" s="90" t="s">
        <v>244</v>
      </c>
      <c r="B95" s="49">
        <v>0</v>
      </c>
      <c r="C95" s="49">
        <v>105.4746378</v>
      </c>
      <c r="D95" s="50">
        <f t="shared" si="8"/>
        <v>1</v>
      </c>
      <c r="E95" s="49">
        <v>0</v>
      </c>
      <c r="F95" s="49">
        <v>3921811.9332607663</v>
      </c>
      <c r="G95" s="48">
        <f t="shared" si="9"/>
        <v>1</v>
      </c>
      <c r="H95" s="47">
        <f t="shared" si="10"/>
        <v>2.1973633718711349E-3</v>
      </c>
      <c r="I95" s="46">
        <f t="shared" si="11"/>
        <v>0</v>
      </c>
      <c r="J95" s="45">
        <f t="shared" si="12"/>
        <v>83.499808131103123</v>
      </c>
      <c r="K95" s="45">
        <f t="shared" si="13"/>
        <v>54.055138948029921</v>
      </c>
      <c r="L95" s="45">
        <f t="shared" si="14"/>
        <v>59.328811040520641</v>
      </c>
      <c r="M95" s="44">
        <f t="shared" si="15"/>
        <v>196.88375811965369</v>
      </c>
    </row>
    <row r="96" spans="1:13" ht="16.2" thickBot="1" x14ac:dyDescent="0.35">
      <c r="A96" s="88" t="s">
        <v>243</v>
      </c>
      <c r="B96" s="49">
        <v>928.09198200000003</v>
      </c>
      <c r="C96" s="49">
        <v>208.40272950000002</v>
      </c>
      <c r="D96" s="50">
        <f t="shared" si="8"/>
        <v>-0.77545035024340947</v>
      </c>
      <c r="E96" s="49">
        <v>34598145</v>
      </c>
      <c r="F96" s="49">
        <v>7490307.47613768</v>
      </c>
      <c r="G96" s="48">
        <f t="shared" si="9"/>
        <v>-0.78350551810978075</v>
      </c>
      <c r="H96" s="47">
        <f t="shared" si="10"/>
        <v>4.1967660796097348E-3</v>
      </c>
      <c r="I96" s="46">
        <f t="shared" si="11"/>
        <v>2.1505872548085028E-2</v>
      </c>
      <c r="J96" s="45">
        <f t="shared" si="12"/>
        <v>159.47711102516993</v>
      </c>
      <c r="K96" s="45">
        <f t="shared" si="13"/>
        <v>103.24044555839947</v>
      </c>
      <c r="L96" s="45">
        <f t="shared" si="14"/>
        <v>113.31268414946284</v>
      </c>
      <c r="M96" s="44">
        <f t="shared" si="15"/>
        <v>376.0302407330322</v>
      </c>
    </row>
    <row r="97" spans="1:13" ht="16.2" thickBot="1" x14ac:dyDescent="0.35">
      <c r="A97" s="87" t="s">
        <v>242</v>
      </c>
      <c r="B97" s="42">
        <v>1422.0823170000001</v>
      </c>
      <c r="C97" s="40">
        <v>798.80223360000014</v>
      </c>
      <c r="D97" s="41">
        <f t="shared" si="8"/>
        <v>-0.43828692330192298</v>
      </c>
      <c r="E97" s="40">
        <v>48775201.5</v>
      </c>
      <c r="F97" s="40">
        <v>28899479.617125459</v>
      </c>
      <c r="G97" s="39">
        <f t="shared" si="9"/>
        <v>-0.40749645868453338</v>
      </c>
      <c r="H97" s="38">
        <f t="shared" si="10"/>
        <v>1.6192173173385456E-2</v>
      </c>
      <c r="I97" s="37">
        <f t="shared" si="11"/>
        <v>3.0318193850166406E-2</v>
      </c>
      <c r="J97" s="36">
        <f t="shared" si="12"/>
        <v>615.30258058864729</v>
      </c>
      <c r="K97" s="36">
        <f t="shared" si="13"/>
        <v>398.3274600652822</v>
      </c>
      <c r="L97" s="36">
        <f t="shared" si="14"/>
        <v>437.18867568140729</v>
      </c>
      <c r="M97" s="36">
        <f t="shared" si="15"/>
        <v>1450.8187163353368</v>
      </c>
    </row>
    <row r="98" spans="1:13" ht="15.6" x14ac:dyDescent="0.3">
      <c r="A98" s="89" t="s">
        <v>241</v>
      </c>
      <c r="B98" s="49">
        <v>197.31645</v>
      </c>
      <c r="C98" s="49">
        <v>88.645095000000012</v>
      </c>
      <c r="D98" s="50">
        <f t="shared" si="8"/>
        <v>-0.55074655458275268</v>
      </c>
      <c r="E98" s="49">
        <v>4499046.5999999996</v>
      </c>
      <c r="F98" s="49">
        <v>2334574.2000000002</v>
      </c>
      <c r="G98" s="48">
        <f t="shared" si="9"/>
        <v>-0.48109579482906439</v>
      </c>
      <c r="H98" s="47">
        <f t="shared" si="10"/>
        <v>1.3080453431457962E-3</v>
      </c>
      <c r="I98" s="46">
        <f t="shared" si="11"/>
        <v>2.7965638842052157E-3</v>
      </c>
      <c r="J98" s="45">
        <f t="shared" si="12"/>
        <v>49.705723039540253</v>
      </c>
      <c r="K98" s="45">
        <f t="shared" si="13"/>
        <v>32.177915441386588</v>
      </c>
      <c r="L98" s="45">
        <f t="shared" si="14"/>
        <v>35.317224264936499</v>
      </c>
      <c r="M98" s="44">
        <f t="shared" si="15"/>
        <v>117.20086274586333</v>
      </c>
    </row>
    <row r="99" spans="1:13" ht="15.6" x14ac:dyDescent="0.3">
      <c r="A99" s="86" t="s">
        <v>240</v>
      </c>
      <c r="B99" s="49">
        <v>160.41468599999999</v>
      </c>
      <c r="C99" s="49">
        <v>126.94132500000001</v>
      </c>
      <c r="D99" s="50">
        <f t="shared" si="8"/>
        <v>-0.20866768395507121</v>
      </c>
      <c r="E99" s="49">
        <v>7312915.5</v>
      </c>
      <c r="F99" s="49">
        <v>8622802.6500000004</v>
      </c>
      <c r="G99" s="48">
        <f t="shared" si="9"/>
        <v>0.17911968899408182</v>
      </c>
      <c r="H99" s="47">
        <f t="shared" si="10"/>
        <v>4.8312950820743805E-3</v>
      </c>
      <c r="I99" s="46">
        <f t="shared" si="11"/>
        <v>4.5456375969843326E-3</v>
      </c>
      <c r="J99" s="45">
        <f t="shared" si="12"/>
        <v>183.58921311882645</v>
      </c>
      <c r="K99" s="45">
        <f t="shared" si="13"/>
        <v>118.84985901902976</v>
      </c>
      <c r="L99" s="45">
        <f t="shared" si="14"/>
        <v>130.44496721600828</v>
      </c>
      <c r="M99" s="44">
        <f t="shared" si="15"/>
        <v>432.88403935386452</v>
      </c>
    </row>
    <row r="100" spans="1:13" ht="15.6" x14ac:dyDescent="0.3">
      <c r="A100" s="55" t="s">
        <v>239</v>
      </c>
      <c r="B100" s="49">
        <v>260.02400999999998</v>
      </c>
      <c r="C100" s="49">
        <v>139.68701250000001</v>
      </c>
      <c r="D100" s="50">
        <f t="shared" si="8"/>
        <v>-0.46279186872012312</v>
      </c>
      <c r="E100" s="49">
        <v>11546568.300000001</v>
      </c>
      <c r="F100" s="49">
        <v>11038747.65</v>
      </c>
      <c r="G100" s="48">
        <f t="shared" si="9"/>
        <v>-4.3980223110965388E-2</v>
      </c>
      <c r="H100" s="47">
        <f t="shared" si="10"/>
        <v>6.1849319065310068E-3</v>
      </c>
      <c r="I100" s="46">
        <f t="shared" si="11"/>
        <v>7.1772352600857304E-3</v>
      </c>
      <c r="J100" s="45">
        <f t="shared" si="12"/>
        <v>235.02741244817827</v>
      </c>
      <c r="K100" s="45">
        <f t="shared" si="13"/>
        <v>152.14932490066278</v>
      </c>
      <c r="L100" s="45">
        <f t="shared" si="14"/>
        <v>166.99316147633718</v>
      </c>
      <c r="M100" s="44">
        <f t="shared" si="15"/>
        <v>554.16989882517817</v>
      </c>
    </row>
    <row r="101" spans="1:13" ht="15.6" x14ac:dyDescent="0.3">
      <c r="A101" s="55" t="s">
        <v>238</v>
      </c>
      <c r="B101" s="49">
        <v>0</v>
      </c>
      <c r="C101" s="49">
        <v>202.51297500000004</v>
      </c>
      <c r="D101" s="50">
        <f t="shared" si="8"/>
        <v>1</v>
      </c>
      <c r="E101" s="49">
        <v>0</v>
      </c>
      <c r="F101" s="49">
        <v>11936610</v>
      </c>
      <c r="G101" s="48">
        <f t="shared" si="9"/>
        <v>1</v>
      </c>
      <c r="H101" s="47">
        <f t="shared" si="10"/>
        <v>6.6879978042452201E-3</v>
      </c>
      <c r="I101" s="46">
        <f t="shared" si="11"/>
        <v>0</v>
      </c>
      <c r="J101" s="45">
        <f t="shared" si="12"/>
        <v>254.14391656131838</v>
      </c>
      <c r="K101" s="45">
        <f t="shared" si="13"/>
        <v>164.52474598443243</v>
      </c>
      <c r="L101" s="45">
        <f t="shared" si="14"/>
        <v>180.57594071462094</v>
      </c>
      <c r="M101" s="44">
        <f t="shared" si="15"/>
        <v>599.24460326037172</v>
      </c>
    </row>
    <row r="102" spans="1:13" ht="15.6" x14ac:dyDescent="0.3">
      <c r="A102" s="86" t="s">
        <v>237</v>
      </c>
      <c r="B102" s="49">
        <v>666.96703500000001</v>
      </c>
      <c r="C102" s="49">
        <v>178.26978750000001</v>
      </c>
      <c r="D102" s="50">
        <f t="shared" si="8"/>
        <v>-0.73271574433959841</v>
      </c>
      <c r="E102" s="49">
        <v>18569953.740000002</v>
      </c>
      <c r="F102" s="49">
        <v>8392889.4000000004</v>
      </c>
      <c r="G102" s="48">
        <f t="shared" si="9"/>
        <v>-0.54803929414635155</v>
      </c>
      <c r="H102" s="47">
        <f t="shared" si="10"/>
        <v>4.7024763210386355E-3</v>
      </c>
      <c r="I102" s="46">
        <f t="shared" si="11"/>
        <v>1.1542903770022206E-2</v>
      </c>
      <c r="J102" s="45">
        <f t="shared" si="12"/>
        <v>178.69410019946815</v>
      </c>
      <c r="K102" s="45">
        <f t="shared" si="13"/>
        <v>115.68091749755044</v>
      </c>
      <c r="L102" s="45">
        <f t="shared" si="14"/>
        <v>126.96686066804315</v>
      </c>
      <c r="M102" s="44">
        <f t="shared" si="15"/>
        <v>421.3418783650618</v>
      </c>
    </row>
    <row r="103" spans="1:13" ht="15.6" x14ac:dyDescent="0.3">
      <c r="A103" s="86" t="s">
        <v>236</v>
      </c>
      <c r="B103" s="49">
        <v>665.96513999999991</v>
      </c>
      <c r="C103" s="49">
        <v>75.933742499999994</v>
      </c>
      <c r="D103" s="50">
        <f t="shared" si="8"/>
        <v>-0.88597940351652638</v>
      </c>
      <c r="E103" s="49">
        <v>16829503.260000002</v>
      </c>
      <c r="F103" s="49">
        <v>3241893.3540000003</v>
      </c>
      <c r="G103" s="48">
        <f t="shared" si="9"/>
        <v>-0.80736844671433283</v>
      </c>
      <c r="H103" s="47">
        <f t="shared" si="10"/>
        <v>1.8164098209750652E-3</v>
      </c>
      <c r="I103" s="46">
        <f t="shared" si="11"/>
        <v>1.046105657274809E-2</v>
      </c>
      <c r="J103" s="45">
        <f t="shared" si="12"/>
        <v>69.023573197052485</v>
      </c>
      <c r="K103" s="45">
        <f t="shared" si="13"/>
        <v>44.683681595986606</v>
      </c>
      <c r="L103" s="45">
        <f t="shared" si="14"/>
        <v>49.043065166326762</v>
      </c>
      <c r="M103" s="44">
        <f t="shared" si="15"/>
        <v>162.75031995936584</v>
      </c>
    </row>
    <row r="104" spans="1:13" ht="16.2" thickBot="1" x14ac:dyDescent="0.35">
      <c r="A104" s="88" t="s">
        <v>235</v>
      </c>
      <c r="B104" s="49">
        <v>0</v>
      </c>
      <c r="C104" s="49">
        <v>101.76022500000001</v>
      </c>
      <c r="D104" s="50">
        <f t="shared" si="8"/>
        <v>1</v>
      </c>
      <c r="E104" s="49">
        <v>0</v>
      </c>
      <c r="F104" s="49">
        <v>3976361.5500000003</v>
      </c>
      <c r="G104" s="48">
        <f t="shared" si="9"/>
        <v>1</v>
      </c>
      <c r="H104" s="47">
        <f t="shared" si="10"/>
        <v>2.2279271346961256E-3</v>
      </c>
      <c r="I104" s="46">
        <f t="shared" si="11"/>
        <v>0</v>
      </c>
      <c r="J104" s="45">
        <f t="shared" si="12"/>
        <v>84.661231118452775</v>
      </c>
      <c r="K104" s="45">
        <f t="shared" si="13"/>
        <v>54.807007513524688</v>
      </c>
      <c r="L104" s="45">
        <f t="shared" si="14"/>
        <v>60.154032636795392</v>
      </c>
      <c r="M104" s="44">
        <f t="shared" si="15"/>
        <v>199.62227126877286</v>
      </c>
    </row>
    <row r="105" spans="1:13" ht="16.2" thickBot="1" x14ac:dyDescent="0.35">
      <c r="A105" s="87" t="s">
        <v>234</v>
      </c>
      <c r="B105" s="42">
        <v>1950.6873209999999</v>
      </c>
      <c r="C105" s="40">
        <v>913.75016249999999</v>
      </c>
      <c r="D105" s="41">
        <f t="shared" si="8"/>
        <v>-0.53157527981902541</v>
      </c>
      <c r="E105" s="40">
        <v>58757987.400000006</v>
      </c>
      <c r="F105" s="40">
        <v>49543878.803999998</v>
      </c>
      <c r="G105" s="39">
        <f t="shared" si="9"/>
        <v>-0.15681457115394676</v>
      </c>
      <c r="H105" s="38">
        <f t="shared" si="10"/>
        <v>2.7759083412706227E-2</v>
      </c>
      <c r="I105" s="37">
        <f t="shared" si="11"/>
        <v>3.6523397084045575E-2</v>
      </c>
      <c r="J105" s="36">
        <f t="shared" si="12"/>
        <v>1054.8451696828367</v>
      </c>
      <c r="K105" s="36">
        <f t="shared" si="13"/>
        <v>682.87345195257319</v>
      </c>
      <c r="L105" s="36">
        <f t="shared" si="14"/>
        <v>749.49525214306811</v>
      </c>
      <c r="M105" s="36">
        <f t="shared" si="15"/>
        <v>2487.213873778478</v>
      </c>
    </row>
    <row r="106" spans="1:13" ht="15.6" x14ac:dyDescent="0.3">
      <c r="A106" s="53" t="s">
        <v>233</v>
      </c>
      <c r="B106" s="49">
        <v>0</v>
      </c>
      <c r="C106" s="49">
        <v>128.63855759999998</v>
      </c>
      <c r="D106" s="50">
        <f t="shared" si="8"/>
        <v>1</v>
      </c>
      <c r="E106" s="49">
        <v>0</v>
      </c>
      <c r="F106" s="49">
        <v>4261016.7779790824</v>
      </c>
      <c r="G106" s="48">
        <f t="shared" si="9"/>
        <v>1</v>
      </c>
      <c r="H106" s="47">
        <f t="shared" si="10"/>
        <v>2.3874174371933191E-3</v>
      </c>
      <c r="I106" s="46">
        <f t="shared" si="11"/>
        <v>0</v>
      </c>
      <c r="J106" s="45">
        <f t="shared" si="12"/>
        <v>90.721862613346119</v>
      </c>
      <c r="K106" s="45">
        <f t="shared" si="13"/>
        <v>58.730468954955647</v>
      </c>
      <c r="L106" s="45">
        <f t="shared" si="14"/>
        <v>64.460270804219618</v>
      </c>
      <c r="M106" s="44">
        <f t="shared" si="15"/>
        <v>213.91260237252138</v>
      </c>
    </row>
    <row r="107" spans="1:13" ht="15.6" x14ac:dyDescent="0.3">
      <c r="A107" s="86" t="s">
        <v>232</v>
      </c>
      <c r="B107" s="49">
        <v>0</v>
      </c>
      <c r="C107" s="49">
        <v>174.03318240000002</v>
      </c>
      <c r="D107" s="50">
        <f t="shared" si="8"/>
        <v>1</v>
      </c>
      <c r="E107" s="49">
        <v>0</v>
      </c>
      <c r="F107" s="49">
        <v>6164877.3720209189</v>
      </c>
      <c r="G107" s="48">
        <f t="shared" si="9"/>
        <v>1</v>
      </c>
      <c r="H107" s="47">
        <f t="shared" si="10"/>
        <v>3.4541370060274189E-3</v>
      </c>
      <c r="I107" s="46">
        <f t="shared" si="11"/>
        <v>0</v>
      </c>
      <c r="J107" s="45">
        <f t="shared" si="12"/>
        <v>131.25720622904191</v>
      </c>
      <c r="K107" s="45">
        <f t="shared" si="13"/>
        <v>84.971770348274504</v>
      </c>
      <c r="L107" s="45">
        <f t="shared" si="14"/>
        <v>93.261699162740314</v>
      </c>
      <c r="M107" s="44">
        <f t="shared" si="15"/>
        <v>309.49067574005676</v>
      </c>
    </row>
    <row r="108" spans="1:13" ht="15.6" x14ac:dyDescent="0.3">
      <c r="A108" s="86" t="s">
        <v>231</v>
      </c>
      <c r="B108" s="49">
        <v>0</v>
      </c>
      <c r="C108" s="49">
        <v>120.9275025</v>
      </c>
      <c r="D108" s="50">
        <f t="shared" si="8"/>
        <v>1</v>
      </c>
      <c r="E108" s="49">
        <v>0</v>
      </c>
      <c r="F108" s="49">
        <v>2268289.5011891993</v>
      </c>
      <c r="G108" s="48">
        <f t="shared" si="9"/>
        <v>1</v>
      </c>
      <c r="H108" s="47">
        <f t="shared" si="10"/>
        <v>1.2709064971835262E-3</v>
      </c>
      <c r="I108" s="46">
        <f t="shared" si="11"/>
        <v>0</v>
      </c>
      <c r="J108" s="45">
        <f t="shared" si="12"/>
        <v>48.294446892973994</v>
      </c>
      <c r="K108" s="45">
        <f t="shared" si="13"/>
        <v>31.264299830714744</v>
      </c>
      <c r="L108" s="45">
        <f t="shared" si="14"/>
        <v>34.314475423955209</v>
      </c>
      <c r="M108" s="44">
        <f t="shared" si="15"/>
        <v>113.87322214764396</v>
      </c>
    </row>
    <row r="109" spans="1:13" ht="15.6" x14ac:dyDescent="0.3">
      <c r="A109" s="86" t="s">
        <v>230</v>
      </c>
      <c r="B109" s="49">
        <v>0</v>
      </c>
      <c r="C109" s="49">
        <v>52.28217750000001</v>
      </c>
      <c r="D109" s="50">
        <f t="shared" si="8"/>
        <v>1</v>
      </c>
      <c r="E109" s="49">
        <v>0</v>
      </c>
      <c r="F109" s="49">
        <v>1118900.6029416018</v>
      </c>
      <c r="G109" s="48">
        <f t="shared" si="9"/>
        <v>1</v>
      </c>
      <c r="H109" s="47">
        <f t="shared" si="10"/>
        <v>6.2691206093204736E-4</v>
      </c>
      <c r="I109" s="46">
        <f t="shared" si="11"/>
        <v>0</v>
      </c>
      <c r="J109" s="45">
        <f t="shared" si="12"/>
        <v>23.822658315417801</v>
      </c>
      <c r="K109" s="45">
        <f t="shared" si="13"/>
        <v>15.422036698928364</v>
      </c>
      <c r="L109" s="45">
        <f t="shared" si="14"/>
        <v>16.926625645165277</v>
      </c>
      <c r="M109" s="44">
        <f t="shared" si="15"/>
        <v>56.171320659511437</v>
      </c>
    </row>
    <row r="110" spans="1:13" ht="15.6" x14ac:dyDescent="0.3">
      <c r="A110" s="86" t="s">
        <v>229</v>
      </c>
      <c r="B110" s="49">
        <v>748.57493999999997</v>
      </c>
      <c r="C110" s="49">
        <v>80.724157500000018</v>
      </c>
      <c r="D110" s="50">
        <f t="shared" si="8"/>
        <v>-0.89216289086567602</v>
      </c>
      <c r="E110" s="49">
        <v>22712128.859999999</v>
      </c>
      <c r="F110" s="49">
        <v>1748673.9708163347</v>
      </c>
      <c r="G110" s="48">
        <f t="shared" si="9"/>
        <v>-0.92300704255442756</v>
      </c>
      <c r="H110" s="47">
        <f t="shared" si="10"/>
        <v>9.7976960604061083E-4</v>
      </c>
      <c r="I110" s="46">
        <f t="shared" si="11"/>
        <v>1.4117639791348457E-2</v>
      </c>
      <c r="J110" s="45">
        <f t="shared" si="12"/>
        <v>37.23124502954321</v>
      </c>
      <c r="K110" s="45">
        <f t="shared" si="13"/>
        <v>24.102332308599028</v>
      </c>
      <c r="L110" s="45">
        <f t="shared" si="14"/>
        <v>26.453779363096494</v>
      </c>
      <c r="M110" s="44">
        <f t="shared" si="15"/>
        <v>87.787356701238735</v>
      </c>
    </row>
    <row r="111" spans="1:13" ht="16.2" thickBot="1" x14ac:dyDescent="0.35">
      <c r="A111" s="85" t="s">
        <v>228</v>
      </c>
      <c r="B111" s="49">
        <v>575.61864000000014</v>
      </c>
      <c r="C111" s="49">
        <v>316.12402500000002</v>
      </c>
      <c r="D111" s="50">
        <f t="shared" si="8"/>
        <v>-0.45080995813478186</v>
      </c>
      <c r="E111" s="49">
        <v>17769379.199999999</v>
      </c>
      <c r="F111" s="49">
        <v>15118117.350000001</v>
      </c>
      <c r="G111" s="48">
        <f t="shared" si="9"/>
        <v>-0.14920396600011765</v>
      </c>
      <c r="H111" s="47">
        <f t="shared" si="10"/>
        <v>8.4705737760655299E-3</v>
      </c>
      <c r="I111" s="46">
        <f t="shared" si="11"/>
        <v>1.1045274373345538E-2</v>
      </c>
      <c r="J111" s="45">
        <f t="shared" si="12"/>
        <v>321.88180349049014</v>
      </c>
      <c r="K111" s="45">
        <f t="shared" si="13"/>
        <v>208.37611489121204</v>
      </c>
      <c r="L111" s="45">
        <f t="shared" si="14"/>
        <v>228.7054919537693</v>
      </c>
      <c r="M111" s="44">
        <f t="shared" si="15"/>
        <v>758.96341033547151</v>
      </c>
    </row>
    <row r="112" spans="1:13" ht="16.2" thickBot="1" x14ac:dyDescent="0.35">
      <c r="A112" s="84" t="s">
        <v>227</v>
      </c>
      <c r="B112" s="42">
        <v>1324.1935800000001</v>
      </c>
      <c r="C112" s="40">
        <v>872.72960250000006</v>
      </c>
      <c r="D112" s="41">
        <f t="shared" si="8"/>
        <v>-0.34093502968047923</v>
      </c>
      <c r="E112" s="40">
        <v>40481508.060000002</v>
      </c>
      <c r="F112" s="40">
        <v>30679875.574947141</v>
      </c>
      <c r="G112" s="39">
        <f t="shared" si="9"/>
        <v>-0.24212616957167926</v>
      </c>
      <c r="H112" s="38">
        <f t="shared" si="10"/>
        <v>1.7189716383442456E-2</v>
      </c>
      <c r="I112" s="37">
        <f t="shared" si="11"/>
        <v>2.5162914164693996E-2</v>
      </c>
      <c r="J112" s="36">
        <f t="shared" si="12"/>
        <v>653.20922257081327</v>
      </c>
      <c r="K112" s="36">
        <f t="shared" si="13"/>
        <v>422.86702303268441</v>
      </c>
      <c r="L112" s="36">
        <f t="shared" si="14"/>
        <v>464.1223423529463</v>
      </c>
      <c r="M112" s="36">
        <f t="shared" si="15"/>
        <v>1540.198587956444</v>
      </c>
    </row>
    <row r="113" spans="1:13" ht="16.2" thickBot="1" x14ac:dyDescent="0.35">
      <c r="A113" s="35" t="s">
        <v>226</v>
      </c>
      <c r="B113" s="34">
        <v>4696.9632179999999</v>
      </c>
      <c r="C113" s="32">
        <v>2585.2819986000004</v>
      </c>
      <c r="D113" s="33">
        <f t="shared" si="8"/>
        <v>-0.44958436363893184</v>
      </c>
      <c r="E113" s="32">
        <v>148014696.96000001</v>
      </c>
      <c r="F113" s="32">
        <v>109123233.99607259</v>
      </c>
      <c r="G113" s="31">
        <f t="shared" si="9"/>
        <v>-0.26275406268904217</v>
      </c>
      <c r="H113" s="30">
        <f t="shared" si="10"/>
        <v>6.1140972969534135E-2</v>
      </c>
      <c r="I113" s="29">
        <f t="shared" si="11"/>
        <v>9.2004505098905981E-2</v>
      </c>
      <c r="J113" s="28">
        <f t="shared" si="12"/>
        <v>2323.3569728422972</v>
      </c>
      <c r="K113" s="28">
        <f t="shared" si="13"/>
        <v>1504.0679350505397</v>
      </c>
      <c r="L113" s="28">
        <f t="shared" si="14"/>
        <v>1650.8062701774218</v>
      </c>
      <c r="M113" s="28">
        <f t="shared" si="15"/>
        <v>5478.2311780702585</v>
      </c>
    </row>
    <row r="114" spans="1:13" ht="16.2" thickBot="1" x14ac:dyDescent="0.35">
      <c r="A114" s="83" t="s">
        <v>225</v>
      </c>
      <c r="B114" s="26">
        <v>21970.440705000001</v>
      </c>
      <c r="C114" s="24">
        <v>12812.986455150001</v>
      </c>
      <c r="D114" s="25">
        <f t="shared" si="8"/>
        <v>-0.41680794540302324</v>
      </c>
      <c r="E114" s="24">
        <v>676178293.66500008</v>
      </c>
      <c r="F114" s="24">
        <v>614201944.55710042</v>
      </c>
      <c r="G114" s="23">
        <f t="shared" si="9"/>
        <v>-9.1656815500505681E-2</v>
      </c>
      <c r="H114" s="22">
        <f t="shared" si="10"/>
        <v>0.34413298721840052</v>
      </c>
      <c r="I114" s="21">
        <f t="shared" si="11"/>
        <v>0.42030589221881987</v>
      </c>
      <c r="J114" s="20">
        <f t="shared" si="12"/>
        <v>13077.053514299219</v>
      </c>
      <c r="K114" s="20">
        <f t="shared" si="13"/>
        <v>8465.6714855726532</v>
      </c>
      <c r="L114" s="20">
        <f t="shared" si="14"/>
        <v>9291.5906548968142</v>
      </c>
      <c r="M114" s="20">
        <f t="shared" si="15"/>
        <v>30834.315654768689</v>
      </c>
    </row>
    <row r="115" spans="1:13" x14ac:dyDescent="0.3">
      <c r="A115" s="73" t="s">
        <v>224</v>
      </c>
      <c r="B115" s="49">
        <v>1766.7252209999999</v>
      </c>
      <c r="C115" s="49">
        <v>291.82628580000005</v>
      </c>
      <c r="D115" s="50">
        <f t="shared" si="8"/>
        <v>-0.83482078461820974</v>
      </c>
      <c r="E115" s="49">
        <v>27833386.68</v>
      </c>
      <c r="F115" s="49">
        <v>17970399.127151985</v>
      </c>
      <c r="G115" s="48">
        <f t="shared" si="9"/>
        <v>-0.35435815505466961</v>
      </c>
      <c r="H115" s="47">
        <f t="shared" si="10"/>
        <v>1.0068686997715657E-2</v>
      </c>
      <c r="I115" s="46">
        <f t="shared" si="11"/>
        <v>1.7300964156362932E-2</v>
      </c>
      <c r="J115" s="45">
        <f t="shared" si="12"/>
        <v>382.61010591319496</v>
      </c>
      <c r="K115" s="45">
        <f t="shared" si="13"/>
        <v>247.68970014380517</v>
      </c>
      <c r="L115" s="45">
        <f t="shared" si="14"/>
        <v>271.85454893832275</v>
      </c>
      <c r="M115" s="44">
        <f t="shared" si="15"/>
        <v>902.15435499532282</v>
      </c>
    </row>
    <row r="116" spans="1:13" x14ac:dyDescent="0.3">
      <c r="A116" s="71" t="s">
        <v>223</v>
      </c>
      <c r="B116" s="49">
        <v>0</v>
      </c>
      <c r="C116" s="49">
        <v>300.66950759999997</v>
      </c>
      <c r="D116" s="50">
        <f t="shared" si="8"/>
        <v>1</v>
      </c>
      <c r="E116" s="49">
        <v>0</v>
      </c>
      <c r="F116" s="49">
        <v>15308392.488575991</v>
      </c>
      <c r="G116" s="48">
        <f t="shared" si="9"/>
        <v>1</v>
      </c>
      <c r="H116" s="47">
        <f t="shared" si="10"/>
        <v>8.5771835847967097E-3</v>
      </c>
      <c r="I116" s="46">
        <f t="shared" si="11"/>
        <v>0</v>
      </c>
      <c r="J116" s="45">
        <f t="shared" si="12"/>
        <v>325.93297622227499</v>
      </c>
      <c r="K116" s="45">
        <f t="shared" si="13"/>
        <v>210.99871618599906</v>
      </c>
      <c r="L116" s="45">
        <f t="shared" si="14"/>
        <v>231.58395678951115</v>
      </c>
      <c r="M116" s="44">
        <f t="shared" si="15"/>
        <v>768.51564919778525</v>
      </c>
    </row>
    <row r="117" spans="1:13" x14ac:dyDescent="0.3">
      <c r="A117" s="70" t="s">
        <v>222</v>
      </c>
      <c r="B117" s="49">
        <v>0</v>
      </c>
      <c r="C117" s="49">
        <v>304.42628580000002</v>
      </c>
      <c r="D117" s="50">
        <f t="shared" si="8"/>
        <v>1</v>
      </c>
      <c r="E117" s="49">
        <v>0</v>
      </c>
      <c r="F117" s="49">
        <v>13601116.200000001</v>
      </c>
      <c r="G117" s="48">
        <f t="shared" si="9"/>
        <v>1</v>
      </c>
      <c r="H117" s="47">
        <f t="shared" si="10"/>
        <v>7.6206088060918548E-3</v>
      </c>
      <c r="I117" s="46">
        <f t="shared" si="11"/>
        <v>0</v>
      </c>
      <c r="J117" s="45">
        <f t="shared" si="12"/>
        <v>289.58313463149051</v>
      </c>
      <c r="K117" s="45">
        <f t="shared" si="13"/>
        <v>187.46697662985963</v>
      </c>
      <c r="L117" s="45">
        <f t="shared" si="14"/>
        <v>205.75643776448007</v>
      </c>
      <c r="M117" s="44">
        <f t="shared" si="15"/>
        <v>682.80654902583024</v>
      </c>
    </row>
    <row r="118" spans="1:13" x14ac:dyDescent="0.3">
      <c r="A118" s="71" t="s">
        <v>221</v>
      </c>
      <c r="B118" s="49">
        <v>792.14474999999993</v>
      </c>
      <c r="C118" s="49">
        <v>240.88239000000002</v>
      </c>
      <c r="D118" s="50">
        <f t="shared" si="8"/>
        <v>-0.69591114502747131</v>
      </c>
      <c r="E118" s="49">
        <v>22918890</v>
      </c>
      <c r="F118" s="49">
        <v>12368995.844327178</v>
      </c>
      <c r="G118" s="48">
        <f t="shared" si="9"/>
        <v>-0.46031435883992733</v>
      </c>
      <c r="H118" s="47">
        <f t="shared" si="10"/>
        <v>6.9302605218381445E-3</v>
      </c>
      <c r="I118" s="46">
        <f t="shared" si="11"/>
        <v>1.4246160517668806E-2</v>
      </c>
      <c r="J118" s="45">
        <f t="shared" si="12"/>
        <v>263.34989982984951</v>
      </c>
      <c r="K118" s="45">
        <f t="shared" si="13"/>
        <v>170.48440883721835</v>
      </c>
      <c r="L118" s="45">
        <f t="shared" si="14"/>
        <v>187.1170340896299</v>
      </c>
      <c r="M118" s="44">
        <f t="shared" si="15"/>
        <v>620.95134275669773</v>
      </c>
    </row>
    <row r="119" spans="1:13" x14ac:dyDescent="0.3">
      <c r="A119" s="71" t="s">
        <v>220</v>
      </c>
      <c r="B119" s="49">
        <v>0</v>
      </c>
      <c r="C119" s="49">
        <v>215.53056000000001</v>
      </c>
      <c r="D119" s="50">
        <f t="shared" si="8"/>
        <v>1</v>
      </c>
      <c r="E119" s="49">
        <v>0</v>
      </c>
      <c r="F119" s="49">
        <v>7327164.5556728235</v>
      </c>
      <c r="G119" s="48">
        <f t="shared" si="9"/>
        <v>1</v>
      </c>
      <c r="H119" s="47">
        <f t="shared" si="10"/>
        <v>4.1053582599819586E-3</v>
      </c>
      <c r="I119" s="46">
        <f t="shared" si="11"/>
        <v>0</v>
      </c>
      <c r="J119" s="45">
        <f t="shared" si="12"/>
        <v>156.00361387931443</v>
      </c>
      <c r="K119" s="45">
        <f t="shared" si="13"/>
        <v>100.99181319555618</v>
      </c>
      <c r="L119" s="45">
        <f t="shared" si="14"/>
        <v>110.84467301951288</v>
      </c>
      <c r="M119" s="44">
        <f t="shared" si="15"/>
        <v>367.84010009438344</v>
      </c>
    </row>
    <row r="120" spans="1:13" x14ac:dyDescent="0.3">
      <c r="A120" s="82" t="s">
        <v>219</v>
      </c>
      <c r="B120" s="49">
        <v>639.98548499999993</v>
      </c>
      <c r="C120" s="49">
        <v>227.43771749999996</v>
      </c>
      <c r="D120" s="50">
        <f t="shared" si="8"/>
        <v>-0.64462050651039382</v>
      </c>
      <c r="E120" s="49">
        <v>17119210.800000001</v>
      </c>
      <c r="F120" s="49">
        <v>10712839.200000001</v>
      </c>
      <c r="G120" s="48">
        <f t="shared" si="9"/>
        <v>-0.37422119949594868</v>
      </c>
      <c r="H120" s="47">
        <f t="shared" si="10"/>
        <v>6.0023277167329855E-3</v>
      </c>
      <c r="I120" s="46">
        <f t="shared" si="11"/>
        <v>1.0641135979648641E-2</v>
      </c>
      <c r="J120" s="45">
        <f t="shared" si="12"/>
        <v>228.08845323585345</v>
      </c>
      <c r="K120" s="45">
        <f t="shared" si="13"/>
        <v>147.65726183163144</v>
      </c>
      <c r="L120" s="45">
        <f t="shared" si="14"/>
        <v>162.06284835179062</v>
      </c>
      <c r="M120" s="44">
        <f t="shared" si="15"/>
        <v>537.80856341927552</v>
      </c>
    </row>
    <row r="121" spans="1:13" x14ac:dyDescent="0.3">
      <c r="A121" s="82" t="s">
        <v>218</v>
      </c>
      <c r="B121" s="49">
        <v>0</v>
      </c>
      <c r="C121" s="49">
        <v>233.83342500000001</v>
      </c>
      <c r="D121" s="50">
        <f t="shared" si="8"/>
        <v>1</v>
      </c>
      <c r="E121" s="49">
        <v>0</v>
      </c>
      <c r="F121" s="49">
        <v>10722104.4</v>
      </c>
      <c r="G121" s="48">
        <f t="shared" si="9"/>
        <v>1</v>
      </c>
      <c r="H121" s="47">
        <f t="shared" si="10"/>
        <v>6.0075189424876919E-3</v>
      </c>
      <c r="I121" s="46">
        <f t="shared" si="11"/>
        <v>0</v>
      </c>
      <c r="J121" s="45">
        <f t="shared" si="12"/>
        <v>228.28571981453229</v>
      </c>
      <c r="K121" s="45">
        <f t="shared" si="13"/>
        <v>147.78496598519723</v>
      </c>
      <c r="L121" s="45">
        <f t="shared" si="14"/>
        <v>162.20301144716768</v>
      </c>
      <c r="M121" s="44">
        <f t="shared" si="15"/>
        <v>538.2736972468972</v>
      </c>
    </row>
    <row r="122" spans="1:13" x14ac:dyDescent="0.3">
      <c r="A122" s="70" t="s">
        <v>217</v>
      </c>
      <c r="B122" s="49">
        <v>171.53187</v>
      </c>
      <c r="C122" s="49">
        <v>88.210499999999996</v>
      </c>
      <c r="D122" s="50">
        <f t="shared" si="8"/>
        <v>-0.48574862502227723</v>
      </c>
      <c r="E122" s="49">
        <v>5136460.92</v>
      </c>
      <c r="F122" s="49">
        <v>5896374.75</v>
      </c>
      <c r="G122" s="48">
        <f t="shared" si="9"/>
        <v>0.14794502320481007</v>
      </c>
      <c r="H122" s="47">
        <f t="shared" si="10"/>
        <v>3.3036968939260778E-3</v>
      </c>
      <c r="I122" s="46">
        <f t="shared" si="11"/>
        <v>3.1927744650396593E-3</v>
      </c>
      <c r="J122" s="45">
        <f t="shared" si="12"/>
        <v>125.54048196919095</v>
      </c>
      <c r="K122" s="45">
        <f t="shared" si="13"/>
        <v>81.27094359058151</v>
      </c>
      <c r="L122" s="45">
        <f t="shared" si="14"/>
        <v>89.199816136004102</v>
      </c>
      <c r="M122" s="44">
        <f t="shared" si="15"/>
        <v>296.01124169577656</v>
      </c>
    </row>
    <row r="123" spans="1:13" x14ac:dyDescent="0.3">
      <c r="A123" s="70" t="s">
        <v>216</v>
      </c>
      <c r="B123" s="49">
        <v>661.82490900000005</v>
      </c>
      <c r="C123" s="49">
        <v>285.23604899999998</v>
      </c>
      <c r="D123" s="50">
        <f t="shared" si="8"/>
        <v>-0.56901584524676763</v>
      </c>
      <c r="E123" s="49">
        <v>19088994</v>
      </c>
      <c r="F123" s="49">
        <v>10599806.111037679</v>
      </c>
      <c r="G123" s="48">
        <f t="shared" si="9"/>
        <v>-0.44471635796848807</v>
      </c>
      <c r="H123" s="47">
        <f t="shared" si="10"/>
        <v>5.9389960797952739E-3</v>
      </c>
      <c r="I123" s="46">
        <f t="shared" si="11"/>
        <v>1.1865534179221452E-2</v>
      </c>
      <c r="J123" s="45">
        <f t="shared" si="12"/>
        <v>225.68185103222041</v>
      </c>
      <c r="K123" s="45">
        <f t="shared" si="13"/>
        <v>146.09930356296374</v>
      </c>
      <c r="L123" s="45">
        <f t="shared" si="14"/>
        <v>160.35289415447241</v>
      </c>
      <c r="M123" s="44">
        <f t="shared" si="15"/>
        <v>532.13404874965659</v>
      </c>
    </row>
    <row r="124" spans="1:13" ht="15" thickBot="1" x14ac:dyDescent="0.35">
      <c r="A124" s="69" t="s">
        <v>215</v>
      </c>
      <c r="B124" s="49">
        <v>0</v>
      </c>
      <c r="C124" s="49">
        <v>234.43599900000001</v>
      </c>
      <c r="D124" s="50">
        <f t="shared" si="8"/>
        <v>1</v>
      </c>
      <c r="E124" s="49">
        <v>0</v>
      </c>
      <c r="F124" s="49">
        <v>9150656.0889623221</v>
      </c>
      <c r="G124" s="48">
        <f t="shared" si="9"/>
        <v>1</v>
      </c>
      <c r="H124" s="47">
        <f t="shared" si="10"/>
        <v>5.1270476148909247E-3</v>
      </c>
      <c r="I124" s="46">
        <f t="shared" si="11"/>
        <v>0</v>
      </c>
      <c r="J124" s="45">
        <f t="shared" si="12"/>
        <v>194.82780936585513</v>
      </c>
      <c r="K124" s="45">
        <f t="shared" si="13"/>
        <v>126.12537132631675</v>
      </c>
      <c r="L124" s="45">
        <f t="shared" si="14"/>
        <v>138.43028560205497</v>
      </c>
      <c r="M124" s="44">
        <f t="shared" si="15"/>
        <v>459.38346629422688</v>
      </c>
    </row>
    <row r="125" spans="1:13" ht="15" thickBot="1" x14ac:dyDescent="0.35">
      <c r="A125" s="68" t="s">
        <v>214</v>
      </c>
      <c r="B125" s="42">
        <v>4032.212235</v>
      </c>
      <c r="C125" s="40">
        <v>2422.4887196999998</v>
      </c>
      <c r="D125" s="41">
        <f t="shared" si="8"/>
        <v>-0.39921596917132518</v>
      </c>
      <c r="E125" s="40">
        <v>92096942.400000006</v>
      </c>
      <c r="F125" s="40">
        <v>113657848.765728</v>
      </c>
      <c r="G125" s="39">
        <f t="shared" si="9"/>
        <v>0.23411099004876398</v>
      </c>
      <c r="H125" s="38">
        <f t="shared" si="10"/>
        <v>6.3681685418257292E-2</v>
      </c>
      <c r="I125" s="37">
        <f t="shared" si="11"/>
        <v>5.7246569297941495E-2</v>
      </c>
      <c r="J125" s="36">
        <f t="shared" si="12"/>
        <v>2419.904045893777</v>
      </c>
      <c r="K125" s="36">
        <f t="shared" si="13"/>
        <v>1566.5694612891293</v>
      </c>
      <c r="L125" s="36">
        <f t="shared" si="14"/>
        <v>1719.4055062929469</v>
      </c>
      <c r="M125" s="36">
        <f t="shared" si="15"/>
        <v>5705.8790134758528</v>
      </c>
    </row>
    <row r="126" spans="1:13" x14ac:dyDescent="0.3">
      <c r="A126" s="81" t="s">
        <v>213</v>
      </c>
      <c r="B126" s="49">
        <v>0</v>
      </c>
      <c r="C126" s="49">
        <v>237.14100375000001</v>
      </c>
      <c r="D126" s="50">
        <f t="shared" si="8"/>
        <v>1</v>
      </c>
      <c r="E126" s="49">
        <v>0</v>
      </c>
      <c r="F126" s="49">
        <v>17945882.702863637</v>
      </c>
      <c r="G126" s="48">
        <f t="shared" si="9"/>
        <v>1</v>
      </c>
      <c r="H126" s="47">
        <f t="shared" si="10"/>
        <v>1.0054950619312709E-2</v>
      </c>
      <c r="I126" s="46">
        <f t="shared" si="11"/>
        <v>0</v>
      </c>
      <c r="J126" s="45">
        <f t="shared" si="12"/>
        <v>382.08812353388294</v>
      </c>
      <c r="K126" s="45">
        <f t="shared" si="13"/>
        <v>247.35178523509265</v>
      </c>
      <c r="L126" s="45">
        <f t="shared" si="14"/>
        <v>271.48366672144311</v>
      </c>
      <c r="M126" s="44">
        <f t="shared" si="15"/>
        <v>900.92357549041867</v>
      </c>
    </row>
    <row r="127" spans="1:13" x14ac:dyDescent="0.3">
      <c r="A127" s="80" t="s">
        <v>212</v>
      </c>
      <c r="B127" s="49">
        <v>2659.9172399999998</v>
      </c>
      <c r="C127" s="49">
        <v>370.8171337500001</v>
      </c>
      <c r="D127" s="50">
        <f t="shared" si="8"/>
        <v>-0.86059072508962708</v>
      </c>
      <c r="E127" s="49">
        <v>58432740</v>
      </c>
      <c r="F127" s="49">
        <v>29284334.247136366</v>
      </c>
      <c r="G127" s="48">
        <f t="shared" si="9"/>
        <v>-0.49883688070871973</v>
      </c>
      <c r="H127" s="47">
        <f t="shared" si="10"/>
        <v>1.6407804489183369E-2</v>
      </c>
      <c r="I127" s="46">
        <f t="shared" si="11"/>
        <v>3.6321226443654417E-2</v>
      </c>
      <c r="J127" s="45">
        <f t="shared" si="12"/>
        <v>623.49657058896798</v>
      </c>
      <c r="K127" s="45">
        <f t="shared" si="13"/>
        <v>403.63199043391086</v>
      </c>
      <c r="L127" s="45">
        <f t="shared" si="14"/>
        <v>443.01072120795095</v>
      </c>
      <c r="M127" s="44">
        <f t="shared" si="15"/>
        <v>1470.1392822308298</v>
      </c>
    </row>
    <row r="128" spans="1:13" x14ac:dyDescent="0.3">
      <c r="A128" s="80" t="s">
        <v>211</v>
      </c>
      <c r="B128" s="49">
        <v>442.724829</v>
      </c>
      <c r="C128" s="49">
        <v>277.80374999999998</v>
      </c>
      <c r="D128" s="50">
        <f t="shared" si="8"/>
        <v>-0.37251373358145229</v>
      </c>
      <c r="E128" s="49">
        <v>11886060</v>
      </c>
      <c r="F128" s="49">
        <v>10742730.6</v>
      </c>
      <c r="G128" s="48">
        <f t="shared" si="9"/>
        <v>-9.6190781470058231E-2</v>
      </c>
      <c r="H128" s="47">
        <f t="shared" si="10"/>
        <v>6.0190756558518655E-3</v>
      </c>
      <c r="I128" s="46">
        <f t="shared" si="11"/>
        <v>7.3882600196886715E-3</v>
      </c>
      <c r="J128" s="45">
        <f t="shared" si="12"/>
        <v>228.7248749223709</v>
      </c>
      <c r="K128" s="45">
        <f t="shared" si="13"/>
        <v>148.06926113395588</v>
      </c>
      <c r="L128" s="45">
        <f t="shared" si="14"/>
        <v>162.51504270800038</v>
      </c>
      <c r="M128" s="44">
        <f t="shared" si="15"/>
        <v>539.30917876432716</v>
      </c>
    </row>
    <row r="129" spans="1:13" x14ac:dyDescent="0.3">
      <c r="A129" s="80" t="s">
        <v>210</v>
      </c>
      <c r="B129" s="49">
        <v>857.73075000000006</v>
      </c>
      <c r="C129" s="49">
        <v>383.65504275000001</v>
      </c>
      <c r="D129" s="50">
        <f t="shared" si="8"/>
        <v>-0.55270923567797936</v>
      </c>
      <c r="E129" s="49">
        <v>23786400</v>
      </c>
      <c r="F129" s="49">
        <v>16189055.440384617</v>
      </c>
      <c r="G129" s="48">
        <f t="shared" si="9"/>
        <v>-0.31939867149360068</v>
      </c>
      <c r="H129" s="47">
        <f t="shared" si="10"/>
        <v>9.0706127818615551E-3</v>
      </c>
      <c r="I129" s="46">
        <f t="shared" si="11"/>
        <v>1.4785396349364096E-2</v>
      </c>
      <c r="J129" s="45">
        <f t="shared" si="12"/>
        <v>344.68328571073909</v>
      </c>
      <c r="K129" s="45">
        <f t="shared" si="13"/>
        <v>223.13707443379425</v>
      </c>
      <c r="L129" s="45">
        <f t="shared" si="14"/>
        <v>244.90654511026199</v>
      </c>
      <c r="M129" s="44">
        <f t="shared" si="15"/>
        <v>812.72690525479527</v>
      </c>
    </row>
    <row r="130" spans="1:13" x14ac:dyDescent="0.3">
      <c r="A130" s="80" t="s">
        <v>209</v>
      </c>
      <c r="B130" s="49">
        <v>0</v>
      </c>
      <c r="C130" s="49">
        <v>373.06310475000004</v>
      </c>
      <c r="D130" s="50">
        <f t="shared" si="8"/>
        <v>1</v>
      </c>
      <c r="E130" s="49">
        <v>0</v>
      </c>
      <c r="F130" s="49">
        <v>15488786.209615383</v>
      </c>
      <c r="G130" s="48">
        <f t="shared" si="9"/>
        <v>1</v>
      </c>
      <c r="H130" s="47">
        <f t="shared" si="10"/>
        <v>8.6782569054640584E-3</v>
      </c>
      <c r="I130" s="46">
        <f t="shared" si="11"/>
        <v>0</v>
      </c>
      <c r="J130" s="45">
        <f t="shared" si="12"/>
        <v>329.77376240763419</v>
      </c>
      <c r="K130" s="45">
        <f t="shared" si="13"/>
        <v>213.48511987441583</v>
      </c>
      <c r="L130" s="45">
        <f t="shared" si="14"/>
        <v>234.31293644752958</v>
      </c>
      <c r="M130" s="44">
        <f t="shared" si="15"/>
        <v>777.57181872957972</v>
      </c>
    </row>
    <row r="131" spans="1:13" x14ac:dyDescent="0.3">
      <c r="A131" s="80" t="s">
        <v>208</v>
      </c>
      <c r="B131" s="49">
        <v>73.870950000000008</v>
      </c>
      <c r="C131" s="49">
        <v>271.67726355000002</v>
      </c>
      <c r="D131" s="50">
        <f t="shared" si="8"/>
        <v>2.6777280317905756</v>
      </c>
      <c r="E131" s="49">
        <v>2641800</v>
      </c>
      <c r="F131" s="49">
        <v>17234138.419354815</v>
      </c>
      <c r="G131" s="48">
        <f t="shared" si="9"/>
        <v>5.5236348017846977</v>
      </c>
      <c r="H131" s="47">
        <f t="shared" si="10"/>
        <v>9.6561653523658045E-3</v>
      </c>
      <c r="I131" s="46">
        <f t="shared" si="11"/>
        <v>1.642117347549443E-3</v>
      </c>
      <c r="J131" s="45">
        <f t="shared" si="12"/>
        <v>366.93428338990054</v>
      </c>
      <c r="K131" s="45">
        <f t="shared" si="13"/>
        <v>237.54166766819878</v>
      </c>
      <c r="L131" s="45">
        <f t="shared" si="14"/>
        <v>260.7164645138767</v>
      </c>
      <c r="M131" s="44">
        <f t="shared" si="15"/>
        <v>865.19241557197597</v>
      </c>
    </row>
    <row r="132" spans="1:13" x14ac:dyDescent="0.3">
      <c r="A132" s="80" t="s">
        <v>207</v>
      </c>
      <c r="B132" s="49">
        <v>0</v>
      </c>
      <c r="C132" s="49">
        <v>233.74023855000002</v>
      </c>
      <c r="D132" s="50">
        <f t="shared" si="8"/>
        <v>1</v>
      </c>
      <c r="E132" s="49">
        <v>0</v>
      </c>
      <c r="F132" s="49">
        <v>14896401.280645186</v>
      </c>
      <c r="G132" s="48">
        <f t="shared" si="9"/>
        <v>1</v>
      </c>
      <c r="H132" s="47">
        <f t="shared" si="10"/>
        <v>8.3463478371255066E-3</v>
      </c>
      <c r="I132" s="46">
        <f t="shared" si="11"/>
        <v>0</v>
      </c>
      <c r="J132" s="45">
        <f t="shared" si="12"/>
        <v>317.16121781076924</v>
      </c>
      <c r="K132" s="45">
        <f t="shared" si="13"/>
        <v>205.32015679328745</v>
      </c>
      <c r="L132" s="45">
        <f t="shared" si="14"/>
        <v>225.35139160238867</v>
      </c>
      <c r="M132" s="44">
        <f t="shared" si="15"/>
        <v>747.83276620644529</v>
      </c>
    </row>
    <row r="133" spans="1:13" x14ac:dyDescent="0.3">
      <c r="A133" s="79" t="s">
        <v>206</v>
      </c>
      <c r="B133" s="49">
        <v>0</v>
      </c>
      <c r="C133" s="49">
        <v>607.90401000000008</v>
      </c>
      <c r="D133" s="50">
        <f t="shared" ref="D133:D196" si="16">IFERROR((C133-B133)/B133,100%)</f>
        <v>1</v>
      </c>
      <c r="E133" s="49">
        <v>0</v>
      </c>
      <c r="F133" s="49">
        <v>19527027.449999999</v>
      </c>
      <c r="G133" s="48">
        <f t="shared" ref="G133:G196" si="17">IFERROR((F133-E133)/E133,100%)</f>
        <v>1</v>
      </c>
      <c r="H133" s="47">
        <f t="shared" ref="H133:H196" si="18">F133/$F$3</f>
        <v>1.0940854791187459E-2</v>
      </c>
      <c r="I133" s="46">
        <f t="shared" ref="I133:I196" si="19">E133/$E$3</f>
        <v>0</v>
      </c>
      <c r="J133" s="45">
        <f t="shared" ref="J133:J196" si="20">$J$3*H133</f>
        <v>415.75248206512344</v>
      </c>
      <c r="K133" s="45">
        <f t="shared" ref="K133:K196" si="21">$K$3*H133</f>
        <v>269.14502786321151</v>
      </c>
      <c r="L133" s="45">
        <f t="shared" ref="L133:L196" si="22">$L$3*H133</f>
        <v>295.40307936206142</v>
      </c>
      <c r="M133" s="44">
        <f t="shared" ref="M133:M196" si="23">SUM(J133:L133)</f>
        <v>980.30058929039637</v>
      </c>
    </row>
    <row r="134" spans="1:13" ht="15" thickBot="1" x14ac:dyDescent="0.35">
      <c r="A134" s="78" t="s">
        <v>205</v>
      </c>
      <c r="B134" s="49">
        <v>983.64260999999999</v>
      </c>
      <c r="C134" s="49">
        <v>380.44770749999998</v>
      </c>
      <c r="D134" s="50">
        <f t="shared" si="16"/>
        <v>-0.61322567400775774</v>
      </c>
      <c r="E134" s="49">
        <v>28739042.640000001</v>
      </c>
      <c r="F134" s="49">
        <v>15501871.875</v>
      </c>
      <c r="G134" s="48">
        <f t="shared" si="17"/>
        <v>-0.46059887696384311</v>
      </c>
      <c r="H134" s="47">
        <f t="shared" si="18"/>
        <v>8.6855887108392357E-3</v>
      </c>
      <c r="I134" s="46">
        <f t="shared" si="19"/>
        <v>1.7863911148121411E-2</v>
      </c>
      <c r="J134" s="45">
        <f t="shared" si="20"/>
        <v>330.05237101189095</v>
      </c>
      <c r="K134" s="45">
        <f t="shared" si="21"/>
        <v>213.66548228664519</v>
      </c>
      <c r="L134" s="45">
        <f t="shared" si="22"/>
        <v>234.51089519265938</v>
      </c>
      <c r="M134" s="44">
        <f t="shared" si="23"/>
        <v>778.22874849119557</v>
      </c>
    </row>
    <row r="135" spans="1:13" ht="15" thickBot="1" x14ac:dyDescent="0.35">
      <c r="A135" s="68" t="s">
        <v>204</v>
      </c>
      <c r="B135" s="42">
        <v>5017.8863789999996</v>
      </c>
      <c r="C135" s="40">
        <v>3136.2492546000003</v>
      </c>
      <c r="D135" s="41">
        <f t="shared" si="16"/>
        <v>-0.3749859965492055</v>
      </c>
      <c r="E135" s="40">
        <v>125486042.64</v>
      </c>
      <c r="F135" s="40">
        <v>156810228.22499999</v>
      </c>
      <c r="G135" s="39">
        <f t="shared" si="17"/>
        <v>0.24962286582631524</v>
      </c>
      <c r="H135" s="38">
        <f t="shared" si="18"/>
        <v>8.7859657143191563E-2</v>
      </c>
      <c r="I135" s="37">
        <f t="shared" si="19"/>
        <v>7.8000911308378038E-2</v>
      </c>
      <c r="J135" s="36">
        <f t="shared" si="20"/>
        <v>3338.6669714412792</v>
      </c>
      <c r="K135" s="36">
        <f t="shared" si="21"/>
        <v>2161.3475657225126</v>
      </c>
      <c r="L135" s="36">
        <f t="shared" si="22"/>
        <v>2372.210742866172</v>
      </c>
      <c r="M135" s="36">
        <f t="shared" si="23"/>
        <v>7872.2252800299639</v>
      </c>
    </row>
    <row r="136" spans="1:13" x14ac:dyDescent="0.3">
      <c r="A136" s="73" t="s">
        <v>203</v>
      </c>
      <c r="B136" s="49">
        <v>0</v>
      </c>
      <c r="C136" s="49">
        <v>329.83918065</v>
      </c>
      <c r="D136" s="50">
        <f t="shared" si="16"/>
        <v>1</v>
      </c>
      <c r="E136" s="49">
        <v>0</v>
      </c>
      <c r="F136" s="49">
        <v>9202112.8404059112</v>
      </c>
      <c r="G136" s="48">
        <f t="shared" si="17"/>
        <v>1</v>
      </c>
      <c r="H136" s="47">
        <f t="shared" si="18"/>
        <v>5.1558784672575781E-3</v>
      </c>
      <c r="I136" s="46">
        <f t="shared" si="19"/>
        <v>0</v>
      </c>
      <c r="J136" s="45">
        <f t="shared" si="20"/>
        <v>195.92338175578797</v>
      </c>
      <c r="K136" s="45">
        <f t="shared" si="21"/>
        <v>126.83461029453642</v>
      </c>
      <c r="L136" s="45">
        <f t="shared" si="22"/>
        <v>139.20871861595461</v>
      </c>
      <c r="M136" s="44">
        <f t="shared" si="23"/>
        <v>461.96671066627903</v>
      </c>
    </row>
    <row r="137" spans="1:13" x14ac:dyDescent="0.3">
      <c r="A137" s="70" t="s">
        <v>202</v>
      </c>
      <c r="B137" s="49">
        <v>0</v>
      </c>
      <c r="C137" s="49">
        <v>206.28430410000004</v>
      </c>
      <c r="D137" s="50">
        <f t="shared" si="16"/>
        <v>1</v>
      </c>
      <c r="E137" s="49">
        <v>0</v>
      </c>
      <c r="F137" s="49">
        <v>8721146.8760115597</v>
      </c>
      <c r="G137" s="48">
        <f t="shared" si="17"/>
        <v>1</v>
      </c>
      <c r="H137" s="47">
        <f t="shared" si="18"/>
        <v>4.8863966534271764E-3</v>
      </c>
      <c r="I137" s="46">
        <f t="shared" si="19"/>
        <v>0</v>
      </c>
      <c r="J137" s="45">
        <f t="shared" si="20"/>
        <v>185.6830728302327</v>
      </c>
      <c r="K137" s="45">
        <f t="shared" si="21"/>
        <v>120.20535767430854</v>
      </c>
      <c r="L137" s="45">
        <f t="shared" si="22"/>
        <v>131.93270964253375</v>
      </c>
      <c r="M137" s="44">
        <f t="shared" si="23"/>
        <v>437.82114014707497</v>
      </c>
    </row>
    <row r="138" spans="1:13" x14ac:dyDescent="0.3">
      <c r="A138" s="70" t="s">
        <v>201</v>
      </c>
      <c r="B138" s="49">
        <v>0</v>
      </c>
      <c r="C138" s="49">
        <v>294.81203010000002</v>
      </c>
      <c r="D138" s="50">
        <f t="shared" si="16"/>
        <v>1</v>
      </c>
      <c r="E138" s="49">
        <v>0</v>
      </c>
      <c r="F138" s="49">
        <v>15920608.526765581</v>
      </c>
      <c r="G138" s="48">
        <f t="shared" si="17"/>
        <v>1</v>
      </c>
      <c r="H138" s="47">
        <f t="shared" si="18"/>
        <v>8.920203882782125E-3</v>
      </c>
      <c r="I138" s="46">
        <f t="shared" si="19"/>
        <v>0</v>
      </c>
      <c r="J138" s="45">
        <f t="shared" si="20"/>
        <v>338.96774754572073</v>
      </c>
      <c r="K138" s="45">
        <f t="shared" si="21"/>
        <v>219.43701551644028</v>
      </c>
      <c r="L138" s="45">
        <f t="shared" si="22"/>
        <v>240.84550483511737</v>
      </c>
      <c r="M138" s="44">
        <f t="shared" si="23"/>
        <v>799.25026789727838</v>
      </c>
    </row>
    <row r="139" spans="1:13" x14ac:dyDescent="0.3">
      <c r="A139" s="71" t="s">
        <v>200</v>
      </c>
      <c r="B139" s="49">
        <v>0</v>
      </c>
      <c r="C139" s="49">
        <v>151.38930975</v>
      </c>
      <c r="D139" s="50">
        <f t="shared" si="16"/>
        <v>1</v>
      </c>
      <c r="E139" s="49">
        <v>0</v>
      </c>
      <c r="F139" s="49">
        <v>8109276.6291547986</v>
      </c>
      <c r="G139" s="48">
        <f t="shared" si="17"/>
        <v>1</v>
      </c>
      <c r="H139" s="47">
        <f t="shared" si="18"/>
        <v>4.543570099869592E-3</v>
      </c>
      <c r="I139" s="46">
        <f t="shared" si="19"/>
        <v>0</v>
      </c>
      <c r="J139" s="45">
        <f t="shared" si="20"/>
        <v>172.65566379504449</v>
      </c>
      <c r="K139" s="45">
        <f t="shared" si="21"/>
        <v>111.77182445679196</v>
      </c>
      <c r="L139" s="45">
        <f t="shared" si="22"/>
        <v>122.67639269647898</v>
      </c>
      <c r="M139" s="44">
        <f t="shared" si="23"/>
        <v>407.10388094831546</v>
      </c>
    </row>
    <row r="140" spans="1:13" x14ac:dyDescent="0.3">
      <c r="A140" s="70" t="s">
        <v>199</v>
      </c>
      <c r="B140" s="49">
        <v>0</v>
      </c>
      <c r="C140" s="49">
        <v>130.75543425000001</v>
      </c>
      <c r="D140" s="50">
        <f t="shared" si="16"/>
        <v>1</v>
      </c>
      <c r="E140" s="49">
        <v>0</v>
      </c>
      <c r="F140" s="49">
        <v>7089877.5051074419</v>
      </c>
      <c r="G140" s="48">
        <f t="shared" si="17"/>
        <v>1</v>
      </c>
      <c r="H140" s="47">
        <f t="shared" si="18"/>
        <v>3.9724080108612201E-3</v>
      </c>
      <c r="I140" s="46">
        <f t="shared" si="19"/>
        <v>0</v>
      </c>
      <c r="J140" s="45">
        <f t="shared" si="20"/>
        <v>150.95150441272636</v>
      </c>
      <c r="K140" s="45">
        <f t="shared" si="21"/>
        <v>97.72123706718601</v>
      </c>
      <c r="L140" s="45">
        <f t="shared" si="22"/>
        <v>107.25501629325294</v>
      </c>
      <c r="M140" s="44">
        <f t="shared" si="23"/>
        <v>355.9277577731653</v>
      </c>
    </row>
    <row r="141" spans="1:13" x14ac:dyDescent="0.3">
      <c r="A141" s="70" t="s">
        <v>198</v>
      </c>
      <c r="B141" s="49">
        <v>0</v>
      </c>
      <c r="C141" s="49">
        <v>84.927118500000006</v>
      </c>
      <c r="D141" s="50">
        <f t="shared" si="16"/>
        <v>1</v>
      </c>
      <c r="E141" s="49">
        <v>0</v>
      </c>
      <c r="F141" s="49">
        <v>4440705.2657377608</v>
      </c>
      <c r="G141" s="48">
        <f t="shared" si="17"/>
        <v>1</v>
      </c>
      <c r="H141" s="47">
        <f t="shared" si="18"/>
        <v>2.4880956206623432E-3</v>
      </c>
      <c r="I141" s="46">
        <f t="shared" si="19"/>
        <v>0</v>
      </c>
      <c r="J141" s="45">
        <f t="shared" si="20"/>
        <v>94.547633585169038</v>
      </c>
      <c r="K141" s="45">
        <f t="shared" si="21"/>
        <v>61.20715226829364</v>
      </c>
      <c r="L141" s="45">
        <f t="shared" si="22"/>
        <v>67.178581757883265</v>
      </c>
      <c r="M141" s="44">
        <f t="shared" si="23"/>
        <v>222.93336761134594</v>
      </c>
    </row>
    <row r="142" spans="1:13" ht="15" thickBot="1" x14ac:dyDescent="0.35">
      <c r="A142" s="69" t="s">
        <v>197</v>
      </c>
      <c r="B142" s="49">
        <v>0</v>
      </c>
      <c r="C142" s="49">
        <v>113.93444999999998</v>
      </c>
      <c r="D142" s="50">
        <f t="shared" si="16"/>
        <v>1</v>
      </c>
      <c r="E142" s="49">
        <v>0</v>
      </c>
      <c r="F142" s="49">
        <v>5062548.75</v>
      </c>
      <c r="G142" s="48">
        <f t="shared" si="17"/>
        <v>1</v>
      </c>
      <c r="H142" s="47">
        <f t="shared" si="18"/>
        <v>2.8365101083041486E-3</v>
      </c>
      <c r="I142" s="46">
        <f t="shared" si="19"/>
        <v>0</v>
      </c>
      <c r="J142" s="45">
        <f t="shared" si="20"/>
        <v>107.78738411555764</v>
      </c>
      <c r="K142" s="45">
        <f t="shared" si="21"/>
        <v>69.778148664282057</v>
      </c>
      <c r="L142" s="45">
        <f t="shared" si="22"/>
        <v>76.585772924212009</v>
      </c>
      <c r="M142" s="44">
        <f t="shared" si="23"/>
        <v>254.15130570405171</v>
      </c>
    </row>
    <row r="143" spans="1:13" ht="15" thickBot="1" x14ac:dyDescent="0.35">
      <c r="A143" s="68" t="s">
        <v>196</v>
      </c>
      <c r="B143" s="42">
        <v>0</v>
      </c>
      <c r="C143" s="40">
        <v>1311.94182735</v>
      </c>
      <c r="D143" s="41">
        <f t="shared" si="16"/>
        <v>1</v>
      </c>
      <c r="E143" s="40">
        <v>0</v>
      </c>
      <c r="F143" s="40">
        <v>58546276.393183053</v>
      </c>
      <c r="G143" s="39">
        <f t="shared" si="17"/>
        <v>1</v>
      </c>
      <c r="H143" s="38">
        <f t="shared" si="18"/>
        <v>3.2803062843164185E-2</v>
      </c>
      <c r="I143" s="37">
        <f t="shared" si="19"/>
        <v>0</v>
      </c>
      <c r="J143" s="36">
        <f t="shared" si="20"/>
        <v>1246.516388040239</v>
      </c>
      <c r="K143" s="36">
        <f t="shared" si="21"/>
        <v>806.95534594183891</v>
      </c>
      <c r="L143" s="36">
        <f t="shared" si="22"/>
        <v>885.68269676543298</v>
      </c>
      <c r="M143" s="36">
        <f t="shared" si="23"/>
        <v>2939.154430747511</v>
      </c>
    </row>
    <row r="144" spans="1:13" ht="15" thickBot="1" x14ac:dyDescent="0.35">
      <c r="A144" s="77" t="s">
        <v>195</v>
      </c>
      <c r="B144" s="34">
        <v>9050.0986139999986</v>
      </c>
      <c r="C144" s="32">
        <v>6870.6798016500006</v>
      </c>
      <c r="D144" s="33">
        <f t="shared" si="16"/>
        <v>-0.24081713418885387</v>
      </c>
      <c r="E144" s="32">
        <v>217582985.04000002</v>
      </c>
      <c r="F144" s="32">
        <v>329014353.38391101</v>
      </c>
      <c r="G144" s="31">
        <f t="shared" si="17"/>
        <v>0.51213273098273593</v>
      </c>
      <c r="H144" s="30">
        <f t="shared" si="18"/>
        <v>0.184344405404613</v>
      </c>
      <c r="I144" s="29">
        <f t="shared" si="19"/>
        <v>0.13524748060631955</v>
      </c>
      <c r="J144" s="28">
        <f t="shared" si="20"/>
        <v>7005.0874053752941</v>
      </c>
      <c r="K144" s="28">
        <f t="shared" si="21"/>
        <v>4534.8723729534795</v>
      </c>
      <c r="L144" s="28">
        <f t="shared" si="22"/>
        <v>4977.2989459245509</v>
      </c>
      <c r="M144" s="28">
        <f t="shared" si="23"/>
        <v>16517.258724253326</v>
      </c>
    </row>
    <row r="145" spans="1:13" x14ac:dyDescent="0.3">
      <c r="A145" s="73" t="s">
        <v>194</v>
      </c>
      <c r="B145" s="49">
        <v>197.15197499999999</v>
      </c>
      <c r="C145" s="49">
        <v>63.535605000000004</v>
      </c>
      <c r="D145" s="50">
        <f t="shared" si="16"/>
        <v>-0.67773285050783794</v>
      </c>
      <c r="E145" s="49">
        <v>6451367.4000000004</v>
      </c>
      <c r="F145" s="49">
        <v>3161623.1850000005</v>
      </c>
      <c r="G145" s="48">
        <f t="shared" si="17"/>
        <v>-0.50992975768206905</v>
      </c>
      <c r="H145" s="47">
        <f t="shared" si="18"/>
        <v>1.7714350153963966E-3</v>
      </c>
      <c r="I145" s="46">
        <f t="shared" si="19"/>
        <v>4.0101076247085121E-3</v>
      </c>
      <c r="J145" s="45">
        <f t="shared" si="20"/>
        <v>67.314530585063068</v>
      </c>
      <c r="K145" s="45">
        <f t="shared" si="21"/>
        <v>43.577301378751358</v>
      </c>
      <c r="L145" s="45">
        <f t="shared" si="22"/>
        <v>47.828745415702713</v>
      </c>
      <c r="M145" s="44">
        <f t="shared" si="23"/>
        <v>158.72057737951712</v>
      </c>
    </row>
    <row r="146" spans="1:13" x14ac:dyDescent="0.3">
      <c r="A146" s="70" t="s">
        <v>193</v>
      </c>
      <c r="B146" s="49">
        <v>0</v>
      </c>
      <c r="C146" s="49">
        <v>88.952587500000007</v>
      </c>
      <c r="D146" s="50">
        <f t="shared" si="16"/>
        <v>1</v>
      </c>
      <c r="E146" s="49">
        <v>0</v>
      </c>
      <c r="F146" s="49">
        <v>4979459.8770000003</v>
      </c>
      <c r="G146" s="48">
        <f t="shared" si="17"/>
        <v>1</v>
      </c>
      <c r="H146" s="47">
        <f t="shared" si="18"/>
        <v>2.7899560028938849E-3</v>
      </c>
      <c r="I146" s="46">
        <f t="shared" si="19"/>
        <v>0</v>
      </c>
      <c r="J146" s="45">
        <f t="shared" si="20"/>
        <v>106.01832810996763</v>
      </c>
      <c r="K146" s="45">
        <f t="shared" si="21"/>
        <v>68.632917671189574</v>
      </c>
      <c r="L146" s="45">
        <f t="shared" si="22"/>
        <v>75.328812078134888</v>
      </c>
      <c r="M146" s="44">
        <f t="shared" si="23"/>
        <v>249.98005785929209</v>
      </c>
    </row>
    <row r="147" spans="1:13" x14ac:dyDescent="0.3">
      <c r="A147" s="70" t="s">
        <v>192</v>
      </c>
      <c r="B147" s="49">
        <v>0</v>
      </c>
      <c r="C147" s="49">
        <v>0</v>
      </c>
      <c r="D147" s="50">
        <f t="shared" si="16"/>
        <v>1</v>
      </c>
      <c r="E147" s="49">
        <v>0</v>
      </c>
      <c r="F147" s="49">
        <v>0</v>
      </c>
      <c r="G147" s="48">
        <f t="shared" si="17"/>
        <v>1</v>
      </c>
      <c r="H147" s="47">
        <f t="shared" si="18"/>
        <v>0</v>
      </c>
      <c r="I147" s="46">
        <f t="shared" si="19"/>
        <v>0</v>
      </c>
      <c r="J147" s="45">
        <f t="shared" si="20"/>
        <v>0</v>
      </c>
      <c r="K147" s="45">
        <f t="shared" si="21"/>
        <v>0</v>
      </c>
      <c r="L147" s="45">
        <f t="shared" si="22"/>
        <v>0</v>
      </c>
      <c r="M147" s="44">
        <f t="shared" si="23"/>
        <v>0</v>
      </c>
    </row>
    <row r="148" spans="1:13" x14ac:dyDescent="0.3">
      <c r="A148" s="70" t="s">
        <v>191</v>
      </c>
      <c r="B148" s="49">
        <v>62.026200000000003</v>
      </c>
      <c r="C148" s="49">
        <v>63.462367500000006</v>
      </c>
      <c r="D148" s="50">
        <f t="shared" si="16"/>
        <v>2.3154207415576052E-2</v>
      </c>
      <c r="E148" s="49">
        <v>1723800</v>
      </c>
      <c r="F148" s="49">
        <v>2862787.9770000004</v>
      </c>
      <c r="G148" s="48">
        <f t="shared" si="17"/>
        <v>0.66074253219631074</v>
      </c>
      <c r="H148" s="47">
        <f t="shared" si="18"/>
        <v>1.603999770805582E-3</v>
      </c>
      <c r="I148" s="46">
        <f t="shared" si="19"/>
        <v>1.0714974198295594E-3</v>
      </c>
      <c r="J148" s="45">
        <f t="shared" si="20"/>
        <v>60.951991290612114</v>
      </c>
      <c r="K148" s="45">
        <f t="shared" si="21"/>
        <v>39.458394361817319</v>
      </c>
      <c r="L148" s="45">
        <f t="shared" si="22"/>
        <v>43.307993811750713</v>
      </c>
      <c r="M148" s="44">
        <f t="shared" si="23"/>
        <v>143.71837946418015</v>
      </c>
    </row>
    <row r="149" spans="1:13" x14ac:dyDescent="0.3">
      <c r="A149" s="71" t="s">
        <v>190</v>
      </c>
      <c r="B149" s="49">
        <v>0</v>
      </c>
      <c r="C149" s="49">
        <v>12.80475</v>
      </c>
      <c r="D149" s="50">
        <f t="shared" si="16"/>
        <v>1</v>
      </c>
      <c r="E149" s="49">
        <v>0</v>
      </c>
      <c r="F149" s="49">
        <v>411600</v>
      </c>
      <c r="G149" s="48">
        <f t="shared" si="17"/>
        <v>1</v>
      </c>
      <c r="H149" s="47">
        <f t="shared" si="18"/>
        <v>2.3061655664609402E-4</v>
      </c>
      <c r="I149" s="46">
        <f t="shared" si="19"/>
        <v>0</v>
      </c>
      <c r="J149" s="45">
        <f t="shared" si="20"/>
        <v>8.7634291525515735</v>
      </c>
      <c r="K149" s="45">
        <f t="shared" si="21"/>
        <v>5.673167293493913</v>
      </c>
      <c r="L149" s="45">
        <f t="shared" si="22"/>
        <v>6.2266470294445382</v>
      </c>
      <c r="M149" s="44">
        <f t="shared" si="23"/>
        <v>20.663243475490024</v>
      </c>
    </row>
    <row r="150" spans="1:13" x14ac:dyDescent="0.3">
      <c r="A150" s="70" t="s">
        <v>189</v>
      </c>
      <c r="B150" s="49">
        <v>85.759560000000008</v>
      </c>
      <c r="C150" s="49">
        <v>7.1670375000000002</v>
      </c>
      <c r="D150" s="50">
        <f t="shared" si="16"/>
        <v>-0.91642870485809391</v>
      </c>
      <c r="E150" s="49">
        <v>3915984</v>
      </c>
      <c r="F150" s="49">
        <v>2325951.0000000005</v>
      </c>
      <c r="G150" s="48">
        <f t="shared" si="17"/>
        <v>-0.40603664366350822</v>
      </c>
      <c r="H150" s="47">
        <f t="shared" si="18"/>
        <v>1.3032138254313391E-3</v>
      </c>
      <c r="I150" s="46">
        <f t="shared" si="19"/>
        <v>2.4341378072246416E-3</v>
      </c>
      <c r="J150" s="45">
        <f t="shared" si="20"/>
        <v>49.522125366390881</v>
      </c>
      <c r="K150" s="45">
        <f t="shared" si="21"/>
        <v>32.059060105610939</v>
      </c>
      <c r="L150" s="45">
        <f t="shared" si="22"/>
        <v>35.186773286646158</v>
      </c>
      <c r="M150" s="44">
        <f t="shared" si="23"/>
        <v>116.76795875864798</v>
      </c>
    </row>
    <row r="151" spans="1:13" x14ac:dyDescent="0.3">
      <c r="A151" s="70" t="s">
        <v>188</v>
      </c>
      <c r="B151" s="49">
        <v>0</v>
      </c>
      <c r="C151" s="49">
        <v>5.4067124999999994</v>
      </c>
      <c r="D151" s="50">
        <f t="shared" si="16"/>
        <v>1</v>
      </c>
      <c r="E151" s="49">
        <v>0</v>
      </c>
      <c r="F151" s="49">
        <v>1744463.25</v>
      </c>
      <c r="G151" s="48">
        <f t="shared" si="17"/>
        <v>1</v>
      </c>
      <c r="H151" s="47">
        <f t="shared" si="18"/>
        <v>9.7741036907350413E-4</v>
      </c>
      <c r="I151" s="46">
        <f t="shared" si="19"/>
        <v>0</v>
      </c>
      <c r="J151" s="45">
        <f t="shared" si="20"/>
        <v>37.141594024793157</v>
      </c>
      <c r="K151" s="45">
        <f t="shared" si="21"/>
        <v>24.044295079208201</v>
      </c>
      <c r="L151" s="45">
        <f t="shared" si="22"/>
        <v>26.390079964984611</v>
      </c>
      <c r="M151" s="44">
        <f t="shared" si="23"/>
        <v>87.57596906898597</v>
      </c>
    </row>
    <row r="152" spans="1:13" ht="15" thickBot="1" x14ac:dyDescent="0.35">
      <c r="A152" s="76" t="s">
        <v>187</v>
      </c>
      <c r="B152" s="49">
        <v>148.30034999999998</v>
      </c>
      <c r="C152" s="49">
        <v>89.202750000000009</v>
      </c>
      <c r="D152" s="50">
        <f t="shared" si="16"/>
        <v>-0.39849939666359507</v>
      </c>
      <c r="E152" s="49">
        <v>4548190.2</v>
      </c>
      <c r="F152" s="49">
        <v>3455241.3000000003</v>
      </c>
      <c r="G152" s="48">
        <f t="shared" si="17"/>
        <v>-0.24030413239973997</v>
      </c>
      <c r="H152" s="47">
        <f t="shared" si="18"/>
        <v>1.9359471598332694E-3</v>
      </c>
      <c r="I152" s="46">
        <f t="shared" si="19"/>
        <v>2.8271110710024875E-3</v>
      </c>
      <c r="J152" s="45">
        <f t="shared" si="20"/>
        <v>73.565992073664233</v>
      </c>
      <c r="K152" s="45">
        <f t="shared" si="21"/>
        <v>47.62430013189843</v>
      </c>
      <c r="L152" s="45">
        <f t="shared" si="22"/>
        <v>52.270573315498275</v>
      </c>
      <c r="M152" s="44">
        <f t="shared" si="23"/>
        <v>173.46086552106092</v>
      </c>
    </row>
    <row r="153" spans="1:13" ht="15" thickBot="1" x14ac:dyDescent="0.35">
      <c r="A153" s="68" t="s">
        <v>186</v>
      </c>
      <c r="B153" s="42">
        <v>493.23808500000001</v>
      </c>
      <c r="C153" s="40">
        <v>330.53181000000006</v>
      </c>
      <c r="D153" s="41">
        <f t="shared" si="16"/>
        <v>-0.32987370592033649</v>
      </c>
      <c r="E153" s="40">
        <v>16639341.600000001</v>
      </c>
      <c r="F153" s="40">
        <v>18941126.589000002</v>
      </c>
      <c r="G153" s="39">
        <f t="shared" si="17"/>
        <v>0.13833389831963061</v>
      </c>
      <c r="H153" s="38">
        <f t="shared" si="18"/>
        <v>1.061257870008007E-2</v>
      </c>
      <c r="I153" s="37">
        <f t="shared" si="19"/>
        <v>1.03428539227652E-2</v>
      </c>
      <c r="J153" s="36">
        <f t="shared" si="20"/>
        <v>403.27799060304267</v>
      </c>
      <c r="K153" s="36">
        <f t="shared" si="21"/>
        <v>261.06943602196969</v>
      </c>
      <c r="L153" s="36">
        <f t="shared" si="22"/>
        <v>286.5396249021619</v>
      </c>
      <c r="M153" s="36">
        <f t="shared" si="23"/>
        <v>950.88705152717421</v>
      </c>
    </row>
    <row r="154" spans="1:13" x14ac:dyDescent="0.3">
      <c r="A154" s="73" t="s">
        <v>185</v>
      </c>
      <c r="B154" s="49">
        <v>234.15018000000001</v>
      </c>
      <c r="C154" s="49">
        <v>78.199619400000017</v>
      </c>
      <c r="D154" s="50">
        <f t="shared" si="16"/>
        <v>-0.66602793386705905</v>
      </c>
      <c r="E154" s="49">
        <v>5858625</v>
      </c>
      <c r="F154" s="49">
        <v>4134281.5922916667</v>
      </c>
      <c r="G154" s="48">
        <f t="shared" si="17"/>
        <v>-0.29432561526097561</v>
      </c>
      <c r="H154" s="47">
        <f t="shared" si="18"/>
        <v>2.3164086127785105E-3</v>
      </c>
      <c r="I154" s="46">
        <f t="shared" si="19"/>
        <v>3.6416646776012019E-3</v>
      </c>
      <c r="J154" s="45">
        <f t="shared" si="20"/>
        <v>88.023527285583398</v>
      </c>
      <c r="K154" s="45">
        <f t="shared" si="21"/>
        <v>56.983651874351359</v>
      </c>
      <c r="L154" s="45">
        <f t="shared" si="22"/>
        <v>62.543032545019784</v>
      </c>
      <c r="M154" s="44">
        <f t="shared" si="23"/>
        <v>207.55021170495456</v>
      </c>
    </row>
    <row r="155" spans="1:13" x14ac:dyDescent="0.3">
      <c r="A155" s="70" t="s">
        <v>184</v>
      </c>
      <c r="B155" s="49">
        <v>0</v>
      </c>
      <c r="C155" s="49">
        <v>67.060348950000005</v>
      </c>
      <c r="D155" s="50">
        <f t="shared" si="16"/>
        <v>1</v>
      </c>
      <c r="E155" s="49">
        <v>0</v>
      </c>
      <c r="F155" s="49">
        <v>3438058.7599652773</v>
      </c>
      <c r="G155" s="48">
        <f t="shared" si="17"/>
        <v>1</v>
      </c>
      <c r="H155" s="47">
        <f t="shared" si="18"/>
        <v>1.9263199046893396E-3</v>
      </c>
      <c r="I155" s="46">
        <f t="shared" si="19"/>
        <v>0</v>
      </c>
      <c r="J155" s="45">
        <f t="shared" si="20"/>
        <v>73.200156378194905</v>
      </c>
      <c r="K155" s="45">
        <f t="shared" si="21"/>
        <v>47.387469655357755</v>
      </c>
      <c r="L155" s="45">
        <f t="shared" si="22"/>
        <v>52.01063742661217</v>
      </c>
      <c r="M155" s="44">
        <f t="shared" si="23"/>
        <v>172.59826346016482</v>
      </c>
    </row>
    <row r="156" spans="1:13" x14ac:dyDescent="0.3">
      <c r="A156" s="70" t="s">
        <v>183</v>
      </c>
      <c r="B156" s="49">
        <v>0</v>
      </c>
      <c r="C156" s="49">
        <v>33.847952249999999</v>
      </c>
      <c r="D156" s="50">
        <f t="shared" si="16"/>
        <v>1</v>
      </c>
      <c r="E156" s="49">
        <v>0</v>
      </c>
      <c r="F156" s="49">
        <v>1743198.1594270833</v>
      </c>
      <c r="G156" s="48">
        <f t="shared" si="17"/>
        <v>1</v>
      </c>
      <c r="H156" s="47">
        <f t="shared" si="18"/>
        <v>9.7670154781069694E-4</v>
      </c>
      <c r="I156" s="46">
        <f t="shared" si="19"/>
        <v>0</v>
      </c>
      <c r="J156" s="45">
        <f t="shared" si="20"/>
        <v>37.114658816806482</v>
      </c>
      <c r="K156" s="45">
        <f t="shared" si="21"/>
        <v>24.026858076143146</v>
      </c>
      <c r="L156" s="45">
        <f t="shared" si="22"/>
        <v>26.370941790888818</v>
      </c>
      <c r="M156" s="44">
        <f t="shared" si="23"/>
        <v>87.512458683838446</v>
      </c>
    </row>
    <row r="157" spans="1:13" x14ac:dyDescent="0.3">
      <c r="A157" s="70" t="s">
        <v>182</v>
      </c>
      <c r="B157" s="49">
        <v>0</v>
      </c>
      <c r="C157" s="49">
        <v>24.497320050000003</v>
      </c>
      <c r="D157" s="50">
        <f t="shared" si="16"/>
        <v>1</v>
      </c>
      <c r="E157" s="49">
        <v>0</v>
      </c>
      <c r="F157" s="49">
        <v>1356497.688315972</v>
      </c>
      <c r="G157" s="48">
        <f t="shared" si="17"/>
        <v>1</v>
      </c>
      <c r="H157" s="47">
        <f t="shared" si="18"/>
        <v>7.6003602035426619E-4</v>
      </c>
      <c r="I157" s="46">
        <f t="shared" si="19"/>
        <v>0</v>
      </c>
      <c r="J157" s="45">
        <f t="shared" si="20"/>
        <v>28.881368773462114</v>
      </c>
      <c r="K157" s="45">
        <f t="shared" si="21"/>
        <v>18.696886100714948</v>
      </c>
      <c r="L157" s="45">
        <f t="shared" si="22"/>
        <v>20.520972549565187</v>
      </c>
      <c r="M157" s="44">
        <f t="shared" si="23"/>
        <v>68.099227423742249</v>
      </c>
    </row>
    <row r="158" spans="1:13" x14ac:dyDescent="0.3">
      <c r="A158" s="71" t="s">
        <v>181</v>
      </c>
      <c r="B158" s="49">
        <v>0</v>
      </c>
      <c r="C158" s="49">
        <v>25.377292499999999</v>
      </c>
      <c r="D158" s="50">
        <f t="shared" si="16"/>
        <v>1</v>
      </c>
      <c r="E158" s="49">
        <v>0</v>
      </c>
      <c r="F158" s="49">
        <v>1333500</v>
      </c>
      <c r="G158" s="48">
        <f t="shared" si="17"/>
        <v>1</v>
      </c>
      <c r="H158" s="47">
        <f t="shared" si="18"/>
        <v>7.4715057892994752E-4</v>
      </c>
      <c r="I158" s="46">
        <f t="shared" si="19"/>
        <v>0</v>
      </c>
      <c r="J158" s="45">
        <f t="shared" si="20"/>
        <v>28.391721999338007</v>
      </c>
      <c r="K158" s="45">
        <f t="shared" si="21"/>
        <v>18.379904241676709</v>
      </c>
      <c r="L158" s="45">
        <f t="shared" si="22"/>
        <v>20.173065631108582</v>
      </c>
      <c r="M158" s="44">
        <f t="shared" si="23"/>
        <v>66.9446918721233</v>
      </c>
    </row>
    <row r="159" spans="1:13" x14ac:dyDescent="0.3">
      <c r="A159" s="71" t="s">
        <v>180</v>
      </c>
      <c r="B159" s="49">
        <v>0</v>
      </c>
      <c r="C159" s="49">
        <v>12.625305000000001</v>
      </c>
      <c r="D159" s="50">
        <f t="shared" si="16"/>
        <v>1</v>
      </c>
      <c r="E159" s="49">
        <v>0</v>
      </c>
      <c r="F159" s="49">
        <v>909888</v>
      </c>
      <c r="G159" s="48">
        <f t="shared" si="17"/>
        <v>1</v>
      </c>
      <c r="H159" s="47">
        <f t="shared" si="18"/>
        <v>5.0980378399805926E-4</v>
      </c>
      <c r="I159" s="46">
        <f t="shared" si="19"/>
        <v>0</v>
      </c>
      <c r="J159" s="45">
        <f t="shared" si="20"/>
        <v>19.372543791926251</v>
      </c>
      <c r="K159" s="45">
        <f t="shared" si="21"/>
        <v>12.541173086352257</v>
      </c>
      <c r="L159" s="45">
        <f t="shared" si="22"/>
        <v>13.7647021679476</v>
      </c>
      <c r="M159" s="44">
        <f t="shared" si="23"/>
        <v>45.678419046226111</v>
      </c>
    </row>
    <row r="160" spans="1:13" x14ac:dyDescent="0.3">
      <c r="A160" s="70" t="s">
        <v>179</v>
      </c>
      <c r="B160" s="49">
        <v>0</v>
      </c>
      <c r="C160" s="49">
        <v>6.3039375</v>
      </c>
      <c r="D160" s="50">
        <f t="shared" si="16"/>
        <v>1</v>
      </c>
      <c r="E160" s="49">
        <v>0</v>
      </c>
      <c r="F160" s="49">
        <v>234635.625</v>
      </c>
      <c r="G160" s="48">
        <f t="shared" si="17"/>
        <v>1</v>
      </c>
      <c r="H160" s="47">
        <f t="shared" si="18"/>
        <v>1.3146467420797905E-4</v>
      </c>
      <c r="I160" s="46">
        <f t="shared" si="19"/>
        <v>0</v>
      </c>
      <c r="J160" s="45">
        <f t="shared" si="20"/>
        <v>4.9956576199032039</v>
      </c>
      <c r="K160" s="45">
        <f t="shared" si="21"/>
        <v>3.2340309855162848</v>
      </c>
      <c r="L160" s="45">
        <f t="shared" si="22"/>
        <v>3.5495462036154342</v>
      </c>
      <c r="M160" s="44">
        <f t="shared" si="23"/>
        <v>11.779234809034921</v>
      </c>
    </row>
    <row r="161" spans="1:13" x14ac:dyDescent="0.3">
      <c r="A161" s="70" t="s">
        <v>178</v>
      </c>
      <c r="B161" s="49">
        <v>74.78895</v>
      </c>
      <c r="C161" s="49">
        <v>6.3039375</v>
      </c>
      <c r="D161" s="50">
        <f t="shared" si="16"/>
        <v>-0.9157103088089884</v>
      </c>
      <c r="E161" s="49">
        <v>2679081</v>
      </c>
      <c r="F161" s="49">
        <v>638849.92500000005</v>
      </c>
      <c r="G161" s="48">
        <f t="shared" si="17"/>
        <v>-0.76154139236551632</v>
      </c>
      <c r="H161" s="47">
        <f t="shared" si="18"/>
        <v>3.5794307560037763E-4</v>
      </c>
      <c r="I161" s="46">
        <f t="shared" si="19"/>
        <v>1.6652908568362895E-3</v>
      </c>
      <c r="J161" s="45">
        <f t="shared" si="20"/>
        <v>13.601836872814349</v>
      </c>
      <c r="K161" s="45">
        <f t="shared" si="21"/>
        <v>8.8053996597692894</v>
      </c>
      <c r="L161" s="45">
        <f t="shared" si="22"/>
        <v>9.6644630412101957</v>
      </c>
      <c r="M161" s="44">
        <f t="shared" si="23"/>
        <v>32.071699573793836</v>
      </c>
    </row>
    <row r="162" spans="1:13" ht="15" thickBot="1" x14ac:dyDescent="0.35">
      <c r="A162" s="76" t="s">
        <v>177</v>
      </c>
      <c r="B162" s="49">
        <v>0</v>
      </c>
      <c r="C162" s="49">
        <v>37.978500000000004</v>
      </c>
      <c r="D162" s="50">
        <f t="shared" si="16"/>
        <v>1</v>
      </c>
      <c r="E162" s="49">
        <v>0</v>
      </c>
      <c r="F162" s="49">
        <v>2366065.9260000004</v>
      </c>
      <c r="G162" s="48">
        <f t="shared" si="17"/>
        <v>1</v>
      </c>
      <c r="H162" s="47">
        <f t="shared" si="18"/>
        <v>1.3256899335562975E-3</v>
      </c>
      <c r="I162" s="46">
        <f t="shared" si="19"/>
        <v>0</v>
      </c>
      <c r="J162" s="45">
        <f t="shared" si="20"/>
        <v>50.376217475139306</v>
      </c>
      <c r="K162" s="45">
        <f t="shared" si="21"/>
        <v>32.611972365484917</v>
      </c>
      <c r="L162" s="45">
        <f t="shared" si="22"/>
        <v>35.793628206020031</v>
      </c>
      <c r="M162" s="44">
        <f t="shared" si="23"/>
        <v>118.78181804664425</v>
      </c>
    </row>
    <row r="163" spans="1:13" ht="15" thickBot="1" x14ac:dyDescent="0.35">
      <c r="A163" s="68" t="s">
        <v>176</v>
      </c>
      <c r="B163" s="42">
        <v>308.93912999999998</v>
      </c>
      <c r="C163" s="40">
        <v>292.19421315</v>
      </c>
      <c r="D163" s="41">
        <f t="shared" si="16"/>
        <v>-5.420134655652064E-2</v>
      </c>
      <c r="E163" s="40">
        <v>8537706</v>
      </c>
      <c r="F163" s="40">
        <v>16154975.676000003</v>
      </c>
      <c r="G163" s="39">
        <f t="shared" si="17"/>
        <v>0.89219161165774541</v>
      </c>
      <c r="H163" s="38">
        <f t="shared" si="18"/>
        <v>9.0515181319254755E-3</v>
      </c>
      <c r="I163" s="37">
        <f t="shared" si="19"/>
        <v>5.3069555344374911E-3</v>
      </c>
      <c r="J163" s="36">
        <f t="shared" si="20"/>
        <v>343.95768901316808</v>
      </c>
      <c r="K163" s="36">
        <f t="shared" si="21"/>
        <v>222.66734604536668</v>
      </c>
      <c r="L163" s="36">
        <f t="shared" si="22"/>
        <v>244.39098956198785</v>
      </c>
      <c r="M163" s="36">
        <f t="shared" si="23"/>
        <v>811.01602462052256</v>
      </c>
    </row>
    <row r="164" spans="1:13" x14ac:dyDescent="0.3">
      <c r="A164" s="73" t="s">
        <v>175</v>
      </c>
      <c r="B164" s="49">
        <v>0</v>
      </c>
      <c r="C164" s="49">
        <v>213.35544930000003</v>
      </c>
      <c r="D164" s="50">
        <f t="shared" si="16"/>
        <v>1</v>
      </c>
      <c r="E164" s="49">
        <v>0</v>
      </c>
      <c r="F164" s="49">
        <v>8269394.3213323699</v>
      </c>
      <c r="G164" s="48">
        <f t="shared" si="17"/>
        <v>1</v>
      </c>
      <c r="H164" s="47">
        <f t="shared" si="18"/>
        <v>4.6332829055744287E-3</v>
      </c>
      <c r="I164" s="46">
        <f t="shared" si="19"/>
        <v>0</v>
      </c>
      <c r="J164" s="45">
        <f t="shared" si="20"/>
        <v>176.0647504118283</v>
      </c>
      <c r="K164" s="45">
        <f t="shared" si="21"/>
        <v>113.97875947713095</v>
      </c>
      <c r="L164" s="45">
        <f t="shared" si="22"/>
        <v>125.09863845050957</v>
      </c>
      <c r="M164" s="44">
        <f t="shared" si="23"/>
        <v>415.1421483394688</v>
      </c>
    </row>
    <row r="165" spans="1:13" x14ac:dyDescent="0.3">
      <c r="A165" s="70" t="s">
        <v>174</v>
      </c>
      <c r="B165" s="49">
        <v>0</v>
      </c>
      <c r="C165" s="49">
        <v>200.60015430000004</v>
      </c>
      <c r="D165" s="50">
        <f t="shared" si="16"/>
        <v>1</v>
      </c>
      <c r="E165" s="49">
        <v>0</v>
      </c>
      <c r="F165" s="49">
        <v>7846983.0922283242</v>
      </c>
      <c r="G165" s="48">
        <f t="shared" si="17"/>
        <v>1</v>
      </c>
      <c r="H165" s="47">
        <f t="shared" si="18"/>
        <v>4.3966088940471703E-3</v>
      </c>
      <c r="I165" s="46">
        <f t="shared" si="19"/>
        <v>0</v>
      </c>
      <c r="J165" s="45">
        <f t="shared" si="20"/>
        <v>167.07113797379247</v>
      </c>
      <c r="K165" s="45">
        <f t="shared" si="21"/>
        <v>108.15657879356039</v>
      </c>
      <c r="L165" s="45">
        <f t="shared" si="22"/>
        <v>118.70844013927359</v>
      </c>
      <c r="M165" s="44">
        <f t="shared" si="23"/>
        <v>393.93615690662642</v>
      </c>
    </row>
    <row r="166" spans="1:13" x14ac:dyDescent="0.3">
      <c r="A166" s="70" t="s">
        <v>173</v>
      </c>
      <c r="B166" s="49">
        <v>0</v>
      </c>
      <c r="C166" s="49">
        <v>213.37077930000004</v>
      </c>
      <c r="D166" s="50">
        <f t="shared" si="16"/>
        <v>1</v>
      </c>
      <c r="E166" s="49">
        <v>0</v>
      </c>
      <c r="F166" s="49">
        <v>9790074.7461069375</v>
      </c>
      <c r="G166" s="48">
        <f t="shared" si="17"/>
        <v>1</v>
      </c>
      <c r="H166" s="47">
        <f t="shared" si="18"/>
        <v>5.4853093470725589E-3</v>
      </c>
      <c r="I166" s="46">
        <f t="shared" si="19"/>
        <v>0</v>
      </c>
      <c r="J166" s="45">
        <f t="shared" si="20"/>
        <v>208.44175518875724</v>
      </c>
      <c r="K166" s="45">
        <f t="shared" si="21"/>
        <v>134.93860993798495</v>
      </c>
      <c r="L166" s="45">
        <f t="shared" si="22"/>
        <v>148.1033523709591</v>
      </c>
      <c r="M166" s="44">
        <f t="shared" si="23"/>
        <v>491.48371749770126</v>
      </c>
    </row>
    <row r="167" spans="1:13" x14ac:dyDescent="0.3">
      <c r="A167" s="70" t="s">
        <v>172</v>
      </c>
      <c r="B167" s="49">
        <v>978.51976200000001</v>
      </c>
      <c r="C167" s="49">
        <v>213.47577930000003</v>
      </c>
      <c r="D167" s="50">
        <f t="shared" si="16"/>
        <v>-0.78183805009346352</v>
      </c>
      <c r="E167" s="49">
        <v>25477030.620000001</v>
      </c>
      <c r="F167" s="49">
        <v>8269394.3213323699</v>
      </c>
      <c r="G167" s="48">
        <f t="shared" si="17"/>
        <v>-0.67541765582207525</v>
      </c>
      <c r="H167" s="47">
        <f t="shared" si="18"/>
        <v>4.6332829055744287E-3</v>
      </c>
      <c r="I167" s="46">
        <f t="shared" si="19"/>
        <v>1.5836276003160853E-2</v>
      </c>
      <c r="J167" s="45">
        <f t="shared" si="20"/>
        <v>176.0647504118283</v>
      </c>
      <c r="K167" s="45">
        <f t="shared" si="21"/>
        <v>113.97875947713095</v>
      </c>
      <c r="L167" s="45">
        <f t="shared" si="22"/>
        <v>125.09863845050957</v>
      </c>
      <c r="M167" s="44">
        <f t="shared" si="23"/>
        <v>415.1421483394688</v>
      </c>
    </row>
    <row r="168" spans="1:13" x14ac:dyDescent="0.3">
      <c r="A168" s="70" t="s">
        <v>171</v>
      </c>
      <c r="B168" s="49">
        <v>334.17189000000002</v>
      </c>
      <c r="C168" s="49">
        <v>202.73662500000003</v>
      </c>
      <c r="D168" s="50">
        <f t="shared" si="16"/>
        <v>-0.39331634088073647</v>
      </c>
      <c r="E168" s="49">
        <v>10226520</v>
      </c>
      <c r="F168" s="49">
        <v>9151700.25</v>
      </c>
      <c r="G168" s="48">
        <f t="shared" si="17"/>
        <v>-0.10510122211661445</v>
      </c>
      <c r="H168" s="47">
        <f t="shared" si="18"/>
        <v>5.1276326509042706E-3</v>
      </c>
      <c r="I168" s="46">
        <f t="shared" si="19"/>
        <v>6.3567059947995039E-3</v>
      </c>
      <c r="J168" s="45">
        <f t="shared" si="20"/>
        <v>194.8500407343623</v>
      </c>
      <c r="K168" s="45">
        <f t="shared" si="21"/>
        <v>126.13976321224506</v>
      </c>
      <c r="L168" s="45">
        <f t="shared" si="22"/>
        <v>138.4460815744153</v>
      </c>
      <c r="M168" s="44">
        <f t="shared" si="23"/>
        <v>459.43588552102267</v>
      </c>
    </row>
    <row r="169" spans="1:13" x14ac:dyDescent="0.3">
      <c r="A169" s="70" t="s">
        <v>170</v>
      </c>
      <c r="B169" s="49">
        <v>0</v>
      </c>
      <c r="C169" s="49">
        <v>100.6180875</v>
      </c>
      <c r="D169" s="50">
        <f t="shared" si="16"/>
        <v>1</v>
      </c>
      <c r="E169" s="49">
        <v>0</v>
      </c>
      <c r="F169" s="49">
        <v>4893636.3</v>
      </c>
      <c r="G169" s="48">
        <f t="shared" si="17"/>
        <v>1</v>
      </c>
      <c r="H169" s="47">
        <f t="shared" si="18"/>
        <v>2.7418696622554229E-3</v>
      </c>
      <c r="I169" s="46">
        <f t="shared" si="19"/>
        <v>0</v>
      </c>
      <c r="J169" s="45">
        <f t="shared" si="20"/>
        <v>104.19104716570607</v>
      </c>
      <c r="K169" s="45">
        <f t="shared" si="21"/>
        <v>67.4499936914834</v>
      </c>
      <c r="L169" s="45">
        <f t="shared" si="22"/>
        <v>74.03048088089642</v>
      </c>
      <c r="M169" s="44">
        <f t="shared" si="23"/>
        <v>245.67152173808589</v>
      </c>
    </row>
    <row r="170" spans="1:13" x14ac:dyDescent="0.3">
      <c r="A170" s="70" t="s">
        <v>169</v>
      </c>
      <c r="B170" s="49">
        <v>519.51660000000004</v>
      </c>
      <c r="C170" s="49">
        <v>407.544375</v>
      </c>
      <c r="D170" s="50">
        <f t="shared" si="16"/>
        <v>-0.21553156338026547</v>
      </c>
      <c r="E170" s="49">
        <v>17351074.140000001</v>
      </c>
      <c r="F170" s="49">
        <v>16523221.050000001</v>
      </c>
      <c r="G170" s="48">
        <f t="shared" si="17"/>
        <v>-4.7711921655128137E-2</v>
      </c>
      <c r="H170" s="47">
        <f t="shared" si="18"/>
        <v>9.257843399546304E-3</v>
      </c>
      <c r="I170" s="46">
        <f t="shared" si="19"/>
        <v>1.0785259990881419E-2</v>
      </c>
      <c r="J170" s="45">
        <f t="shared" si="20"/>
        <v>351.79804918275954</v>
      </c>
      <c r="K170" s="45">
        <f t="shared" si="21"/>
        <v>227.74294762883909</v>
      </c>
      <c r="L170" s="45">
        <f t="shared" si="22"/>
        <v>249.96177178775019</v>
      </c>
      <c r="M170" s="44">
        <f t="shared" si="23"/>
        <v>829.50276859934888</v>
      </c>
    </row>
    <row r="171" spans="1:13" x14ac:dyDescent="0.3">
      <c r="A171" s="70" t="s">
        <v>168</v>
      </c>
      <c r="B171" s="49">
        <v>964.17565500000001</v>
      </c>
      <c r="C171" s="49">
        <v>195.43987050000001</v>
      </c>
      <c r="D171" s="50">
        <f t="shared" si="16"/>
        <v>-0.79729848032721795</v>
      </c>
      <c r="E171" s="49">
        <v>24217307.16</v>
      </c>
      <c r="F171" s="49">
        <v>8088595.1671680557</v>
      </c>
      <c r="G171" s="48">
        <f t="shared" si="17"/>
        <v>-0.66599939812762998</v>
      </c>
      <c r="H171" s="47">
        <f t="shared" si="18"/>
        <v>4.5319824236067403E-3</v>
      </c>
      <c r="I171" s="46">
        <f t="shared" si="19"/>
        <v>1.5053244075391527E-2</v>
      </c>
      <c r="J171" s="45">
        <f t="shared" si="20"/>
        <v>172.21533209705612</v>
      </c>
      <c r="K171" s="45">
        <f t="shared" si="21"/>
        <v>111.48676762072581</v>
      </c>
      <c r="L171" s="45">
        <f t="shared" si="22"/>
        <v>122.36352543738199</v>
      </c>
      <c r="M171" s="44">
        <f t="shared" si="23"/>
        <v>406.06562515516396</v>
      </c>
    </row>
    <row r="172" spans="1:13" x14ac:dyDescent="0.3">
      <c r="A172" s="70" t="s">
        <v>167</v>
      </c>
      <c r="B172" s="49">
        <v>0</v>
      </c>
      <c r="C172" s="49">
        <v>137.55960224999998</v>
      </c>
      <c r="D172" s="50">
        <f t="shared" si="16"/>
        <v>1</v>
      </c>
      <c r="E172" s="49">
        <v>0</v>
      </c>
      <c r="F172" s="49">
        <v>7532198.1164159728</v>
      </c>
      <c r="G172" s="48">
        <f t="shared" si="17"/>
        <v>1</v>
      </c>
      <c r="H172" s="47">
        <f t="shared" si="18"/>
        <v>4.2202371078329613E-3</v>
      </c>
      <c r="I172" s="46">
        <f t="shared" si="19"/>
        <v>0</v>
      </c>
      <c r="J172" s="45">
        <f t="shared" si="20"/>
        <v>160.36901009765253</v>
      </c>
      <c r="K172" s="45">
        <f t="shared" si="21"/>
        <v>103.81783285269084</v>
      </c>
      <c r="L172" s="45">
        <f t="shared" si="22"/>
        <v>113.94640191148996</v>
      </c>
      <c r="M172" s="44">
        <f t="shared" si="23"/>
        <v>378.1332448618333</v>
      </c>
    </row>
    <row r="173" spans="1:13" ht="15" thickBot="1" x14ac:dyDescent="0.35">
      <c r="A173" s="69" t="s">
        <v>166</v>
      </c>
      <c r="B173" s="49">
        <v>0</v>
      </c>
      <c r="C173" s="49">
        <v>150.28560225000001</v>
      </c>
      <c r="D173" s="50">
        <f t="shared" si="16"/>
        <v>1</v>
      </c>
      <c r="E173" s="49">
        <v>0</v>
      </c>
      <c r="F173" s="49">
        <v>7532198.1164159728</v>
      </c>
      <c r="G173" s="48">
        <f t="shared" si="17"/>
        <v>1</v>
      </c>
      <c r="H173" s="47">
        <f t="shared" si="18"/>
        <v>4.2202371078329613E-3</v>
      </c>
      <c r="I173" s="46">
        <f t="shared" si="19"/>
        <v>0</v>
      </c>
      <c r="J173" s="45">
        <f t="shared" si="20"/>
        <v>160.36901009765253</v>
      </c>
      <c r="K173" s="45">
        <f t="shared" si="21"/>
        <v>103.81783285269084</v>
      </c>
      <c r="L173" s="45">
        <f t="shared" si="22"/>
        <v>113.94640191148996</v>
      </c>
      <c r="M173" s="44">
        <f t="shared" si="23"/>
        <v>378.1332448618333</v>
      </c>
    </row>
    <row r="174" spans="1:13" ht="15" thickBot="1" x14ac:dyDescent="0.35">
      <c r="A174" s="68" t="s">
        <v>165</v>
      </c>
      <c r="B174" s="42">
        <v>2796.3839069999999</v>
      </c>
      <c r="C174" s="40">
        <v>2034.9863247000001</v>
      </c>
      <c r="D174" s="41">
        <f t="shared" si="16"/>
        <v>-0.27227934633511675</v>
      </c>
      <c r="E174" s="40">
        <v>77271931.920000002</v>
      </c>
      <c r="F174" s="40">
        <v>87897395.481000006</v>
      </c>
      <c r="G174" s="39">
        <f t="shared" si="17"/>
        <v>0.13750741436102046</v>
      </c>
      <c r="H174" s="38">
        <f t="shared" si="18"/>
        <v>4.9248286404247249E-2</v>
      </c>
      <c r="I174" s="37">
        <f t="shared" si="19"/>
        <v>4.8031486064233304E-2</v>
      </c>
      <c r="J174" s="36">
        <f t="shared" si="20"/>
        <v>1871.4348833613954</v>
      </c>
      <c r="K174" s="36">
        <f t="shared" si="21"/>
        <v>1211.5078455444823</v>
      </c>
      <c r="L174" s="36">
        <f t="shared" si="22"/>
        <v>1329.7037329146758</v>
      </c>
      <c r="M174" s="36">
        <f t="shared" si="23"/>
        <v>4412.6464618205537</v>
      </c>
    </row>
    <row r="175" spans="1:13" ht="16.2" thickBot="1" x14ac:dyDescent="0.35">
      <c r="A175" s="75" t="s">
        <v>164</v>
      </c>
      <c r="B175" s="34">
        <v>3598.5611220000001</v>
      </c>
      <c r="C175" s="32">
        <v>2657.7123478500002</v>
      </c>
      <c r="D175" s="33">
        <f t="shared" si="16"/>
        <v>-0.26145138077496294</v>
      </c>
      <c r="E175" s="32">
        <v>102448979.52000001</v>
      </c>
      <c r="F175" s="32">
        <v>122993497.74600001</v>
      </c>
      <c r="G175" s="31">
        <f t="shared" si="17"/>
        <v>0.20053414218722707</v>
      </c>
      <c r="H175" s="30">
        <f t="shared" si="18"/>
        <v>6.8912383236252789E-2</v>
      </c>
      <c r="I175" s="29">
        <f t="shared" si="19"/>
        <v>6.3681295521436004E-2</v>
      </c>
      <c r="J175" s="28">
        <f t="shared" si="20"/>
        <v>2618.6705629776061</v>
      </c>
      <c r="K175" s="28">
        <f t="shared" si="21"/>
        <v>1695.2446276118187</v>
      </c>
      <c r="L175" s="28">
        <f t="shared" si="22"/>
        <v>1860.6343473788254</v>
      </c>
      <c r="M175" s="28">
        <f t="shared" si="23"/>
        <v>6174.5495379682507</v>
      </c>
    </row>
    <row r="176" spans="1:13" x14ac:dyDescent="0.3">
      <c r="A176" s="70" t="s">
        <v>163</v>
      </c>
      <c r="B176" s="49">
        <v>0</v>
      </c>
      <c r="C176" s="49">
        <v>416.06171250000006</v>
      </c>
      <c r="D176" s="50">
        <f t="shared" si="16"/>
        <v>1</v>
      </c>
      <c r="E176" s="49">
        <v>0</v>
      </c>
      <c r="F176" s="49">
        <v>6284241.0727770515</v>
      </c>
      <c r="G176" s="48">
        <f t="shared" si="17"/>
        <v>1</v>
      </c>
      <c r="H176" s="47">
        <f t="shared" si="18"/>
        <v>3.5210156397905727E-3</v>
      </c>
      <c r="I176" s="46">
        <f t="shared" si="19"/>
        <v>0</v>
      </c>
      <c r="J176" s="45">
        <f t="shared" si="20"/>
        <v>133.79859431204176</v>
      </c>
      <c r="K176" s="45">
        <f t="shared" si="21"/>
        <v>86.616984738848089</v>
      </c>
      <c r="L176" s="45">
        <f t="shared" si="22"/>
        <v>95.067422274345461</v>
      </c>
      <c r="M176" s="44">
        <f t="shared" si="23"/>
        <v>315.48300132523531</v>
      </c>
    </row>
    <row r="177" spans="1:13" x14ac:dyDescent="0.3">
      <c r="A177" s="74" t="s">
        <v>162</v>
      </c>
      <c r="B177" s="49">
        <v>0</v>
      </c>
      <c r="C177" s="49">
        <v>168.95916870000002</v>
      </c>
      <c r="D177" s="50">
        <f t="shared" si="16"/>
        <v>1</v>
      </c>
      <c r="E177" s="49">
        <v>0</v>
      </c>
      <c r="F177" s="49">
        <v>6300000</v>
      </c>
      <c r="G177" s="48">
        <f t="shared" si="17"/>
        <v>1</v>
      </c>
      <c r="H177" s="47">
        <f t="shared" si="18"/>
        <v>3.5298452547871534E-3</v>
      </c>
      <c r="I177" s="46">
        <f t="shared" si="19"/>
        <v>0</v>
      </c>
      <c r="J177" s="45">
        <f t="shared" si="20"/>
        <v>134.13411968191184</v>
      </c>
      <c r="K177" s="45">
        <f t="shared" si="21"/>
        <v>86.834193267763979</v>
      </c>
      <c r="L177" s="45">
        <f t="shared" si="22"/>
        <v>95.305821879253145</v>
      </c>
      <c r="M177" s="44">
        <f t="shared" si="23"/>
        <v>316.27413482892894</v>
      </c>
    </row>
    <row r="178" spans="1:13" x14ac:dyDescent="0.3">
      <c r="A178" s="70" t="s">
        <v>161</v>
      </c>
      <c r="B178" s="49">
        <v>533.17312500000003</v>
      </c>
      <c r="C178" s="49">
        <v>150.65206485000002</v>
      </c>
      <c r="D178" s="50">
        <f t="shared" si="16"/>
        <v>-0.71744250078246163</v>
      </c>
      <c r="E178" s="49">
        <v>18565553.460000001</v>
      </c>
      <c r="F178" s="49">
        <v>2749383.1965356194</v>
      </c>
      <c r="G178" s="48">
        <f t="shared" si="17"/>
        <v>-0.85190944064989815</v>
      </c>
      <c r="H178" s="47">
        <f t="shared" si="18"/>
        <v>1.5404598777591734E-3</v>
      </c>
      <c r="I178" s="46">
        <f t="shared" si="19"/>
        <v>1.1540168598502001E-2</v>
      </c>
      <c r="J178" s="45">
        <f t="shared" si="20"/>
        <v>58.537475354848588</v>
      </c>
      <c r="K178" s="45">
        <f t="shared" si="21"/>
        <v>37.895312992875667</v>
      </c>
      <c r="L178" s="45">
        <f t="shared" si="22"/>
        <v>41.592416699497683</v>
      </c>
      <c r="M178" s="44">
        <f t="shared" si="23"/>
        <v>138.02520504722193</v>
      </c>
    </row>
    <row r="179" spans="1:13" x14ac:dyDescent="0.3">
      <c r="A179" s="70" t="s">
        <v>160</v>
      </c>
      <c r="B179" s="49">
        <v>847.07736</v>
      </c>
      <c r="C179" s="49">
        <v>53.415022500000006</v>
      </c>
      <c r="D179" s="50">
        <f t="shared" si="16"/>
        <v>-0.93694197835720694</v>
      </c>
      <c r="E179" s="49">
        <v>24927538.260000002</v>
      </c>
      <c r="F179" s="49">
        <v>9677886.75</v>
      </c>
      <c r="G179" s="48">
        <f t="shared" si="17"/>
        <v>-0.61175922591884535</v>
      </c>
      <c r="H179" s="47">
        <f t="shared" si="18"/>
        <v>5.4224512096595189E-3</v>
      </c>
      <c r="I179" s="46">
        <f t="shared" si="19"/>
        <v>1.5494716862914853E-2</v>
      </c>
      <c r="J179" s="45">
        <f t="shared" si="20"/>
        <v>206.05314596706171</v>
      </c>
      <c r="K179" s="45">
        <f t="shared" si="21"/>
        <v>133.39229975762416</v>
      </c>
      <c r="L179" s="45">
        <f t="shared" si="22"/>
        <v>146.40618266080702</v>
      </c>
      <c r="M179" s="44">
        <f t="shared" si="23"/>
        <v>485.85162838549292</v>
      </c>
    </row>
    <row r="180" spans="1:13" x14ac:dyDescent="0.3">
      <c r="A180" s="70" t="s">
        <v>159</v>
      </c>
      <c r="B180" s="49">
        <v>0</v>
      </c>
      <c r="C180" s="49">
        <v>164.93926365000002</v>
      </c>
      <c r="D180" s="50">
        <f t="shared" si="16"/>
        <v>1</v>
      </c>
      <c r="E180" s="49">
        <v>1806809.6400000001</v>
      </c>
      <c r="F180" s="49">
        <v>11801546.924299911</v>
      </c>
      <c r="G180" s="48">
        <f t="shared" si="17"/>
        <v>5.5317046483656735</v>
      </c>
      <c r="H180" s="47">
        <f t="shared" si="18"/>
        <v>6.612322922204439E-3</v>
      </c>
      <c r="I180" s="46">
        <f t="shared" si="19"/>
        <v>1.123095409782559E-3</v>
      </c>
      <c r="J180" s="45">
        <f t="shared" si="20"/>
        <v>251.26827104376869</v>
      </c>
      <c r="K180" s="45">
        <f t="shared" si="21"/>
        <v>162.66314388622919</v>
      </c>
      <c r="L180" s="45">
        <f t="shared" si="22"/>
        <v>178.53271889951986</v>
      </c>
      <c r="M180" s="44">
        <f t="shared" si="23"/>
        <v>592.46413382951778</v>
      </c>
    </row>
    <row r="181" spans="1:13" x14ac:dyDescent="0.3">
      <c r="A181" s="70" t="s">
        <v>158</v>
      </c>
      <c r="B181" s="49">
        <v>0</v>
      </c>
      <c r="C181" s="49">
        <v>82.094263650000002</v>
      </c>
      <c r="D181" s="50">
        <f t="shared" si="16"/>
        <v>1</v>
      </c>
      <c r="E181" s="49">
        <v>0</v>
      </c>
      <c r="F181" s="49">
        <v>6089704.1126444591</v>
      </c>
      <c r="G181" s="48">
        <f t="shared" si="17"/>
        <v>1</v>
      </c>
      <c r="H181" s="47">
        <f t="shared" si="18"/>
        <v>3.4120179627104537E-3</v>
      </c>
      <c r="I181" s="46">
        <f t="shared" si="19"/>
        <v>0</v>
      </c>
      <c r="J181" s="45">
        <f t="shared" si="20"/>
        <v>129.65668258299723</v>
      </c>
      <c r="K181" s="45">
        <f t="shared" si="21"/>
        <v>83.93564188267716</v>
      </c>
      <c r="L181" s="45">
        <f t="shared" si="22"/>
        <v>92.12448499318225</v>
      </c>
      <c r="M181" s="44">
        <f t="shared" si="23"/>
        <v>305.71680945885663</v>
      </c>
    </row>
    <row r="182" spans="1:13" x14ac:dyDescent="0.3">
      <c r="A182" s="70" t="s">
        <v>157</v>
      </c>
      <c r="B182" s="49">
        <v>198.48231000000001</v>
      </c>
      <c r="C182" s="49">
        <v>132.94313865000001</v>
      </c>
      <c r="D182" s="50">
        <f t="shared" si="16"/>
        <v>-0.33020157489098145</v>
      </c>
      <c r="E182" s="49">
        <v>5951235.9000000004</v>
      </c>
      <c r="F182" s="49">
        <v>6056973.3603047486</v>
      </c>
      <c r="G182" s="48">
        <f t="shared" si="17"/>
        <v>1.7767311207533928E-2</v>
      </c>
      <c r="H182" s="47">
        <f t="shared" si="18"/>
        <v>3.3936791546418914E-3</v>
      </c>
      <c r="I182" s="46">
        <f t="shared" si="19"/>
        <v>3.6992307179760098E-3</v>
      </c>
      <c r="J182" s="45">
        <f t="shared" si="20"/>
        <v>128.95980787639186</v>
      </c>
      <c r="K182" s="45">
        <f t="shared" si="21"/>
        <v>83.484507204190535</v>
      </c>
      <c r="L182" s="45">
        <f t="shared" si="22"/>
        <v>91.629337175331074</v>
      </c>
      <c r="M182" s="44">
        <f t="shared" si="23"/>
        <v>304.07365225591343</v>
      </c>
    </row>
    <row r="183" spans="1:13" ht="15" thickBot="1" x14ac:dyDescent="0.35">
      <c r="A183" s="69" t="s">
        <v>156</v>
      </c>
      <c r="B183" s="49">
        <v>0</v>
      </c>
      <c r="C183" s="49">
        <v>88.460938650000003</v>
      </c>
      <c r="D183" s="50">
        <f t="shared" si="16"/>
        <v>1</v>
      </c>
      <c r="E183" s="49">
        <v>0</v>
      </c>
      <c r="F183" s="49">
        <v>7514372.3778546574</v>
      </c>
      <c r="G183" s="48">
        <f t="shared" si="17"/>
        <v>1</v>
      </c>
      <c r="H183" s="47">
        <f t="shared" si="18"/>
        <v>4.2102494731228448E-3</v>
      </c>
      <c r="I183" s="46">
        <f t="shared" si="19"/>
        <v>0</v>
      </c>
      <c r="J183" s="45">
        <f t="shared" si="20"/>
        <v>159.9894799786681</v>
      </c>
      <c r="K183" s="45">
        <f t="shared" si="21"/>
        <v>103.57213703882198</v>
      </c>
      <c r="L183" s="45">
        <f t="shared" si="22"/>
        <v>113.67673577431681</v>
      </c>
      <c r="M183" s="44">
        <f t="shared" si="23"/>
        <v>377.2383527918069</v>
      </c>
    </row>
    <row r="184" spans="1:13" ht="15" thickBot="1" x14ac:dyDescent="0.35">
      <c r="A184" s="68" t="s">
        <v>155</v>
      </c>
      <c r="B184" s="42">
        <v>1578.7327950000001</v>
      </c>
      <c r="C184" s="40">
        <v>1257.5255731500001</v>
      </c>
      <c r="D184" s="41">
        <f t="shared" si="16"/>
        <v>-0.20345888985602531</v>
      </c>
      <c r="E184" s="40">
        <v>51251137.259999998</v>
      </c>
      <c r="F184" s="40">
        <v>56474107.79441645</v>
      </c>
      <c r="G184" s="39">
        <f t="shared" si="17"/>
        <v>0.10190935877032385</v>
      </c>
      <c r="H184" s="38">
        <f t="shared" si="18"/>
        <v>3.1642041494676046E-2</v>
      </c>
      <c r="I184" s="37">
        <f t="shared" si="19"/>
        <v>3.185721158917542E-2</v>
      </c>
      <c r="J184" s="36">
        <f t="shared" si="20"/>
        <v>1202.3975767976897</v>
      </c>
      <c r="K184" s="36">
        <f t="shared" si="21"/>
        <v>778.39422076903077</v>
      </c>
      <c r="L184" s="36">
        <f t="shared" si="22"/>
        <v>854.33512035625324</v>
      </c>
      <c r="M184" s="36">
        <f t="shared" si="23"/>
        <v>2835.1269179229739</v>
      </c>
    </row>
    <row r="185" spans="1:13" x14ac:dyDescent="0.3">
      <c r="A185" s="73" t="s">
        <v>154</v>
      </c>
      <c r="B185" s="49">
        <v>201.95439000000002</v>
      </c>
      <c r="C185" s="49">
        <v>190.10643750000003</v>
      </c>
      <c r="D185" s="50">
        <f t="shared" si="16"/>
        <v>-5.8666476623756431E-2</v>
      </c>
      <c r="E185" s="49">
        <v>6521625</v>
      </c>
      <c r="F185" s="49">
        <v>8500666.6500000004</v>
      </c>
      <c r="G185" s="48">
        <f t="shared" si="17"/>
        <v>0.30345836352136168</v>
      </c>
      <c r="H185" s="47">
        <f t="shared" si="18"/>
        <v>4.7628631487349063E-3</v>
      </c>
      <c r="I185" s="46">
        <f t="shared" si="19"/>
        <v>4.0537790698433399E-3</v>
      </c>
      <c r="J185" s="45">
        <f t="shared" si="20"/>
        <v>180.98879965192643</v>
      </c>
      <c r="K185" s="45">
        <f t="shared" si="21"/>
        <v>117.1664334588787</v>
      </c>
      <c r="L185" s="45">
        <f t="shared" si="22"/>
        <v>128.59730501584247</v>
      </c>
      <c r="M185" s="44">
        <f t="shared" si="23"/>
        <v>426.75253812664755</v>
      </c>
    </row>
    <row r="186" spans="1:13" x14ac:dyDescent="0.3">
      <c r="A186" s="70" t="s">
        <v>153</v>
      </c>
      <c r="B186" s="49">
        <v>477.39131400000002</v>
      </c>
      <c r="C186" s="49">
        <v>330.01013850000004</v>
      </c>
      <c r="D186" s="50">
        <f t="shared" si="16"/>
        <v>-0.3087219460804852</v>
      </c>
      <c r="E186" s="49">
        <v>18023910</v>
      </c>
      <c r="F186" s="49">
        <v>13942644.995999999</v>
      </c>
      <c r="G186" s="48">
        <f t="shared" si="17"/>
        <v>-0.22643616196485672</v>
      </c>
      <c r="H186" s="47">
        <f t="shared" si="18"/>
        <v>7.8119649648115E-3</v>
      </c>
      <c r="I186" s="46">
        <f t="shared" si="19"/>
        <v>1.1203488258638004E-2</v>
      </c>
      <c r="J186" s="45">
        <f t="shared" si="20"/>
        <v>296.85466866283701</v>
      </c>
      <c r="K186" s="45">
        <f t="shared" si="21"/>
        <v>192.1743381343629</v>
      </c>
      <c r="L186" s="45">
        <f t="shared" si="22"/>
        <v>210.92305404991049</v>
      </c>
      <c r="M186" s="44">
        <f t="shared" si="23"/>
        <v>699.95206084711049</v>
      </c>
    </row>
    <row r="187" spans="1:13" x14ac:dyDescent="0.3">
      <c r="A187" s="70" t="s">
        <v>152</v>
      </c>
      <c r="B187" s="49">
        <v>0</v>
      </c>
      <c r="C187" s="49">
        <v>93.770533499999999</v>
      </c>
      <c r="D187" s="50">
        <f t="shared" si="16"/>
        <v>1</v>
      </c>
      <c r="E187" s="49">
        <v>0</v>
      </c>
      <c r="F187" s="49">
        <v>3753295.6536923074</v>
      </c>
      <c r="G187" s="48">
        <f t="shared" si="17"/>
        <v>1</v>
      </c>
      <c r="H187" s="47">
        <f t="shared" si="18"/>
        <v>2.1029448973014348E-3</v>
      </c>
      <c r="I187" s="46">
        <f t="shared" si="19"/>
        <v>0</v>
      </c>
      <c r="J187" s="45">
        <f t="shared" si="20"/>
        <v>79.911906097454519</v>
      </c>
      <c r="K187" s="45">
        <f t="shared" si="21"/>
        <v>51.732444473615296</v>
      </c>
      <c r="L187" s="45">
        <f t="shared" si="22"/>
        <v>56.779512227138738</v>
      </c>
      <c r="M187" s="44">
        <f t="shared" si="23"/>
        <v>188.42386279820857</v>
      </c>
    </row>
    <row r="188" spans="1:13" x14ac:dyDescent="0.3">
      <c r="A188" s="70" t="s">
        <v>151</v>
      </c>
      <c r="B188" s="49">
        <v>172.96777499999999</v>
      </c>
      <c r="C188" s="49">
        <v>96.869717699999981</v>
      </c>
      <c r="D188" s="50">
        <f t="shared" si="16"/>
        <v>-0.43995511476053856</v>
      </c>
      <c r="E188" s="49">
        <v>8481218.4000000004</v>
      </c>
      <c r="F188" s="49">
        <v>3800794.9883076926</v>
      </c>
      <c r="G188" s="48">
        <f t="shared" si="17"/>
        <v>-0.55185743261750086</v>
      </c>
      <c r="H188" s="47">
        <f t="shared" si="18"/>
        <v>2.129558437126461E-3</v>
      </c>
      <c r="I188" s="46">
        <f t="shared" si="19"/>
        <v>5.2718433882184617E-3</v>
      </c>
      <c r="J188" s="45">
        <f t="shared" si="20"/>
        <v>80.923220610805515</v>
      </c>
      <c r="K188" s="45">
        <f t="shared" si="21"/>
        <v>52.387137553310943</v>
      </c>
      <c r="L188" s="45">
        <f t="shared" si="22"/>
        <v>57.49807780241445</v>
      </c>
      <c r="M188" s="44">
        <f t="shared" si="23"/>
        <v>190.80843596653091</v>
      </c>
    </row>
    <row r="189" spans="1:13" x14ac:dyDescent="0.3">
      <c r="A189" s="70" t="s">
        <v>150</v>
      </c>
      <c r="B189" s="49">
        <v>400.01518499999997</v>
      </c>
      <c r="C189" s="49">
        <v>165.61440000000002</v>
      </c>
      <c r="D189" s="50">
        <f t="shared" si="16"/>
        <v>-0.58597971724498399</v>
      </c>
      <c r="E189" s="49">
        <v>10419912</v>
      </c>
      <c r="F189" s="49">
        <v>8828898.1620000005</v>
      </c>
      <c r="G189" s="48">
        <f t="shared" si="17"/>
        <v>-0.152689757648625</v>
      </c>
      <c r="H189" s="47">
        <f t="shared" si="18"/>
        <v>4.9467689336721785E-3</v>
      </c>
      <c r="I189" s="46">
        <f t="shared" si="19"/>
        <v>6.4769165929058261E-3</v>
      </c>
      <c r="J189" s="45">
        <f t="shared" si="20"/>
        <v>187.97721947954278</v>
      </c>
      <c r="K189" s="45">
        <f t="shared" si="21"/>
        <v>121.69051576833559</v>
      </c>
      <c r="L189" s="45">
        <f t="shared" si="22"/>
        <v>133.56276120914882</v>
      </c>
      <c r="M189" s="44">
        <f t="shared" si="23"/>
        <v>443.23049645702713</v>
      </c>
    </row>
    <row r="190" spans="1:13" ht="15" thickBot="1" x14ac:dyDescent="0.35">
      <c r="A190" s="69" t="s">
        <v>149</v>
      </c>
      <c r="B190" s="49">
        <v>85.980900000000005</v>
      </c>
      <c r="C190" s="49">
        <v>203.96433750000003</v>
      </c>
      <c r="D190" s="50">
        <f t="shared" si="16"/>
        <v>1.3722051932464072</v>
      </c>
      <c r="E190" s="49">
        <v>2772972</v>
      </c>
      <c r="F190" s="49">
        <v>8811492.9000000004</v>
      </c>
      <c r="G190" s="48">
        <f t="shared" si="17"/>
        <v>2.1776350067725172</v>
      </c>
      <c r="H190" s="47">
        <f t="shared" si="18"/>
        <v>4.9370168889929676E-3</v>
      </c>
      <c r="I190" s="46">
        <f t="shared" si="19"/>
        <v>1.7236525949991953E-3</v>
      </c>
      <c r="J190" s="45">
        <f t="shared" si="20"/>
        <v>187.60664178173278</v>
      </c>
      <c r="K190" s="45">
        <f t="shared" si="21"/>
        <v>121.450615469227</v>
      </c>
      <c r="L190" s="45">
        <f t="shared" si="22"/>
        <v>133.29945600281013</v>
      </c>
      <c r="M190" s="44">
        <f t="shared" si="23"/>
        <v>442.3567132537699</v>
      </c>
    </row>
    <row r="191" spans="1:13" ht="15" thickBot="1" x14ac:dyDescent="0.35">
      <c r="A191" s="68" t="s">
        <v>148</v>
      </c>
      <c r="B191" s="42">
        <v>1338.3095640000001</v>
      </c>
      <c r="C191" s="40">
        <v>1080.3355647000003</v>
      </c>
      <c r="D191" s="41">
        <f t="shared" si="16"/>
        <v>-0.19276108177016646</v>
      </c>
      <c r="E191" s="40">
        <v>46219637.399999999</v>
      </c>
      <c r="F191" s="40">
        <v>47637793.350000001</v>
      </c>
      <c r="G191" s="39">
        <f t="shared" si="17"/>
        <v>3.0682974375735864E-2</v>
      </c>
      <c r="H191" s="38">
        <f t="shared" si="18"/>
        <v>2.6691117270639449E-2</v>
      </c>
      <c r="I191" s="37">
        <f t="shared" si="19"/>
        <v>2.8729679904604826E-2</v>
      </c>
      <c r="J191" s="36">
        <f t="shared" si="20"/>
        <v>1014.2624562842991</v>
      </c>
      <c r="K191" s="36">
        <f t="shared" si="21"/>
        <v>656.60148485773038</v>
      </c>
      <c r="L191" s="36">
        <f t="shared" si="22"/>
        <v>720.66016630726506</v>
      </c>
      <c r="M191" s="36">
        <f t="shared" si="23"/>
        <v>2391.5241074492947</v>
      </c>
    </row>
    <row r="192" spans="1:13" x14ac:dyDescent="0.3">
      <c r="A192" s="73" t="s">
        <v>147</v>
      </c>
      <c r="B192" s="49">
        <v>0</v>
      </c>
      <c r="C192" s="49">
        <v>25.396875000000001</v>
      </c>
      <c r="D192" s="50">
        <f t="shared" si="16"/>
        <v>1</v>
      </c>
      <c r="E192" s="49">
        <v>0</v>
      </c>
      <c r="F192" s="49">
        <v>0</v>
      </c>
      <c r="G192" s="48">
        <f t="shared" si="17"/>
        <v>1</v>
      </c>
      <c r="H192" s="47">
        <f t="shared" si="18"/>
        <v>0</v>
      </c>
      <c r="I192" s="46">
        <f t="shared" si="19"/>
        <v>0</v>
      </c>
      <c r="J192" s="45">
        <f t="shared" si="20"/>
        <v>0</v>
      </c>
      <c r="K192" s="45">
        <f t="shared" si="21"/>
        <v>0</v>
      </c>
      <c r="L192" s="45">
        <f t="shared" si="22"/>
        <v>0</v>
      </c>
      <c r="M192" s="44">
        <f t="shared" si="23"/>
        <v>0</v>
      </c>
    </row>
    <row r="193" spans="1:13" x14ac:dyDescent="0.3">
      <c r="A193" s="70" t="s">
        <v>146</v>
      </c>
      <c r="B193" s="49">
        <v>0</v>
      </c>
      <c r="C193" s="49">
        <v>126.99645000000001</v>
      </c>
      <c r="D193" s="50">
        <f t="shared" si="16"/>
        <v>1</v>
      </c>
      <c r="E193" s="49">
        <v>1648719.84</v>
      </c>
      <c r="F193" s="49">
        <v>6256335.75</v>
      </c>
      <c r="G193" s="48">
        <f t="shared" si="17"/>
        <v>2.794662742701028</v>
      </c>
      <c r="H193" s="47">
        <f t="shared" si="18"/>
        <v>3.5053804856337665E-3</v>
      </c>
      <c r="I193" s="46">
        <f t="shared" si="19"/>
        <v>1.0248283180077759E-3</v>
      </c>
      <c r="J193" s="45">
        <f t="shared" si="20"/>
        <v>133.20445845408312</v>
      </c>
      <c r="K193" s="45">
        <f t="shared" si="21"/>
        <v>86.232359946590663</v>
      </c>
      <c r="L193" s="45">
        <f t="shared" si="22"/>
        <v>94.645273112111695</v>
      </c>
      <c r="M193" s="44">
        <f t="shared" si="23"/>
        <v>314.0820915127855</v>
      </c>
    </row>
    <row r="194" spans="1:13" x14ac:dyDescent="0.3">
      <c r="A194" s="70" t="s">
        <v>145</v>
      </c>
      <c r="B194" s="49">
        <v>0</v>
      </c>
      <c r="C194" s="49">
        <v>172.86383940000002</v>
      </c>
      <c r="D194" s="50">
        <f t="shared" si="16"/>
        <v>1</v>
      </c>
      <c r="E194" s="49">
        <v>0</v>
      </c>
      <c r="F194" s="49">
        <v>8556315.6000000015</v>
      </c>
      <c r="G194" s="48">
        <f t="shared" si="17"/>
        <v>1</v>
      </c>
      <c r="H194" s="47">
        <f t="shared" si="18"/>
        <v>4.7940428601779845E-3</v>
      </c>
      <c r="I194" s="46">
        <f t="shared" si="19"/>
        <v>0</v>
      </c>
      <c r="J194" s="45">
        <f t="shared" si="20"/>
        <v>182.17362868676341</v>
      </c>
      <c r="K194" s="45">
        <f t="shared" si="21"/>
        <v>117.93345436037842</v>
      </c>
      <c r="L194" s="45">
        <f t="shared" si="22"/>
        <v>129.43915722480557</v>
      </c>
      <c r="M194" s="44">
        <f t="shared" si="23"/>
        <v>429.5462402719474</v>
      </c>
    </row>
    <row r="195" spans="1:13" x14ac:dyDescent="0.3">
      <c r="A195" s="70" t="s">
        <v>144</v>
      </c>
      <c r="B195" s="49">
        <v>456.66965700000003</v>
      </c>
      <c r="C195" s="49">
        <v>223.06008585000001</v>
      </c>
      <c r="D195" s="50">
        <f t="shared" si="16"/>
        <v>-0.51155045571595748</v>
      </c>
      <c r="E195" s="49">
        <v>17932620</v>
      </c>
      <c r="F195" s="49">
        <v>9111999.1772727259</v>
      </c>
      <c r="G195" s="48">
        <f t="shared" si="17"/>
        <v>-0.49187574502372067</v>
      </c>
      <c r="H195" s="47">
        <f t="shared" si="18"/>
        <v>5.1053884218286629E-3</v>
      </c>
      <c r="I195" s="46">
        <f t="shared" si="19"/>
        <v>1.1146743276936972E-2</v>
      </c>
      <c r="J195" s="45">
        <f t="shared" si="20"/>
        <v>194.00476002948918</v>
      </c>
      <c r="K195" s="45">
        <f t="shared" si="21"/>
        <v>125.5925551769851</v>
      </c>
      <c r="L195" s="45">
        <f t="shared" si="22"/>
        <v>137.84548738937389</v>
      </c>
      <c r="M195" s="44">
        <f t="shared" si="23"/>
        <v>457.44280259584815</v>
      </c>
    </row>
    <row r="196" spans="1:13" ht="15" thickBot="1" x14ac:dyDescent="0.35">
      <c r="A196" s="69" t="s">
        <v>143</v>
      </c>
      <c r="B196" s="49">
        <v>0</v>
      </c>
      <c r="C196" s="49">
        <v>163.2352113</v>
      </c>
      <c r="D196" s="50">
        <f t="shared" si="16"/>
        <v>1</v>
      </c>
      <c r="E196" s="49">
        <v>0</v>
      </c>
      <c r="F196" s="49">
        <v>8000632.0227272715</v>
      </c>
      <c r="G196" s="48">
        <f t="shared" si="17"/>
        <v>1</v>
      </c>
      <c r="H196" s="47">
        <f t="shared" si="18"/>
        <v>4.4826972985273026E-3</v>
      </c>
      <c r="I196" s="46">
        <f t="shared" si="19"/>
        <v>0</v>
      </c>
      <c r="J196" s="45">
        <f t="shared" si="20"/>
        <v>170.3424973440375</v>
      </c>
      <c r="K196" s="45">
        <f t="shared" si="21"/>
        <v>110.27435354377164</v>
      </c>
      <c r="L196" s="45">
        <f t="shared" si="22"/>
        <v>121.03282706023717</v>
      </c>
      <c r="M196" s="44">
        <f t="shared" si="23"/>
        <v>401.64967794804636</v>
      </c>
    </row>
    <row r="197" spans="1:13" ht="15" thickBot="1" x14ac:dyDescent="0.35">
      <c r="A197" s="68" t="s">
        <v>142</v>
      </c>
      <c r="B197" s="42">
        <v>456.66965700000003</v>
      </c>
      <c r="C197" s="40">
        <v>711.55246155000009</v>
      </c>
      <c r="D197" s="41">
        <f t="shared" ref="D197:D260" si="24">IFERROR((C197-B197)/B197,100%)</f>
        <v>0.55813387345330023</v>
      </c>
      <c r="E197" s="40">
        <v>19581339.84</v>
      </c>
      <c r="F197" s="40">
        <v>31925282.549999997</v>
      </c>
      <c r="G197" s="39">
        <f t="shared" ref="G197:G260" si="25">IFERROR((F197-E197)/E197,100%)</f>
        <v>0.63039316057342876</v>
      </c>
      <c r="H197" s="38">
        <f t="shared" ref="H197:H260" si="26">F197/$F$3</f>
        <v>1.7887509066167716E-2</v>
      </c>
      <c r="I197" s="37">
        <f t="shared" ref="I197:I260" si="27">E197/$E$3</f>
        <v>1.2171571594944747E-2</v>
      </c>
      <c r="J197" s="36">
        <f t="shared" ref="J197:J260" si="28">$J$3*H197</f>
        <v>679.72534451437321</v>
      </c>
      <c r="K197" s="36">
        <f t="shared" ref="K197:K260" si="29">$K$3*H197</f>
        <v>440.03272302772581</v>
      </c>
      <c r="L197" s="36">
        <f t="shared" ref="L197:L260" si="30">$L$3*H197</f>
        <v>482.96274478652833</v>
      </c>
      <c r="M197" s="36">
        <f t="shared" ref="M197:M260" si="31">SUM(J197:L197)</f>
        <v>1602.7208123286273</v>
      </c>
    </row>
    <row r="198" spans="1:13" x14ac:dyDescent="0.3">
      <c r="A198" s="72" t="s">
        <v>141</v>
      </c>
      <c r="B198" s="49">
        <v>74.069850000000002</v>
      </c>
      <c r="C198" s="49">
        <v>229.2843</v>
      </c>
      <c r="D198" s="50">
        <f t="shared" si="24"/>
        <v>2.0955145717184522</v>
      </c>
      <c r="E198" s="49">
        <v>2621400</v>
      </c>
      <c r="F198" s="49">
        <v>10943938.950000001</v>
      </c>
      <c r="G198" s="48">
        <f t="shared" si="25"/>
        <v>3.1748451018539714</v>
      </c>
      <c r="H198" s="47">
        <f t="shared" si="26"/>
        <v>6.1318112652917157E-3</v>
      </c>
      <c r="I198" s="46">
        <f t="shared" si="27"/>
        <v>1.6294369047112234E-3</v>
      </c>
      <c r="J198" s="45">
        <f t="shared" si="28"/>
        <v>233.0088280810852</v>
      </c>
      <c r="K198" s="45">
        <f t="shared" si="29"/>
        <v>150.84255712617622</v>
      </c>
      <c r="L198" s="45">
        <f t="shared" si="30"/>
        <v>165.55890416287633</v>
      </c>
      <c r="M198" s="44">
        <f t="shared" si="31"/>
        <v>549.41028937013766</v>
      </c>
    </row>
    <row r="199" spans="1:13" x14ac:dyDescent="0.3">
      <c r="A199" s="70" t="s">
        <v>140</v>
      </c>
      <c r="B199" s="49">
        <v>346.43840999999998</v>
      </c>
      <c r="C199" s="49">
        <v>127.67212500000001</v>
      </c>
      <c r="D199" s="50">
        <f t="shared" si="24"/>
        <v>-0.63147237340109019</v>
      </c>
      <c r="E199" s="49">
        <v>8586543.5999999996</v>
      </c>
      <c r="F199" s="49">
        <v>6187988.1000000006</v>
      </c>
      <c r="G199" s="48">
        <f t="shared" si="25"/>
        <v>-0.27933888322654055</v>
      </c>
      <c r="H199" s="47">
        <f t="shared" si="26"/>
        <v>3.4670857827721231E-3</v>
      </c>
      <c r="I199" s="46">
        <f t="shared" si="27"/>
        <v>5.3373125145921886E-3</v>
      </c>
      <c r="J199" s="45">
        <f t="shared" si="28"/>
        <v>131.74925974534068</v>
      </c>
      <c r="K199" s="45">
        <f t="shared" si="29"/>
        <v>85.290310256194232</v>
      </c>
      <c r="L199" s="45">
        <f t="shared" si="30"/>
        <v>93.611316134847328</v>
      </c>
      <c r="M199" s="44">
        <f t="shared" si="31"/>
        <v>310.65088613638227</v>
      </c>
    </row>
    <row r="200" spans="1:13" x14ac:dyDescent="0.3">
      <c r="A200" s="71" t="s">
        <v>139</v>
      </c>
      <c r="B200" s="49">
        <v>0</v>
      </c>
      <c r="C200" s="49">
        <v>89.14500000000001</v>
      </c>
      <c r="D200" s="50">
        <f t="shared" si="24"/>
        <v>1</v>
      </c>
      <c r="E200" s="49">
        <v>0</v>
      </c>
      <c r="F200" s="49">
        <v>8457942.1500000004</v>
      </c>
      <c r="G200" s="48">
        <f t="shared" si="25"/>
        <v>1</v>
      </c>
      <c r="H200" s="47">
        <f t="shared" si="26"/>
        <v>4.7389249148320246E-3</v>
      </c>
      <c r="I200" s="46">
        <f t="shared" si="27"/>
        <v>0</v>
      </c>
      <c r="J200" s="45">
        <f t="shared" si="28"/>
        <v>180.07914676361693</v>
      </c>
      <c r="K200" s="45">
        <f t="shared" si="29"/>
        <v>116.5775529048678</v>
      </c>
      <c r="L200" s="45">
        <f t="shared" si="30"/>
        <v>127.95097270046466</v>
      </c>
      <c r="M200" s="44">
        <f t="shared" si="31"/>
        <v>424.60767236894941</v>
      </c>
    </row>
    <row r="201" spans="1:13" x14ac:dyDescent="0.3">
      <c r="A201" s="71" t="s">
        <v>138</v>
      </c>
      <c r="B201" s="49">
        <v>99.189389999999989</v>
      </c>
      <c r="C201" s="49">
        <v>76.644225000000006</v>
      </c>
      <c r="D201" s="50">
        <f t="shared" si="24"/>
        <v>-0.22729411885686548</v>
      </c>
      <c r="E201" s="49">
        <v>3650416.8000000003</v>
      </c>
      <c r="F201" s="49">
        <v>3645495</v>
      </c>
      <c r="G201" s="48">
        <f t="shared" si="25"/>
        <v>-1.3482843931685497E-3</v>
      </c>
      <c r="H201" s="47">
        <f t="shared" si="26"/>
        <v>2.0425449566825863E-3</v>
      </c>
      <c r="I201" s="46">
        <f t="shared" si="27"/>
        <v>2.2690638023566984E-3</v>
      </c>
      <c r="J201" s="45">
        <f t="shared" si="28"/>
        <v>77.616708353938279</v>
      </c>
      <c r="K201" s="45">
        <f t="shared" si="29"/>
        <v>50.246605934391624</v>
      </c>
      <c r="L201" s="45">
        <f t="shared" si="30"/>
        <v>55.148713830429834</v>
      </c>
      <c r="M201" s="44">
        <f t="shared" si="31"/>
        <v>183.01202811875973</v>
      </c>
    </row>
    <row r="202" spans="1:13" x14ac:dyDescent="0.3">
      <c r="A202" s="71" t="s">
        <v>137</v>
      </c>
      <c r="B202" s="49">
        <v>957.83660999999995</v>
      </c>
      <c r="C202" s="49">
        <v>165.19518750000003</v>
      </c>
      <c r="D202" s="50">
        <f t="shared" si="24"/>
        <v>-0.82753301995838302</v>
      </c>
      <c r="E202" s="49">
        <v>38252109.359999999</v>
      </c>
      <c r="F202" s="49">
        <v>0</v>
      </c>
      <c r="G202" s="48">
        <f t="shared" si="25"/>
        <v>-1</v>
      </c>
      <c r="H202" s="47">
        <f t="shared" si="26"/>
        <v>0</v>
      </c>
      <c r="I202" s="46">
        <f t="shared" si="27"/>
        <v>2.3777141479451289E-2</v>
      </c>
      <c r="J202" s="45">
        <f t="shared" si="28"/>
        <v>0</v>
      </c>
      <c r="K202" s="45">
        <f t="shared" si="29"/>
        <v>0</v>
      </c>
      <c r="L202" s="45">
        <f t="shared" si="30"/>
        <v>0</v>
      </c>
      <c r="M202" s="44">
        <f t="shared" si="31"/>
        <v>0</v>
      </c>
    </row>
    <row r="203" spans="1:13" x14ac:dyDescent="0.3">
      <c r="A203" s="70" t="s">
        <v>136</v>
      </c>
      <c r="B203" s="49">
        <v>173.97349499999999</v>
      </c>
      <c r="C203" s="49">
        <v>152.31562500000001</v>
      </c>
      <c r="D203" s="50">
        <f t="shared" si="24"/>
        <v>-0.12448948042344023</v>
      </c>
      <c r="E203" s="49">
        <v>4896000</v>
      </c>
      <c r="F203" s="49">
        <v>6982178.3850000007</v>
      </c>
      <c r="G203" s="48">
        <f t="shared" si="25"/>
        <v>0.42609852634803935</v>
      </c>
      <c r="H203" s="47">
        <f t="shared" si="26"/>
        <v>3.9120649587888389E-3</v>
      </c>
      <c r="I203" s="46">
        <f t="shared" si="27"/>
        <v>3.0433062811727127E-3</v>
      </c>
      <c r="J203" s="45">
        <f t="shared" si="28"/>
        <v>148.65846843397588</v>
      </c>
      <c r="K203" s="45">
        <f t="shared" si="29"/>
        <v>96.236797986205431</v>
      </c>
      <c r="L203" s="45">
        <f t="shared" si="30"/>
        <v>105.62575388729866</v>
      </c>
      <c r="M203" s="44">
        <f t="shared" si="31"/>
        <v>350.52102030747994</v>
      </c>
    </row>
    <row r="204" spans="1:13" x14ac:dyDescent="0.3">
      <c r="A204" s="70" t="s">
        <v>135</v>
      </c>
      <c r="B204" s="49">
        <v>407.246985</v>
      </c>
      <c r="C204" s="49">
        <v>89.362350000000006</v>
      </c>
      <c r="D204" s="50">
        <f t="shared" si="24"/>
        <v>-0.7805696462062206</v>
      </c>
      <c r="E204" s="49">
        <v>12971544</v>
      </c>
      <c r="F204" s="49">
        <v>4266560.55</v>
      </c>
      <c r="G204" s="48">
        <f t="shared" si="25"/>
        <v>-0.67108306073664004</v>
      </c>
      <c r="H204" s="47">
        <f t="shared" si="26"/>
        <v>2.3905235732824708E-3</v>
      </c>
      <c r="I204" s="46">
        <f t="shared" si="27"/>
        <v>8.062986383110338E-3</v>
      </c>
      <c r="J204" s="45">
        <f t="shared" si="28"/>
        <v>90.839895784733898</v>
      </c>
      <c r="K204" s="45">
        <f t="shared" si="29"/>
        <v>58.806879902748783</v>
      </c>
      <c r="L204" s="45">
        <f t="shared" si="30"/>
        <v>64.544136478626712</v>
      </c>
      <c r="M204" s="44">
        <f t="shared" si="31"/>
        <v>214.1909121661094</v>
      </c>
    </row>
    <row r="205" spans="1:13" ht="15" thickBot="1" x14ac:dyDescent="0.35">
      <c r="A205" s="69" t="s">
        <v>134</v>
      </c>
      <c r="B205" s="49">
        <v>0</v>
      </c>
      <c r="C205" s="49">
        <v>89.362350000000006</v>
      </c>
      <c r="D205" s="50">
        <f t="shared" si="24"/>
        <v>1</v>
      </c>
      <c r="E205" s="49">
        <v>0</v>
      </c>
      <c r="F205" s="49">
        <v>4266560.55</v>
      </c>
      <c r="G205" s="48">
        <f t="shared" si="25"/>
        <v>1</v>
      </c>
      <c r="H205" s="47">
        <f t="shared" si="26"/>
        <v>2.3905235732824708E-3</v>
      </c>
      <c r="I205" s="46">
        <f t="shared" si="27"/>
        <v>0</v>
      </c>
      <c r="J205" s="45">
        <f t="shared" si="28"/>
        <v>90.839895784733898</v>
      </c>
      <c r="K205" s="45">
        <f t="shared" si="29"/>
        <v>58.806879902748783</v>
      </c>
      <c r="L205" s="45">
        <f t="shared" si="30"/>
        <v>64.544136478626712</v>
      </c>
      <c r="M205" s="44">
        <f t="shared" si="31"/>
        <v>214.1909121661094</v>
      </c>
    </row>
    <row r="206" spans="1:13" ht="15" thickBot="1" x14ac:dyDescent="0.35">
      <c r="A206" s="68" t="s">
        <v>133</v>
      </c>
      <c r="B206" s="42">
        <v>2058.7547399999999</v>
      </c>
      <c r="C206" s="40">
        <v>1018.9811625</v>
      </c>
      <c r="D206" s="41">
        <f t="shared" si="24"/>
        <v>-0.50504975522242146</v>
      </c>
      <c r="E206" s="40">
        <v>70978013.75999999</v>
      </c>
      <c r="F206" s="40">
        <v>44750663.684999995</v>
      </c>
      <c r="G206" s="39">
        <f t="shared" si="25"/>
        <v>-0.369513722427952</v>
      </c>
      <c r="H206" s="38">
        <f t="shared" si="26"/>
        <v>2.5073479024932226E-2</v>
      </c>
      <c r="I206" s="37">
        <f t="shared" si="27"/>
        <v>4.4119247365394444E-2</v>
      </c>
      <c r="J206" s="36">
        <f t="shared" si="28"/>
        <v>952.79220294742458</v>
      </c>
      <c r="K206" s="36">
        <f t="shared" si="29"/>
        <v>616.80758401333276</v>
      </c>
      <c r="L206" s="36">
        <f t="shared" si="30"/>
        <v>676.9839336731701</v>
      </c>
      <c r="M206" s="36">
        <f t="shared" si="31"/>
        <v>2246.5837206339274</v>
      </c>
    </row>
    <row r="207" spans="1:13" ht="15" thickBot="1" x14ac:dyDescent="0.35">
      <c r="A207" s="67" t="s">
        <v>132</v>
      </c>
      <c r="B207" s="34">
        <v>5432.4667559999998</v>
      </c>
      <c r="C207" s="32">
        <v>4068.3947619000005</v>
      </c>
      <c r="D207" s="33">
        <f t="shared" si="24"/>
        <v>-0.25109624326617774</v>
      </c>
      <c r="E207" s="32">
        <v>188030128.25999999</v>
      </c>
      <c r="F207" s="32">
        <v>180787847.37941644</v>
      </c>
      <c r="G207" s="31">
        <f t="shared" si="25"/>
        <v>-3.8516598098413457E-2</v>
      </c>
      <c r="H207" s="30">
        <f t="shared" si="26"/>
        <v>0.10129414685641544</v>
      </c>
      <c r="I207" s="29">
        <f t="shared" si="27"/>
        <v>0.11687771045411945</v>
      </c>
      <c r="J207" s="28">
        <f t="shared" si="28"/>
        <v>3849.1775805437869</v>
      </c>
      <c r="K207" s="28">
        <f t="shared" si="29"/>
        <v>2491.8360126678199</v>
      </c>
      <c r="L207" s="28">
        <f t="shared" si="30"/>
        <v>2734.941965123217</v>
      </c>
      <c r="M207" s="28">
        <f t="shared" si="31"/>
        <v>9075.9555583348229</v>
      </c>
    </row>
    <row r="208" spans="1:13" ht="15" thickBot="1" x14ac:dyDescent="0.35">
      <c r="A208" s="66" t="s">
        <v>131</v>
      </c>
      <c r="B208" s="26">
        <v>18081.126491999999</v>
      </c>
      <c r="C208" s="24">
        <v>13596.786911400002</v>
      </c>
      <c r="D208" s="25">
        <f t="shared" si="24"/>
        <v>-0.24801217903011158</v>
      </c>
      <c r="E208" s="24">
        <v>508062092.81999999</v>
      </c>
      <c r="F208" s="24">
        <v>632795698.50932741</v>
      </c>
      <c r="G208" s="23">
        <f t="shared" si="25"/>
        <v>0.24550858537190445</v>
      </c>
      <c r="H208" s="22">
        <f t="shared" si="26"/>
        <v>0.35455093549728123</v>
      </c>
      <c r="I208" s="21">
        <f t="shared" si="27"/>
        <v>0.31580648658187499</v>
      </c>
      <c r="J208" s="20">
        <f t="shared" si="28"/>
        <v>13472.935548896687</v>
      </c>
      <c r="K208" s="20">
        <f t="shared" si="29"/>
        <v>8721.9530132331183</v>
      </c>
      <c r="L208" s="20">
        <f t="shared" si="30"/>
        <v>9572.8752584265931</v>
      </c>
      <c r="M208" s="20">
        <f t="shared" si="31"/>
        <v>31767.763820556396</v>
      </c>
    </row>
    <row r="209" spans="1:13" ht="15.6" x14ac:dyDescent="0.3">
      <c r="A209" s="53" t="s">
        <v>130</v>
      </c>
      <c r="B209" s="49">
        <v>582.73971900000004</v>
      </c>
      <c r="C209" s="49">
        <v>132.25411500000001</v>
      </c>
      <c r="D209" s="50">
        <f t="shared" si="24"/>
        <v>-0.77304770777088561</v>
      </c>
      <c r="E209" s="49">
        <v>15084780</v>
      </c>
      <c r="F209" s="49">
        <v>5941699.6016026875</v>
      </c>
      <c r="G209" s="48">
        <f t="shared" si="25"/>
        <v>-0.60611294287336714</v>
      </c>
      <c r="H209" s="47">
        <f t="shared" si="26"/>
        <v>3.3290920863631693E-3</v>
      </c>
      <c r="I209" s="46">
        <f t="shared" si="27"/>
        <v>9.3765534567215106E-3</v>
      </c>
      <c r="J209" s="45">
        <f t="shared" si="28"/>
        <v>126.50549928180044</v>
      </c>
      <c r="K209" s="45">
        <f t="shared" si="29"/>
        <v>81.895665324533965</v>
      </c>
      <c r="L209" s="45">
        <f t="shared" si="30"/>
        <v>89.885486331805566</v>
      </c>
      <c r="M209" s="44">
        <f t="shared" si="31"/>
        <v>298.28665093813999</v>
      </c>
    </row>
    <row r="210" spans="1:13" ht="15.6" x14ac:dyDescent="0.3">
      <c r="A210" s="52" t="s">
        <v>129</v>
      </c>
      <c r="B210" s="49">
        <v>0</v>
      </c>
      <c r="C210" s="49">
        <v>151.97803635</v>
      </c>
      <c r="D210" s="50">
        <f t="shared" si="24"/>
        <v>1</v>
      </c>
      <c r="E210" s="49">
        <v>0</v>
      </c>
      <c r="F210" s="49">
        <v>5739621.501011516</v>
      </c>
      <c r="G210" s="48">
        <f t="shared" si="25"/>
        <v>1</v>
      </c>
      <c r="H210" s="47">
        <f t="shared" si="26"/>
        <v>3.2158691618444156E-3</v>
      </c>
      <c r="I210" s="46">
        <f t="shared" si="27"/>
        <v>0</v>
      </c>
      <c r="J210" s="45">
        <f t="shared" si="28"/>
        <v>122.20302815008779</v>
      </c>
      <c r="K210" s="45">
        <f t="shared" si="29"/>
        <v>79.110381381372619</v>
      </c>
      <c r="L210" s="45">
        <f t="shared" si="30"/>
        <v>86.828467369799228</v>
      </c>
      <c r="M210" s="44">
        <f t="shared" si="31"/>
        <v>288.14187690125965</v>
      </c>
    </row>
    <row r="211" spans="1:13" ht="15.6" x14ac:dyDescent="0.3">
      <c r="A211" s="52" t="s">
        <v>128</v>
      </c>
      <c r="B211" s="49">
        <v>997.90685100000007</v>
      </c>
      <c r="C211" s="49">
        <v>133.46357850000001</v>
      </c>
      <c r="D211" s="50">
        <f t="shared" si="24"/>
        <v>-0.86625647637727254</v>
      </c>
      <c r="E211" s="49">
        <v>35416429.799999997</v>
      </c>
      <c r="F211" s="49">
        <v>6856727.0849388437</v>
      </c>
      <c r="G211" s="48">
        <f t="shared" si="25"/>
        <v>-0.80639699925544606</v>
      </c>
      <c r="H211" s="47">
        <f t="shared" si="26"/>
        <v>3.841775486371735E-3</v>
      </c>
      <c r="I211" s="46">
        <f t="shared" si="27"/>
        <v>2.2014510471211692E-2</v>
      </c>
      <c r="J211" s="45">
        <f t="shared" si="28"/>
        <v>145.98746848212593</v>
      </c>
      <c r="K211" s="45">
        <f t="shared" si="29"/>
        <v>94.507676964744675</v>
      </c>
      <c r="L211" s="45">
        <f t="shared" si="30"/>
        <v>103.72793813203684</v>
      </c>
      <c r="M211" s="44">
        <f t="shared" si="31"/>
        <v>344.22308357890745</v>
      </c>
    </row>
    <row r="212" spans="1:13" ht="15.6" x14ac:dyDescent="0.3">
      <c r="A212" s="52" t="s">
        <v>127</v>
      </c>
      <c r="B212" s="49">
        <v>0</v>
      </c>
      <c r="C212" s="49">
        <v>139.54045350000001</v>
      </c>
      <c r="D212" s="50">
        <f t="shared" si="24"/>
        <v>1</v>
      </c>
      <c r="E212" s="49">
        <v>0</v>
      </c>
      <c r="F212" s="49">
        <v>5315967.2524052542</v>
      </c>
      <c r="G212" s="48">
        <f t="shared" si="25"/>
        <v>1</v>
      </c>
      <c r="H212" s="47">
        <f t="shared" si="26"/>
        <v>2.9784986953185063E-3</v>
      </c>
      <c r="I212" s="46">
        <f t="shared" si="27"/>
        <v>0</v>
      </c>
      <c r="J212" s="45">
        <f t="shared" si="28"/>
        <v>113.18295042210325</v>
      </c>
      <c r="K212" s="45">
        <f t="shared" si="29"/>
        <v>73.271067904835249</v>
      </c>
      <c r="L212" s="45">
        <f t="shared" si="30"/>
        <v>80.419464773599671</v>
      </c>
      <c r="M212" s="44">
        <f t="shared" si="31"/>
        <v>266.87348310053818</v>
      </c>
    </row>
    <row r="213" spans="1:13" ht="15.6" x14ac:dyDescent="0.3">
      <c r="A213" s="52" t="s">
        <v>126</v>
      </c>
      <c r="B213" s="49">
        <v>0</v>
      </c>
      <c r="C213" s="49">
        <v>172.47864585000002</v>
      </c>
      <c r="D213" s="50">
        <f t="shared" si="24"/>
        <v>1</v>
      </c>
      <c r="E213" s="49">
        <v>0</v>
      </c>
      <c r="F213" s="49">
        <v>9514834.7495551743</v>
      </c>
      <c r="G213" s="48">
        <f t="shared" si="25"/>
        <v>1</v>
      </c>
      <c r="H213" s="47">
        <f t="shared" si="26"/>
        <v>5.3310943318732136E-3</v>
      </c>
      <c r="I213" s="46">
        <f t="shared" si="27"/>
        <v>0</v>
      </c>
      <c r="J213" s="45">
        <f t="shared" si="28"/>
        <v>202.58158461118211</v>
      </c>
      <c r="K213" s="45">
        <f t="shared" si="29"/>
        <v>131.14492056408105</v>
      </c>
      <c r="L213" s="45">
        <f t="shared" si="30"/>
        <v>143.93954696057676</v>
      </c>
      <c r="M213" s="44">
        <f t="shared" si="31"/>
        <v>477.66605213583989</v>
      </c>
    </row>
    <row r="214" spans="1:13" ht="16.2" thickBot="1" x14ac:dyDescent="0.35">
      <c r="A214" s="51" t="s">
        <v>125</v>
      </c>
      <c r="B214" s="49">
        <v>134.62383299999999</v>
      </c>
      <c r="C214" s="49">
        <v>136.62311250000002</v>
      </c>
      <c r="D214" s="50">
        <f t="shared" si="24"/>
        <v>1.4850858540033016E-2</v>
      </c>
      <c r="E214" s="49">
        <v>4743000</v>
      </c>
      <c r="F214" s="49">
        <v>5937583.0499999998</v>
      </c>
      <c r="G214" s="48">
        <f t="shared" si="25"/>
        <v>0.25186233396584434</v>
      </c>
      <c r="H214" s="47">
        <f t="shared" si="26"/>
        <v>3.3267856117376402E-3</v>
      </c>
      <c r="I214" s="46">
        <f t="shared" si="27"/>
        <v>2.9482029598860656E-3</v>
      </c>
      <c r="J214" s="45">
        <f t="shared" si="28"/>
        <v>126.41785324603033</v>
      </c>
      <c r="K214" s="45">
        <f t="shared" si="29"/>
        <v>81.838926048745947</v>
      </c>
      <c r="L214" s="45">
        <f t="shared" si="30"/>
        <v>89.823211516916288</v>
      </c>
      <c r="M214" s="44">
        <f t="shared" si="31"/>
        <v>298.07999081169254</v>
      </c>
    </row>
    <row r="215" spans="1:13" ht="16.2" thickBot="1" x14ac:dyDescent="0.35">
      <c r="A215" s="56" t="s">
        <v>124</v>
      </c>
      <c r="B215" s="42">
        <v>1715.270403</v>
      </c>
      <c r="C215" s="40">
        <v>866.3379417000001</v>
      </c>
      <c r="D215" s="41">
        <f t="shared" si="24"/>
        <v>-0.49492631588303565</v>
      </c>
      <c r="E215" s="40">
        <v>55244209.799999997</v>
      </c>
      <c r="F215" s="40">
        <v>39306433.239513479</v>
      </c>
      <c r="G215" s="39">
        <f t="shared" si="25"/>
        <v>-0.28849677854359534</v>
      </c>
      <c r="H215" s="38">
        <f t="shared" si="26"/>
        <v>2.2023115373508682E-2</v>
      </c>
      <c r="I215" s="37">
        <f t="shared" si="27"/>
        <v>3.433926688781927E-2</v>
      </c>
      <c r="J215" s="36">
        <f t="shared" si="28"/>
        <v>836.87838419332991</v>
      </c>
      <c r="K215" s="36">
        <f t="shared" si="29"/>
        <v>541.76863818831362</v>
      </c>
      <c r="L215" s="36">
        <f t="shared" si="30"/>
        <v>594.6241150847344</v>
      </c>
      <c r="M215" s="36">
        <f t="shared" si="31"/>
        <v>1973.2711374663781</v>
      </c>
    </row>
    <row r="216" spans="1:13" ht="15.6" x14ac:dyDescent="0.3">
      <c r="A216" s="58" t="s">
        <v>123</v>
      </c>
      <c r="B216" s="49">
        <v>0</v>
      </c>
      <c r="C216" s="49">
        <v>304.2865875</v>
      </c>
      <c r="D216" s="50">
        <f t="shared" si="24"/>
        <v>1</v>
      </c>
      <c r="E216" s="49">
        <v>0</v>
      </c>
      <c r="F216" s="49">
        <v>8129599.8000000007</v>
      </c>
      <c r="G216" s="48">
        <f t="shared" si="25"/>
        <v>1</v>
      </c>
      <c r="H216" s="47">
        <f t="shared" si="26"/>
        <v>4.5549570281505705E-3</v>
      </c>
      <c r="I216" s="46">
        <f t="shared" si="27"/>
        <v>0</v>
      </c>
      <c r="J216" s="45">
        <f t="shared" si="28"/>
        <v>173.08836706972167</v>
      </c>
      <c r="K216" s="45">
        <f t="shared" si="29"/>
        <v>112.05194289250403</v>
      </c>
      <c r="L216" s="45">
        <f t="shared" si="30"/>
        <v>122.98383976006541</v>
      </c>
      <c r="M216" s="44">
        <f t="shared" si="31"/>
        <v>408.12414972229112</v>
      </c>
    </row>
    <row r="217" spans="1:13" ht="15.6" x14ac:dyDescent="0.3">
      <c r="A217" s="57" t="s">
        <v>122</v>
      </c>
      <c r="B217" s="49">
        <v>1115.1684480000001</v>
      </c>
      <c r="C217" s="49">
        <v>78.688050000000004</v>
      </c>
      <c r="D217" s="50">
        <f t="shared" si="24"/>
        <v>-0.92943841789899706</v>
      </c>
      <c r="E217" s="49">
        <v>32412132</v>
      </c>
      <c r="F217" s="49">
        <v>5321910.3</v>
      </c>
      <c r="G217" s="48">
        <f t="shared" si="25"/>
        <v>-0.83580499116812179</v>
      </c>
      <c r="H217" s="47">
        <f t="shared" si="26"/>
        <v>2.9818285426758532E-3</v>
      </c>
      <c r="I217" s="46">
        <f t="shared" si="27"/>
        <v>2.0147067994648507E-2</v>
      </c>
      <c r="J217" s="45">
        <f t="shared" si="28"/>
        <v>113.30948462168242</v>
      </c>
      <c r="K217" s="45">
        <f t="shared" si="29"/>
        <v>73.352982149825991</v>
      </c>
      <c r="L217" s="45">
        <f t="shared" si="30"/>
        <v>80.509370652248037</v>
      </c>
      <c r="M217" s="44">
        <f t="shared" si="31"/>
        <v>267.17183742375641</v>
      </c>
    </row>
    <row r="218" spans="1:13" ht="15.6" x14ac:dyDescent="0.3">
      <c r="A218" s="57" t="s">
        <v>121</v>
      </c>
      <c r="B218" s="49">
        <v>0</v>
      </c>
      <c r="C218" s="49">
        <v>283.22910000000002</v>
      </c>
      <c r="D218" s="50">
        <f t="shared" si="24"/>
        <v>1</v>
      </c>
      <c r="E218" s="49">
        <v>0</v>
      </c>
      <c r="F218" s="49">
        <v>12432569.436000001</v>
      </c>
      <c r="G218" s="48">
        <f t="shared" si="25"/>
        <v>1</v>
      </c>
      <c r="H218" s="47">
        <f t="shared" si="26"/>
        <v>6.9658803537264126E-3</v>
      </c>
      <c r="I218" s="46">
        <f t="shared" si="27"/>
        <v>0</v>
      </c>
      <c r="J218" s="45">
        <f t="shared" si="28"/>
        <v>264.7034534416037</v>
      </c>
      <c r="K218" s="45">
        <f t="shared" si="29"/>
        <v>171.36065670166974</v>
      </c>
      <c r="L218" s="45">
        <f t="shared" si="30"/>
        <v>188.07876955061315</v>
      </c>
      <c r="M218" s="44">
        <f t="shared" si="31"/>
        <v>624.14287969388658</v>
      </c>
    </row>
    <row r="219" spans="1:13" ht="15.6" x14ac:dyDescent="0.3">
      <c r="A219" s="57" t="s">
        <v>120</v>
      </c>
      <c r="B219" s="49">
        <v>0</v>
      </c>
      <c r="C219" s="49">
        <v>126.44691885</v>
      </c>
      <c r="D219" s="50">
        <f t="shared" si="24"/>
        <v>1</v>
      </c>
      <c r="E219" s="49">
        <v>0</v>
      </c>
      <c r="F219" s="49">
        <v>6115312.7725726375</v>
      </c>
      <c r="G219" s="48">
        <f t="shared" si="25"/>
        <v>1</v>
      </c>
      <c r="H219" s="47">
        <f t="shared" si="26"/>
        <v>3.4263663129848881E-3</v>
      </c>
      <c r="I219" s="46">
        <f t="shared" si="27"/>
        <v>0</v>
      </c>
      <c r="J219" s="45">
        <f t="shared" si="28"/>
        <v>130.20191989342575</v>
      </c>
      <c r="K219" s="45">
        <f t="shared" si="29"/>
        <v>84.288611299428254</v>
      </c>
      <c r="L219" s="45">
        <f t="shared" si="30"/>
        <v>92.511890450591977</v>
      </c>
      <c r="M219" s="44">
        <f t="shared" si="31"/>
        <v>307.00242164344598</v>
      </c>
    </row>
    <row r="220" spans="1:13" ht="15.6" x14ac:dyDescent="0.3">
      <c r="A220" s="57" t="s">
        <v>119</v>
      </c>
      <c r="B220" s="49">
        <v>0</v>
      </c>
      <c r="C220" s="49">
        <v>158.73019574999998</v>
      </c>
      <c r="D220" s="50">
        <f t="shared" si="24"/>
        <v>1</v>
      </c>
      <c r="E220" s="49">
        <v>0</v>
      </c>
      <c r="F220" s="49">
        <v>9472094.7094720304</v>
      </c>
      <c r="G220" s="48">
        <f t="shared" si="25"/>
        <v>1</v>
      </c>
      <c r="H220" s="47">
        <f t="shared" si="26"/>
        <v>5.3071473909721192E-3</v>
      </c>
      <c r="I220" s="46">
        <f t="shared" si="27"/>
        <v>0</v>
      </c>
      <c r="J220" s="45">
        <f t="shared" si="28"/>
        <v>201.67160085694053</v>
      </c>
      <c r="K220" s="45">
        <f t="shared" si="29"/>
        <v>130.55582581791413</v>
      </c>
      <c r="L220" s="45">
        <f t="shared" si="30"/>
        <v>143.29297955624722</v>
      </c>
      <c r="M220" s="44">
        <f t="shared" si="31"/>
        <v>475.5204062311019</v>
      </c>
    </row>
    <row r="221" spans="1:13" ht="15.6" x14ac:dyDescent="0.3">
      <c r="A221" s="57" t="s">
        <v>118</v>
      </c>
      <c r="B221" s="49">
        <v>640.42015800000013</v>
      </c>
      <c r="C221" s="49">
        <v>334.14308549999998</v>
      </c>
      <c r="D221" s="50">
        <f t="shared" si="24"/>
        <v>-0.47824396011594639</v>
      </c>
      <c r="E221" s="49">
        <v>15270782.1</v>
      </c>
      <c r="F221" s="49">
        <v>16271575.967955334</v>
      </c>
      <c r="G221" s="48">
        <f t="shared" si="25"/>
        <v>6.5536516820270424E-2</v>
      </c>
      <c r="H221" s="47">
        <f t="shared" si="26"/>
        <v>9.1168484473644167E-3</v>
      </c>
      <c r="I221" s="46">
        <f t="shared" si="27"/>
        <v>9.4921705644096868E-3</v>
      </c>
      <c r="J221" s="45">
        <f t="shared" si="28"/>
        <v>346.44024099984784</v>
      </c>
      <c r="K221" s="45">
        <f t="shared" si="29"/>
        <v>224.27447180516464</v>
      </c>
      <c r="L221" s="45">
        <f t="shared" si="30"/>
        <v>246.15490807883924</v>
      </c>
      <c r="M221" s="44">
        <f t="shared" si="31"/>
        <v>816.86962088385167</v>
      </c>
    </row>
    <row r="222" spans="1:13" ht="15.6" x14ac:dyDescent="0.3">
      <c r="A222" s="57" t="s">
        <v>117</v>
      </c>
      <c r="B222" s="49">
        <v>0</v>
      </c>
      <c r="C222" s="49">
        <v>245.57148000000001</v>
      </c>
      <c r="D222" s="50">
        <f t="shared" si="24"/>
        <v>1</v>
      </c>
      <c r="E222" s="49">
        <v>0</v>
      </c>
      <c r="F222" s="49">
        <v>12202062.107655503</v>
      </c>
      <c r="G222" s="48">
        <f t="shared" si="25"/>
        <v>1</v>
      </c>
      <c r="H222" s="47">
        <f t="shared" si="26"/>
        <v>6.8367287348136364E-3</v>
      </c>
      <c r="I222" s="46">
        <f t="shared" si="27"/>
        <v>0</v>
      </c>
      <c r="J222" s="45">
        <f t="shared" si="28"/>
        <v>259.79569192291819</v>
      </c>
      <c r="K222" s="45">
        <f t="shared" si="29"/>
        <v>168.18352687641544</v>
      </c>
      <c r="L222" s="45">
        <f t="shared" si="30"/>
        <v>184.59167583996819</v>
      </c>
      <c r="M222" s="44">
        <f t="shared" si="31"/>
        <v>612.57089463930186</v>
      </c>
    </row>
    <row r="223" spans="1:13" ht="16.2" thickBot="1" x14ac:dyDescent="0.35">
      <c r="A223" s="59" t="s">
        <v>116</v>
      </c>
      <c r="B223" s="49">
        <v>0</v>
      </c>
      <c r="C223" s="49">
        <v>255.28004250000001</v>
      </c>
      <c r="D223" s="50">
        <f t="shared" si="24"/>
        <v>1</v>
      </c>
      <c r="E223" s="49">
        <v>0</v>
      </c>
      <c r="F223" s="49">
        <v>14884928.592344498</v>
      </c>
      <c r="G223" s="48">
        <f t="shared" si="25"/>
        <v>1</v>
      </c>
      <c r="H223" s="47">
        <f t="shared" si="26"/>
        <v>8.3399197713544208E-3</v>
      </c>
      <c r="I223" s="46">
        <f t="shared" si="27"/>
        <v>0</v>
      </c>
      <c r="J223" s="45">
        <f t="shared" si="28"/>
        <v>316.91695131146798</v>
      </c>
      <c r="K223" s="45">
        <f t="shared" si="29"/>
        <v>205.16202637531876</v>
      </c>
      <c r="L223" s="45">
        <f t="shared" si="30"/>
        <v>225.17783382656935</v>
      </c>
      <c r="M223" s="44">
        <f t="shared" si="31"/>
        <v>747.25681151335607</v>
      </c>
    </row>
    <row r="224" spans="1:13" ht="16.2" thickBot="1" x14ac:dyDescent="0.35">
      <c r="A224" s="56" t="s">
        <v>115</v>
      </c>
      <c r="B224" s="42">
        <v>1755.5886060000003</v>
      </c>
      <c r="C224" s="40">
        <v>1786.3754601000001</v>
      </c>
      <c r="D224" s="41">
        <f t="shared" si="24"/>
        <v>1.7536485481154801E-2</v>
      </c>
      <c r="E224" s="40">
        <v>47682914.100000001</v>
      </c>
      <c r="F224" s="40">
        <v>84830053.68599999</v>
      </c>
      <c r="G224" s="39">
        <f t="shared" si="25"/>
        <v>0.77904507908420784</v>
      </c>
      <c r="H224" s="38">
        <f t="shared" si="26"/>
        <v>4.752967658204231E-2</v>
      </c>
      <c r="I224" s="37">
        <f t="shared" si="27"/>
        <v>2.9639238559058194E-2</v>
      </c>
      <c r="J224" s="36">
        <f t="shared" si="28"/>
        <v>1806.1277101176079</v>
      </c>
      <c r="K224" s="36">
        <f t="shared" si="29"/>
        <v>1169.2300439182409</v>
      </c>
      <c r="L224" s="36">
        <f t="shared" si="30"/>
        <v>1283.3012677151423</v>
      </c>
      <c r="M224" s="36">
        <f t="shared" si="31"/>
        <v>4258.6590217509911</v>
      </c>
    </row>
    <row r="225" spans="1:13" ht="15.6" x14ac:dyDescent="0.3">
      <c r="A225" s="58" t="s">
        <v>114</v>
      </c>
      <c r="B225" s="49">
        <v>0</v>
      </c>
      <c r="C225" s="49">
        <v>29.587038600000003</v>
      </c>
      <c r="D225" s="50">
        <f t="shared" si="24"/>
        <v>1</v>
      </c>
      <c r="E225" s="49">
        <v>0</v>
      </c>
      <c r="F225" s="49">
        <v>1454970.681818181</v>
      </c>
      <c r="G225" s="48">
        <f t="shared" si="25"/>
        <v>1</v>
      </c>
      <c r="H225" s="47">
        <f t="shared" si="26"/>
        <v>8.152097392175136E-4</v>
      </c>
      <c r="I225" s="46">
        <f t="shared" si="27"/>
        <v>0</v>
      </c>
      <c r="J225" s="45">
        <f t="shared" si="28"/>
        <v>30.977970090265515</v>
      </c>
      <c r="K225" s="45">
        <f t="shared" si="29"/>
        <v>20.054159584750835</v>
      </c>
      <c r="L225" s="45">
        <f t="shared" si="30"/>
        <v>22.010662958872867</v>
      </c>
      <c r="M225" s="44">
        <f t="shared" si="31"/>
        <v>73.042792633889221</v>
      </c>
    </row>
    <row r="226" spans="1:13" ht="15.6" x14ac:dyDescent="0.3">
      <c r="A226" s="57" t="s">
        <v>113</v>
      </c>
      <c r="B226" s="49">
        <v>350.49005400000004</v>
      </c>
      <c r="C226" s="49">
        <v>130.591587</v>
      </c>
      <c r="D226" s="50">
        <f t="shared" si="24"/>
        <v>-0.62740287346356483</v>
      </c>
      <c r="E226" s="49">
        <v>9087261.5999999996</v>
      </c>
      <c r="F226" s="49">
        <v>4364912.0454545468</v>
      </c>
      <c r="G226" s="48">
        <f t="shared" si="25"/>
        <v>-0.51966695385389294</v>
      </c>
      <c r="H226" s="47">
        <f t="shared" si="26"/>
        <v>2.4456292176525431E-3</v>
      </c>
      <c r="I226" s="46">
        <f t="shared" si="27"/>
        <v>5.6485539840562902E-3</v>
      </c>
      <c r="J226" s="45">
        <f t="shared" si="28"/>
        <v>92.93391027079663</v>
      </c>
      <c r="K226" s="45">
        <f t="shared" si="29"/>
        <v>60.162478754252561</v>
      </c>
      <c r="L226" s="45">
        <f t="shared" si="30"/>
        <v>66.031988876618669</v>
      </c>
      <c r="M226" s="44">
        <f t="shared" si="31"/>
        <v>219.12837790166785</v>
      </c>
    </row>
    <row r="227" spans="1:13" ht="15.6" x14ac:dyDescent="0.3">
      <c r="A227" s="57" t="s">
        <v>112</v>
      </c>
      <c r="B227" s="49">
        <v>0</v>
      </c>
      <c r="C227" s="49">
        <v>91.962863999999996</v>
      </c>
      <c r="D227" s="50">
        <f t="shared" si="24"/>
        <v>1</v>
      </c>
      <c r="E227" s="49">
        <v>0</v>
      </c>
      <c r="F227" s="49">
        <v>3394931.5909090913</v>
      </c>
      <c r="G227" s="48">
        <f t="shared" si="25"/>
        <v>1</v>
      </c>
      <c r="H227" s="47">
        <f t="shared" si="26"/>
        <v>1.9021560581741997E-3</v>
      </c>
      <c r="I227" s="46">
        <f t="shared" si="27"/>
        <v>0</v>
      </c>
      <c r="J227" s="45">
        <f t="shared" si="28"/>
        <v>72.281930210619592</v>
      </c>
      <c r="K227" s="45">
        <f t="shared" si="29"/>
        <v>46.793039031085314</v>
      </c>
      <c r="L227" s="45">
        <f t="shared" si="30"/>
        <v>51.358213570703391</v>
      </c>
      <c r="M227" s="44">
        <f t="shared" si="31"/>
        <v>170.43318281240829</v>
      </c>
    </row>
    <row r="228" spans="1:13" ht="16.2" thickBot="1" x14ac:dyDescent="0.35">
      <c r="A228" s="59" t="s">
        <v>111</v>
      </c>
      <c r="B228" s="49">
        <v>0</v>
      </c>
      <c r="C228" s="49">
        <v>37.992414600000004</v>
      </c>
      <c r="D228" s="50">
        <f t="shared" si="24"/>
        <v>1</v>
      </c>
      <c r="E228" s="49">
        <v>0</v>
      </c>
      <c r="F228" s="49">
        <v>1454970.681818181</v>
      </c>
      <c r="G228" s="48">
        <f t="shared" si="25"/>
        <v>1</v>
      </c>
      <c r="H228" s="47">
        <f t="shared" si="26"/>
        <v>8.152097392175136E-4</v>
      </c>
      <c r="I228" s="46">
        <f t="shared" si="27"/>
        <v>0</v>
      </c>
      <c r="J228" s="45">
        <f t="shared" si="28"/>
        <v>30.977970090265515</v>
      </c>
      <c r="K228" s="45">
        <f t="shared" si="29"/>
        <v>20.054159584750835</v>
      </c>
      <c r="L228" s="45">
        <f t="shared" si="30"/>
        <v>22.010662958872867</v>
      </c>
      <c r="M228" s="44">
        <f t="shared" si="31"/>
        <v>73.042792633889221</v>
      </c>
    </row>
    <row r="229" spans="1:13" ht="16.2" thickBot="1" x14ac:dyDescent="0.35">
      <c r="A229" s="56" t="s">
        <v>110</v>
      </c>
      <c r="B229" s="42">
        <v>350.49005400000004</v>
      </c>
      <c r="C229" s="40">
        <v>290.13390420000002</v>
      </c>
      <c r="D229" s="41">
        <f t="shared" si="24"/>
        <v>-0.17220502867679097</v>
      </c>
      <c r="E229" s="40">
        <v>9087261.5999999996</v>
      </c>
      <c r="F229" s="40">
        <v>10669785</v>
      </c>
      <c r="G229" s="39">
        <f t="shared" si="25"/>
        <v>0.17414744613492808</v>
      </c>
      <c r="H229" s="38">
        <f t="shared" si="26"/>
        <v>5.9782047542617693E-3</v>
      </c>
      <c r="I229" s="37">
        <f t="shared" si="27"/>
        <v>5.6485539840562902E-3</v>
      </c>
      <c r="J229" s="36">
        <f t="shared" si="28"/>
        <v>227.17178066194722</v>
      </c>
      <c r="K229" s="36">
        <f t="shared" si="29"/>
        <v>147.06383695483953</v>
      </c>
      <c r="L229" s="36">
        <f t="shared" si="30"/>
        <v>161.41152836506777</v>
      </c>
      <c r="M229" s="36">
        <f t="shared" si="31"/>
        <v>535.64714598185446</v>
      </c>
    </row>
    <row r="230" spans="1:13" ht="16.2" thickBot="1" x14ac:dyDescent="0.35">
      <c r="A230" s="65" t="s">
        <v>109</v>
      </c>
      <c r="B230" s="34">
        <v>3821.3490630000001</v>
      </c>
      <c r="C230" s="32">
        <v>2942.8473060000001</v>
      </c>
      <c r="D230" s="33">
        <f t="shared" si="24"/>
        <v>-0.22989309338580044</v>
      </c>
      <c r="E230" s="32">
        <v>112014385.5</v>
      </c>
      <c r="F230" s="32">
        <v>134806271.92551348</v>
      </c>
      <c r="G230" s="31">
        <f t="shared" si="25"/>
        <v>0.20347285148936051</v>
      </c>
      <c r="H230" s="30">
        <f t="shared" si="26"/>
        <v>7.5530996709812767E-2</v>
      </c>
      <c r="I230" s="29">
        <f t="shared" si="27"/>
        <v>6.9627059430933752E-2</v>
      </c>
      <c r="J230" s="28">
        <f t="shared" si="28"/>
        <v>2870.1778749728851</v>
      </c>
      <c r="K230" s="28">
        <f t="shared" si="29"/>
        <v>1858.0625190613941</v>
      </c>
      <c r="L230" s="28">
        <f t="shared" si="30"/>
        <v>2039.3369111649447</v>
      </c>
      <c r="M230" s="28">
        <f t="shared" si="31"/>
        <v>6767.5773051992237</v>
      </c>
    </row>
    <row r="231" spans="1:13" ht="15.6" x14ac:dyDescent="0.3">
      <c r="A231" s="58" t="s">
        <v>108</v>
      </c>
      <c r="B231" s="49">
        <v>565.28813100000002</v>
      </c>
      <c r="C231" s="49">
        <v>103.34712255000001</v>
      </c>
      <c r="D231" s="50">
        <f t="shared" si="24"/>
        <v>-0.81717797193587283</v>
      </c>
      <c r="E231" s="49">
        <v>27198300</v>
      </c>
      <c r="F231" s="49">
        <v>8006382.6459497828</v>
      </c>
      <c r="G231" s="48">
        <f t="shared" si="25"/>
        <v>-0.70562929867124857</v>
      </c>
      <c r="H231" s="47">
        <f t="shared" si="26"/>
        <v>4.485919331875564E-3</v>
      </c>
      <c r="I231" s="46">
        <f t="shared" si="27"/>
        <v>1.6906200414056331E-2</v>
      </c>
      <c r="J231" s="45">
        <f t="shared" si="28"/>
        <v>170.46493461127145</v>
      </c>
      <c r="K231" s="45">
        <f t="shared" si="29"/>
        <v>110.35361556413888</v>
      </c>
      <c r="L231" s="45">
        <f t="shared" si="30"/>
        <v>121.11982196064022</v>
      </c>
      <c r="M231" s="44">
        <f t="shared" si="31"/>
        <v>401.93837213605059</v>
      </c>
    </row>
    <row r="232" spans="1:13" ht="15.6" x14ac:dyDescent="0.3">
      <c r="A232" s="57" t="s">
        <v>107</v>
      </c>
      <c r="B232" s="49">
        <v>0</v>
      </c>
      <c r="C232" s="49">
        <v>71.149455299999985</v>
      </c>
      <c r="D232" s="50">
        <f t="shared" si="24"/>
        <v>1</v>
      </c>
      <c r="E232" s="49">
        <v>0</v>
      </c>
      <c r="F232" s="49">
        <v>5486929.2296397388</v>
      </c>
      <c r="G232" s="48">
        <f t="shared" si="25"/>
        <v>1</v>
      </c>
      <c r="H232" s="47">
        <f t="shared" si="26"/>
        <v>3.0742874769201212E-3</v>
      </c>
      <c r="I232" s="46">
        <f t="shared" si="27"/>
        <v>0</v>
      </c>
      <c r="J232" s="45">
        <f t="shared" si="28"/>
        <v>116.82292412296461</v>
      </c>
      <c r="K232" s="45">
        <f t="shared" si="29"/>
        <v>75.627471932234982</v>
      </c>
      <c r="L232" s="45">
        <f t="shared" si="30"/>
        <v>83.005761876843266</v>
      </c>
      <c r="M232" s="44">
        <f t="shared" si="31"/>
        <v>275.45615793204286</v>
      </c>
    </row>
    <row r="233" spans="1:13" ht="15.6" x14ac:dyDescent="0.3">
      <c r="A233" s="57" t="s">
        <v>106</v>
      </c>
      <c r="B233" s="49">
        <v>0</v>
      </c>
      <c r="C233" s="49">
        <v>114.4987557</v>
      </c>
      <c r="D233" s="50">
        <f t="shared" si="24"/>
        <v>1</v>
      </c>
      <c r="E233" s="49">
        <v>0</v>
      </c>
      <c r="F233" s="49">
        <v>8871852.9744104818</v>
      </c>
      <c r="G233" s="48">
        <f t="shared" si="25"/>
        <v>1</v>
      </c>
      <c r="H233" s="47">
        <f t="shared" si="26"/>
        <v>4.9708362099828785E-3</v>
      </c>
      <c r="I233" s="46">
        <f t="shared" si="27"/>
        <v>0</v>
      </c>
      <c r="J233" s="45">
        <f t="shared" si="28"/>
        <v>188.89177597934938</v>
      </c>
      <c r="K233" s="45">
        <f t="shared" si="29"/>
        <v>122.28257076557881</v>
      </c>
      <c r="L233" s="45">
        <f t="shared" si="30"/>
        <v>134.21257766953772</v>
      </c>
      <c r="M233" s="44">
        <f t="shared" si="31"/>
        <v>445.38692441446591</v>
      </c>
    </row>
    <row r="234" spans="1:13" ht="15.6" x14ac:dyDescent="0.3">
      <c r="A234" s="57" t="s">
        <v>105</v>
      </c>
      <c r="B234" s="49">
        <v>168.52338</v>
      </c>
      <c r="C234" s="49">
        <v>41.14477500000001</v>
      </c>
      <c r="D234" s="50">
        <f t="shared" si="24"/>
        <v>-0.75585123559710221</v>
      </c>
      <c r="E234" s="49">
        <v>4966910.4101999998</v>
      </c>
      <c r="F234" s="49">
        <v>1946847</v>
      </c>
      <c r="G234" s="48">
        <f t="shared" si="25"/>
        <v>-0.60803661849789492</v>
      </c>
      <c r="H234" s="47">
        <f t="shared" si="26"/>
        <v>1.0908045467851754E-3</v>
      </c>
      <c r="I234" s="46">
        <f t="shared" si="27"/>
        <v>3.0873835068185858E-3</v>
      </c>
      <c r="J234" s="45">
        <f t="shared" si="28"/>
        <v>41.450572777836669</v>
      </c>
      <c r="K234" s="45">
        <f t="shared" si="29"/>
        <v>26.833791850915315</v>
      </c>
      <c r="L234" s="45">
        <f t="shared" si="30"/>
        <v>29.451722763199736</v>
      </c>
      <c r="M234" s="44">
        <f t="shared" si="31"/>
        <v>97.736087391951727</v>
      </c>
    </row>
    <row r="235" spans="1:13" ht="15.6" x14ac:dyDescent="0.3">
      <c r="A235" s="57" t="s">
        <v>104</v>
      </c>
      <c r="B235" s="49">
        <v>0</v>
      </c>
      <c r="C235" s="49">
        <v>54.374775000000007</v>
      </c>
      <c r="D235" s="50">
        <f t="shared" si="24"/>
        <v>1</v>
      </c>
      <c r="E235" s="49">
        <v>0</v>
      </c>
      <c r="F235" s="49">
        <v>1946847</v>
      </c>
      <c r="G235" s="48">
        <f t="shared" si="25"/>
        <v>1</v>
      </c>
      <c r="H235" s="47">
        <f t="shared" si="26"/>
        <v>1.0908045467851754E-3</v>
      </c>
      <c r="I235" s="46">
        <f t="shared" si="27"/>
        <v>0</v>
      </c>
      <c r="J235" s="45">
        <f t="shared" si="28"/>
        <v>41.450572777836669</v>
      </c>
      <c r="K235" s="45">
        <f t="shared" si="29"/>
        <v>26.833791850915315</v>
      </c>
      <c r="L235" s="45">
        <f t="shared" si="30"/>
        <v>29.451722763199736</v>
      </c>
      <c r="M235" s="44">
        <f t="shared" si="31"/>
        <v>97.736087391951727</v>
      </c>
    </row>
    <row r="236" spans="1:13" ht="15.6" x14ac:dyDescent="0.3">
      <c r="A236" s="57" t="s">
        <v>103</v>
      </c>
      <c r="B236" s="49">
        <v>0</v>
      </c>
      <c r="C236" s="49">
        <v>108.5786457</v>
      </c>
      <c r="D236" s="50">
        <f t="shared" si="24"/>
        <v>1</v>
      </c>
      <c r="E236" s="49">
        <v>0</v>
      </c>
      <c r="F236" s="49">
        <v>6610518.4740000023</v>
      </c>
      <c r="G236" s="48">
        <f t="shared" si="25"/>
        <v>1</v>
      </c>
      <c r="H236" s="47">
        <f t="shared" si="26"/>
        <v>3.703826550338369E-3</v>
      </c>
      <c r="I236" s="46">
        <f t="shared" si="27"/>
        <v>0</v>
      </c>
      <c r="J236" s="45">
        <f t="shared" si="28"/>
        <v>140.74540891285801</v>
      </c>
      <c r="K236" s="45">
        <f t="shared" si="29"/>
        <v>91.114133138323879</v>
      </c>
      <c r="L236" s="45">
        <f t="shared" si="30"/>
        <v>100.00331685913596</v>
      </c>
      <c r="M236" s="44">
        <f t="shared" si="31"/>
        <v>331.86285891031787</v>
      </c>
    </row>
    <row r="237" spans="1:13" ht="15.6" x14ac:dyDescent="0.3">
      <c r="A237" s="57" t="s">
        <v>102</v>
      </c>
      <c r="B237" s="49">
        <v>701.16748199999995</v>
      </c>
      <c r="C237" s="49">
        <v>115.2577356</v>
      </c>
      <c r="D237" s="50">
        <f t="shared" si="24"/>
        <v>-0.83562024971374804</v>
      </c>
      <c r="E237" s="49">
        <v>21299074.920000002</v>
      </c>
      <c r="F237" s="49">
        <v>6183508.3379999986</v>
      </c>
      <c r="G237" s="48">
        <f t="shared" si="25"/>
        <v>-0.70968183542123531</v>
      </c>
      <c r="H237" s="47">
        <f t="shared" si="26"/>
        <v>3.4645758039406498E-3</v>
      </c>
      <c r="I237" s="46">
        <f t="shared" si="27"/>
        <v>1.3239299119118506E-2</v>
      </c>
      <c r="J237" s="45">
        <f t="shared" si="28"/>
        <v>131.65388054974468</v>
      </c>
      <c r="K237" s="45">
        <f t="shared" si="29"/>
        <v>85.22856477693999</v>
      </c>
      <c r="L237" s="45">
        <f t="shared" si="30"/>
        <v>93.543546706397549</v>
      </c>
      <c r="M237" s="44">
        <f t="shared" si="31"/>
        <v>310.4259920330822</v>
      </c>
    </row>
    <row r="238" spans="1:13" ht="15.6" x14ac:dyDescent="0.3">
      <c r="A238" s="57" t="s">
        <v>101</v>
      </c>
      <c r="B238" s="49">
        <v>0</v>
      </c>
      <c r="C238" s="49">
        <v>75.010345200000003</v>
      </c>
      <c r="D238" s="50">
        <f t="shared" si="24"/>
        <v>1</v>
      </c>
      <c r="E238" s="49">
        <v>0</v>
      </c>
      <c r="F238" s="49">
        <v>4475467.7939999998</v>
      </c>
      <c r="G238" s="48">
        <f t="shared" si="25"/>
        <v>1</v>
      </c>
      <c r="H238" s="47">
        <f t="shared" si="26"/>
        <v>2.5075728183497825E-3</v>
      </c>
      <c r="I238" s="46">
        <f t="shared" si="27"/>
        <v>0</v>
      </c>
      <c r="J238" s="45">
        <f t="shared" si="28"/>
        <v>95.287767097291734</v>
      </c>
      <c r="K238" s="45">
        <f t="shared" si="29"/>
        <v>61.686291331404647</v>
      </c>
      <c r="L238" s="45">
        <f t="shared" si="30"/>
        <v>67.704466095444133</v>
      </c>
      <c r="M238" s="44">
        <f t="shared" si="31"/>
        <v>224.6785245241405</v>
      </c>
    </row>
    <row r="239" spans="1:13" ht="16.2" thickBot="1" x14ac:dyDescent="0.35">
      <c r="A239" s="59" t="s">
        <v>100</v>
      </c>
      <c r="B239" s="49">
        <v>0</v>
      </c>
      <c r="C239" s="49">
        <v>75.010345200000003</v>
      </c>
      <c r="D239" s="50">
        <f t="shared" si="24"/>
        <v>1</v>
      </c>
      <c r="E239" s="49">
        <v>0</v>
      </c>
      <c r="F239" s="49">
        <v>4475467.7939999998</v>
      </c>
      <c r="G239" s="48">
        <f t="shared" si="25"/>
        <v>1</v>
      </c>
      <c r="H239" s="47">
        <f t="shared" si="26"/>
        <v>2.5075728183497825E-3</v>
      </c>
      <c r="I239" s="46">
        <f t="shared" si="27"/>
        <v>0</v>
      </c>
      <c r="J239" s="45">
        <f t="shared" si="28"/>
        <v>95.287767097291734</v>
      </c>
      <c r="K239" s="45">
        <f t="shared" si="29"/>
        <v>61.686291331404647</v>
      </c>
      <c r="L239" s="45">
        <f t="shared" si="30"/>
        <v>67.704466095444133</v>
      </c>
      <c r="M239" s="44">
        <f t="shared" si="31"/>
        <v>224.6785245241405</v>
      </c>
    </row>
    <row r="240" spans="1:13" ht="16.2" thickBot="1" x14ac:dyDescent="0.35">
      <c r="A240" s="56" t="s">
        <v>99</v>
      </c>
      <c r="B240" s="42">
        <v>1434.9789929999999</v>
      </c>
      <c r="C240" s="40">
        <v>758.37195524999993</v>
      </c>
      <c r="D240" s="41">
        <f t="shared" si="24"/>
        <v>-0.47151006464245854</v>
      </c>
      <c r="E240" s="40">
        <v>53464285.330200002</v>
      </c>
      <c r="F240" s="40">
        <v>48003821.25</v>
      </c>
      <c r="G240" s="39">
        <f t="shared" si="25"/>
        <v>-0.10213292942149527</v>
      </c>
      <c r="H240" s="38">
        <f t="shared" si="26"/>
        <v>2.6896200103327498E-2</v>
      </c>
      <c r="I240" s="37">
        <f t="shared" si="27"/>
        <v>3.3232883039993423E-2</v>
      </c>
      <c r="J240" s="36">
        <f t="shared" si="28"/>
        <v>1022.055603926445</v>
      </c>
      <c r="K240" s="36">
        <f t="shared" si="29"/>
        <v>661.64652254185648</v>
      </c>
      <c r="L240" s="36">
        <f t="shared" si="30"/>
        <v>726.1974027898425</v>
      </c>
      <c r="M240" s="36">
        <f t="shared" si="31"/>
        <v>2409.899529258144</v>
      </c>
    </row>
    <row r="241" spans="1:13" ht="15.6" x14ac:dyDescent="0.3">
      <c r="A241" s="64" t="s">
        <v>98</v>
      </c>
      <c r="B241" s="49">
        <v>0</v>
      </c>
      <c r="C241" s="49">
        <v>154.2748095</v>
      </c>
      <c r="D241" s="50">
        <f t="shared" si="24"/>
        <v>1</v>
      </c>
      <c r="E241" s="49">
        <v>0</v>
      </c>
      <c r="F241" s="49">
        <v>8316734.887884534</v>
      </c>
      <c r="G241" s="48">
        <f t="shared" si="25"/>
        <v>1</v>
      </c>
      <c r="H241" s="47">
        <f t="shared" si="26"/>
        <v>4.6598074887812682E-3</v>
      </c>
      <c r="I241" s="46">
        <f t="shared" si="27"/>
        <v>0</v>
      </c>
      <c r="J241" s="45">
        <f t="shared" si="28"/>
        <v>177.07268457368821</v>
      </c>
      <c r="K241" s="45">
        <f t="shared" si="29"/>
        <v>114.6312642240192</v>
      </c>
      <c r="L241" s="45">
        <f t="shared" si="30"/>
        <v>125.81480219709424</v>
      </c>
      <c r="M241" s="44">
        <f t="shared" si="31"/>
        <v>417.51875099480168</v>
      </c>
    </row>
    <row r="242" spans="1:13" ht="15.6" x14ac:dyDescent="0.3">
      <c r="A242" s="55" t="s">
        <v>97</v>
      </c>
      <c r="B242" s="49">
        <v>0</v>
      </c>
      <c r="C242" s="49">
        <v>195.69836685000001</v>
      </c>
      <c r="D242" s="50">
        <f t="shared" si="24"/>
        <v>1</v>
      </c>
      <c r="E242" s="49">
        <v>0</v>
      </c>
      <c r="F242" s="49">
        <v>9564245.1538418271</v>
      </c>
      <c r="G242" s="48">
        <f t="shared" si="25"/>
        <v>1</v>
      </c>
      <c r="H242" s="47">
        <f t="shared" si="26"/>
        <v>5.3587786304618414E-3</v>
      </c>
      <c r="I242" s="46">
        <f t="shared" si="27"/>
        <v>0</v>
      </c>
      <c r="J242" s="45">
        <f t="shared" si="28"/>
        <v>203.63358795754996</v>
      </c>
      <c r="K242" s="45">
        <f t="shared" si="29"/>
        <v>131.82595430936129</v>
      </c>
      <c r="L242" s="45">
        <f t="shared" si="30"/>
        <v>144.68702302246973</v>
      </c>
      <c r="M242" s="44">
        <f t="shared" si="31"/>
        <v>480.14656528938099</v>
      </c>
    </row>
    <row r="243" spans="1:13" ht="15.6" x14ac:dyDescent="0.3">
      <c r="A243" s="55" t="s">
        <v>96</v>
      </c>
      <c r="B243" s="49">
        <v>0</v>
      </c>
      <c r="C243" s="49">
        <v>79.196286750000013</v>
      </c>
      <c r="D243" s="50">
        <f t="shared" si="24"/>
        <v>1</v>
      </c>
      <c r="E243" s="49">
        <v>0</v>
      </c>
      <c r="F243" s="49">
        <v>4158367.7716881814</v>
      </c>
      <c r="G243" s="48">
        <f t="shared" si="25"/>
        <v>1</v>
      </c>
      <c r="H243" s="47">
        <f t="shared" si="26"/>
        <v>2.3299039280243422E-3</v>
      </c>
      <c r="I243" s="46">
        <f t="shared" si="27"/>
        <v>0</v>
      </c>
      <c r="J243" s="45">
        <f t="shared" si="28"/>
        <v>88.536349264925008</v>
      </c>
      <c r="K243" s="45">
        <f t="shared" si="29"/>
        <v>57.315636629398817</v>
      </c>
      <c r="L243" s="45">
        <f t="shared" si="30"/>
        <v>62.907406056657237</v>
      </c>
      <c r="M243" s="44">
        <f t="shared" si="31"/>
        <v>208.75939195098107</v>
      </c>
    </row>
    <row r="244" spans="1:13" ht="15.6" x14ac:dyDescent="0.3">
      <c r="A244" s="55" t="s">
        <v>95</v>
      </c>
      <c r="B244" s="49">
        <v>1268.6131680000003</v>
      </c>
      <c r="C244" s="49">
        <v>64.180582200000003</v>
      </c>
      <c r="D244" s="50">
        <f t="shared" si="24"/>
        <v>-0.94940886330134633</v>
      </c>
      <c r="E244" s="49">
        <v>37712378.399999999</v>
      </c>
      <c r="F244" s="49">
        <v>3326693.8240554594</v>
      </c>
      <c r="G244" s="48">
        <f t="shared" si="25"/>
        <v>-0.9117877480764921</v>
      </c>
      <c r="H244" s="47">
        <f t="shared" si="26"/>
        <v>1.8639229220590308E-3</v>
      </c>
      <c r="I244" s="46">
        <f t="shared" si="27"/>
        <v>2.3441649931103377E-2</v>
      </c>
      <c r="J244" s="45">
        <f t="shared" si="28"/>
        <v>70.829071038243171</v>
      </c>
      <c r="K244" s="45">
        <f t="shared" si="29"/>
        <v>45.852503882652158</v>
      </c>
      <c r="L244" s="45">
        <f t="shared" si="30"/>
        <v>50.32591889559383</v>
      </c>
      <c r="M244" s="44">
        <f t="shared" si="31"/>
        <v>167.00749381648916</v>
      </c>
    </row>
    <row r="245" spans="1:13" ht="15.6" x14ac:dyDescent="0.3">
      <c r="A245" s="55" t="s">
        <v>94</v>
      </c>
      <c r="B245" s="49">
        <v>0</v>
      </c>
      <c r="C245" s="49">
        <v>79.196286750000013</v>
      </c>
      <c r="D245" s="50">
        <f t="shared" si="24"/>
        <v>1</v>
      </c>
      <c r="E245" s="49">
        <v>0</v>
      </c>
      <c r="F245" s="49">
        <v>4158367.7716881814</v>
      </c>
      <c r="G245" s="48">
        <f t="shared" si="25"/>
        <v>1</v>
      </c>
      <c r="H245" s="47">
        <f t="shared" si="26"/>
        <v>2.3299039280243422E-3</v>
      </c>
      <c r="I245" s="46">
        <f t="shared" si="27"/>
        <v>0</v>
      </c>
      <c r="J245" s="45">
        <f t="shared" si="28"/>
        <v>88.536349264925008</v>
      </c>
      <c r="K245" s="45">
        <f t="shared" si="29"/>
        <v>57.315636629398817</v>
      </c>
      <c r="L245" s="45">
        <f t="shared" si="30"/>
        <v>62.907406056657237</v>
      </c>
      <c r="M245" s="44">
        <f t="shared" si="31"/>
        <v>208.75939195098107</v>
      </c>
    </row>
    <row r="246" spans="1:13" ht="15.6" x14ac:dyDescent="0.3">
      <c r="A246" s="55" t="s">
        <v>93</v>
      </c>
      <c r="B246" s="49">
        <v>0</v>
      </c>
      <c r="C246" s="49">
        <v>106.8119913</v>
      </c>
      <c r="D246" s="50">
        <f t="shared" si="24"/>
        <v>1</v>
      </c>
      <c r="E246" s="49">
        <v>0</v>
      </c>
      <c r="F246" s="49">
        <v>4990041.0638290904</v>
      </c>
      <c r="G246" s="48">
        <f t="shared" si="25"/>
        <v>1</v>
      </c>
      <c r="H246" s="47">
        <f t="shared" si="26"/>
        <v>2.7958845667222466E-3</v>
      </c>
      <c r="I246" s="46">
        <f t="shared" si="27"/>
        <v>0</v>
      </c>
      <c r="J246" s="45">
        <f t="shared" si="28"/>
        <v>106.24361353544538</v>
      </c>
      <c r="K246" s="45">
        <f t="shared" si="29"/>
        <v>68.77876034136726</v>
      </c>
      <c r="L246" s="45">
        <f t="shared" si="30"/>
        <v>75.488883301500664</v>
      </c>
      <c r="M246" s="44">
        <f t="shared" si="31"/>
        <v>250.51125717831331</v>
      </c>
    </row>
    <row r="247" spans="1:13" ht="15.6" x14ac:dyDescent="0.3">
      <c r="A247" s="55" t="s">
        <v>92</v>
      </c>
      <c r="B247" s="49">
        <v>0</v>
      </c>
      <c r="C247" s="49">
        <v>65.387646450000005</v>
      </c>
      <c r="D247" s="50">
        <f t="shared" si="24"/>
        <v>1</v>
      </c>
      <c r="E247" s="49">
        <v>0</v>
      </c>
      <c r="F247" s="49">
        <v>2495020.5319145452</v>
      </c>
      <c r="G247" s="48">
        <f t="shared" si="25"/>
        <v>1</v>
      </c>
      <c r="H247" s="47">
        <f t="shared" si="26"/>
        <v>1.3979422833611233E-3</v>
      </c>
      <c r="I247" s="46">
        <f t="shared" si="27"/>
        <v>0</v>
      </c>
      <c r="J247" s="45">
        <f t="shared" si="28"/>
        <v>53.121806767722688</v>
      </c>
      <c r="K247" s="45">
        <f t="shared" si="29"/>
        <v>34.38938017068363</v>
      </c>
      <c r="L247" s="45">
        <f t="shared" si="30"/>
        <v>37.744441650750332</v>
      </c>
      <c r="M247" s="44">
        <f t="shared" si="31"/>
        <v>125.25562858915666</v>
      </c>
    </row>
    <row r="248" spans="1:13" ht="16.2" thickBot="1" x14ac:dyDescent="0.35">
      <c r="A248" s="54" t="s">
        <v>91</v>
      </c>
      <c r="B248" s="49">
        <v>0</v>
      </c>
      <c r="C248" s="49">
        <v>50.139262949999996</v>
      </c>
      <c r="D248" s="50">
        <f t="shared" si="24"/>
        <v>1</v>
      </c>
      <c r="E248" s="49">
        <v>0</v>
      </c>
      <c r="F248" s="49">
        <v>2079183.5580981825</v>
      </c>
      <c r="G248" s="48">
        <f t="shared" si="25"/>
        <v>1</v>
      </c>
      <c r="H248" s="47">
        <f t="shared" si="26"/>
        <v>1.1649517803784667E-3</v>
      </c>
      <c r="I248" s="46">
        <f t="shared" si="27"/>
        <v>0</v>
      </c>
      <c r="J248" s="45">
        <f t="shared" si="28"/>
        <v>44.268167654381735</v>
      </c>
      <c r="K248" s="45">
        <f t="shared" si="29"/>
        <v>28.657813797310283</v>
      </c>
      <c r="L248" s="45">
        <f t="shared" si="30"/>
        <v>31.4536980702186</v>
      </c>
      <c r="M248" s="44">
        <f t="shared" si="31"/>
        <v>104.37967952191062</v>
      </c>
    </row>
    <row r="249" spans="1:13" ht="16.2" thickBot="1" x14ac:dyDescent="0.35">
      <c r="A249" s="56" t="s">
        <v>90</v>
      </c>
      <c r="B249" s="42">
        <v>1268.6131680000003</v>
      </c>
      <c r="C249" s="40">
        <v>794.88523275000011</v>
      </c>
      <c r="D249" s="41">
        <f t="shared" si="24"/>
        <v>-0.37342189660292102</v>
      </c>
      <c r="E249" s="40">
        <v>37712378.399999999</v>
      </c>
      <c r="F249" s="40">
        <v>39088654.563000008</v>
      </c>
      <c r="G249" s="39">
        <f t="shared" si="25"/>
        <v>3.6494016590584752E-2</v>
      </c>
      <c r="H249" s="38">
        <f t="shared" si="26"/>
        <v>2.1901095527812667E-2</v>
      </c>
      <c r="I249" s="37">
        <f t="shared" si="27"/>
        <v>2.3441649931103377E-2</v>
      </c>
      <c r="J249" s="36">
        <f t="shared" si="28"/>
        <v>832.24163005688138</v>
      </c>
      <c r="K249" s="36">
        <f t="shared" si="29"/>
        <v>538.76694998419157</v>
      </c>
      <c r="L249" s="36">
        <f t="shared" si="30"/>
        <v>591.32957925094206</v>
      </c>
      <c r="M249" s="36">
        <f t="shared" si="31"/>
        <v>1962.338159292015</v>
      </c>
    </row>
    <row r="250" spans="1:13" ht="16.2" thickBot="1" x14ac:dyDescent="0.35">
      <c r="A250" s="35" t="s">
        <v>89</v>
      </c>
      <c r="B250" s="34">
        <v>2703.5921610000005</v>
      </c>
      <c r="C250" s="32">
        <v>1553.257188</v>
      </c>
      <c r="D250" s="33">
        <f t="shared" si="24"/>
        <v>-0.42548391343704606</v>
      </c>
      <c r="E250" s="32">
        <v>91176663.730199993</v>
      </c>
      <c r="F250" s="32">
        <v>87092475.813000008</v>
      </c>
      <c r="G250" s="31">
        <f t="shared" si="25"/>
        <v>-4.4794224202866932E-2</v>
      </c>
      <c r="H250" s="30">
        <f t="shared" si="26"/>
        <v>4.8797295631140165E-2</v>
      </c>
      <c r="I250" s="29">
        <f t="shared" si="27"/>
        <v>5.6674532971096793E-2</v>
      </c>
      <c r="J250" s="28">
        <f t="shared" si="28"/>
        <v>1854.2972339833264</v>
      </c>
      <c r="K250" s="28">
        <f t="shared" si="29"/>
        <v>1200.4134725260481</v>
      </c>
      <c r="L250" s="28">
        <f t="shared" si="30"/>
        <v>1317.5269820407846</v>
      </c>
      <c r="M250" s="28">
        <f t="shared" si="31"/>
        <v>4372.237688550159</v>
      </c>
    </row>
    <row r="251" spans="1:13" ht="15.6" x14ac:dyDescent="0.3">
      <c r="A251" s="58" t="s">
        <v>88</v>
      </c>
      <c r="B251" s="49">
        <v>0</v>
      </c>
      <c r="C251" s="49">
        <v>46.780387500000003</v>
      </c>
      <c r="D251" s="50">
        <f t="shared" si="24"/>
        <v>1</v>
      </c>
      <c r="E251" s="49">
        <v>0</v>
      </c>
      <c r="F251" s="49">
        <v>3429367.6825997033</v>
      </c>
      <c r="G251" s="48">
        <f t="shared" si="25"/>
        <v>1</v>
      </c>
      <c r="H251" s="47">
        <f t="shared" si="26"/>
        <v>1.9214503557690445E-3</v>
      </c>
      <c r="I251" s="46">
        <f t="shared" si="27"/>
        <v>0</v>
      </c>
      <c r="J251" s="45">
        <f t="shared" si="28"/>
        <v>73.015113519223689</v>
      </c>
      <c r="K251" s="45">
        <f t="shared" si="29"/>
        <v>47.267678751918496</v>
      </c>
      <c r="L251" s="45">
        <f t="shared" si="30"/>
        <v>51.879159605764201</v>
      </c>
      <c r="M251" s="44">
        <f t="shared" si="31"/>
        <v>172.16195187690639</v>
      </c>
    </row>
    <row r="252" spans="1:13" ht="15.6" x14ac:dyDescent="0.3">
      <c r="A252" s="57" t="s">
        <v>87</v>
      </c>
      <c r="B252" s="49">
        <v>0</v>
      </c>
      <c r="C252" s="49">
        <v>47.787806850000003</v>
      </c>
      <c r="D252" s="50">
        <f t="shared" si="24"/>
        <v>1</v>
      </c>
      <c r="E252" s="49">
        <v>0</v>
      </c>
      <c r="F252" s="49">
        <v>3507858.3102326086</v>
      </c>
      <c r="G252" s="48">
        <f t="shared" si="25"/>
        <v>1</v>
      </c>
      <c r="H252" s="47">
        <f t="shared" si="26"/>
        <v>1.9654280969587708E-3</v>
      </c>
      <c r="I252" s="46">
        <f t="shared" si="27"/>
        <v>0</v>
      </c>
      <c r="J252" s="45">
        <f t="shared" si="28"/>
        <v>74.68626768443329</v>
      </c>
      <c r="K252" s="45">
        <f t="shared" si="29"/>
        <v>48.349531185185761</v>
      </c>
      <c r="L252" s="45">
        <f t="shared" si="30"/>
        <v>53.066558617886812</v>
      </c>
      <c r="M252" s="44">
        <f t="shared" si="31"/>
        <v>176.10235748750586</v>
      </c>
    </row>
    <row r="253" spans="1:13" ht="15.6" x14ac:dyDescent="0.3">
      <c r="A253" s="57" t="s">
        <v>86</v>
      </c>
      <c r="B253" s="49">
        <v>509.88973799999997</v>
      </c>
      <c r="C253" s="49">
        <v>97.047725250000013</v>
      </c>
      <c r="D253" s="50">
        <f t="shared" si="24"/>
        <v>-0.80966919312661279</v>
      </c>
      <c r="E253" s="49">
        <v>13349194.92</v>
      </c>
      <c r="F253" s="49">
        <v>3852193.981588359</v>
      </c>
      <c r="G253" s="48">
        <f t="shared" si="25"/>
        <v>-0.71142874123315614</v>
      </c>
      <c r="H253" s="47">
        <f t="shared" si="26"/>
        <v>2.1583569280046507E-3</v>
      </c>
      <c r="I253" s="46">
        <f t="shared" si="27"/>
        <v>8.2977305450643111E-3</v>
      </c>
      <c r="J253" s="45">
        <f t="shared" si="28"/>
        <v>82.017563264176729</v>
      </c>
      <c r="K253" s="45">
        <f t="shared" si="29"/>
        <v>53.09558042891441</v>
      </c>
      <c r="L253" s="45">
        <f t="shared" si="30"/>
        <v>58.275637056125568</v>
      </c>
      <c r="M253" s="44">
        <f t="shared" si="31"/>
        <v>193.38878074921669</v>
      </c>
    </row>
    <row r="254" spans="1:13" ht="15.6" x14ac:dyDescent="0.3">
      <c r="A254" s="57" t="s">
        <v>85</v>
      </c>
      <c r="B254" s="49">
        <v>0</v>
      </c>
      <c r="C254" s="49">
        <v>39.464114549999998</v>
      </c>
      <c r="D254" s="50">
        <f t="shared" si="24"/>
        <v>1</v>
      </c>
      <c r="E254" s="49">
        <v>0</v>
      </c>
      <c r="F254" s="49">
        <v>2886421.0078025959</v>
      </c>
      <c r="G254" s="48">
        <f t="shared" si="25"/>
        <v>1</v>
      </c>
      <c r="H254" s="47">
        <f t="shared" si="26"/>
        <v>1.6172411901126899E-3</v>
      </c>
      <c r="I254" s="46">
        <f t="shared" si="27"/>
        <v>0</v>
      </c>
      <c r="J254" s="45">
        <f t="shared" si="28"/>
        <v>61.455165224282212</v>
      </c>
      <c r="K254" s="45">
        <f t="shared" si="29"/>
        <v>39.784133276772174</v>
      </c>
      <c r="L254" s="45">
        <f t="shared" si="30"/>
        <v>43.665512133042625</v>
      </c>
      <c r="M254" s="44">
        <f t="shared" si="31"/>
        <v>144.904810634097</v>
      </c>
    </row>
    <row r="255" spans="1:13" ht="15.6" x14ac:dyDescent="0.3">
      <c r="A255" s="57" t="s">
        <v>84</v>
      </c>
      <c r="B255" s="49">
        <v>0</v>
      </c>
      <c r="C255" s="49">
        <v>39.464114549999998</v>
      </c>
      <c r="D255" s="50">
        <f t="shared" si="24"/>
        <v>1</v>
      </c>
      <c r="E255" s="49">
        <v>0</v>
      </c>
      <c r="F255" s="49">
        <v>2886421.0078025959</v>
      </c>
      <c r="G255" s="48">
        <f t="shared" si="25"/>
        <v>1</v>
      </c>
      <c r="H255" s="47">
        <f t="shared" si="26"/>
        <v>1.6172411901126899E-3</v>
      </c>
      <c r="I255" s="46">
        <f t="shared" si="27"/>
        <v>0</v>
      </c>
      <c r="J255" s="45">
        <f t="shared" si="28"/>
        <v>61.455165224282212</v>
      </c>
      <c r="K255" s="45">
        <f t="shared" si="29"/>
        <v>39.784133276772174</v>
      </c>
      <c r="L255" s="45">
        <f t="shared" si="30"/>
        <v>43.665512133042625</v>
      </c>
      <c r="M255" s="44">
        <f t="shared" si="31"/>
        <v>144.904810634097</v>
      </c>
    </row>
    <row r="256" spans="1:13" ht="16.2" thickBot="1" x14ac:dyDescent="0.35">
      <c r="A256" s="59" t="s">
        <v>83</v>
      </c>
      <c r="B256" s="49">
        <v>0</v>
      </c>
      <c r="C256" s="49">
        <v>49.613204550000006</v>
      </c>
      <c r="D256" s="50">
        <f t="shared" si="24"/>
        <v>1</v>
      </c>
      <c r="E256" s="49">
        <v>0</v>
      </c>
      <c r="F256" s="49">
        <v>3531179.5389741389</v>
      </c>
      <c r="G256" s="48">
        <f t="shared" si="25"/>
        <v>1</v>
      </c>
      <c r="H256" s="47">
        <f t="shared" si="26"/>
        <v>1.9784948157856117E-3</v>
      </c>
      <c r="I256" s="46">
        <f t="shared" si="27"/>
        <v>0</v>
      </c>
      <c r="J256" s="45">
        <f t="shared" si="28"/>
        <v>75.182802999853251</v>
      </c>
      <c r="K256" s="45">
        <f t="shared" si="29"/>
        <v>48.670972468326049</v>
      </c>
      <c r="L256" s="45">
        <f t="shared" si="30"/>
        <v>53.419360026211514</v>
      </c>
      <c r="M256" s="44">
        <f t="shared" si="31"/>
        <v>177.2731354943908</v>
      </c>
    </row>
    <row r="257" spans="1:13" ht="16.2" thickBot="1" x14ac:dyDescent="0.35">
      <c r="A257" s="56" t="s">
        <v>82</v>
      </c>
      <c r="B257" s="42">
        <v>509.88973799999997</v>
      </c>
      <c r="C257" s="40">
        <v>320.15735325000003</v>
      </c>
      <c r="D257" s="41">
        <f t="shared" si="24"/>
        <v>-0.37210473286677509</v>
      </c>
      <c r="E257" s="40">
        <v>13349194.92</v>
      </c>
      <c r="F257" s="40">
        <v>20093441.529000003</v>
      </c>
      <c r="G257" s="39">
        <f t="shared" si="25"/>
        <v>0.50521747936241856</v>
      </c>
      <c r="H257" s="38">
        <f t="shared" si="26"/>
        <v>1.1258212576743459E-2</v>
      </c>
      <c r="I257" s="37">
        <f t="shared" si="27"/>
        <v>8.2977305450643111E-3</v>
      </c>
      <c r="J257" s="36">
        <f t="shared" si="28"/>
        <v>427.81207791625144</v>
      </c>
      <c r="K257" s="36">
        <f t="shared" si="29"/>
        <v>276.95202938788907</v>
      </c>
      <c r="L257" s="36">
        <f t="shared" si="30"/>
        <v>303.97173957207337</v>
      </c>
      <c r="M257" s="36">
        <f t="shared" si="31"/>
        <v>1008.7358468762138</v>
      </c>
    </row>
    <row r="258" spans="1:13" ht="15.6" x14ac:dyDescent="0.3">
      <c r="A258" s="58" t="s">
        <v>81</v>
      </c>
      <c r="B258" s="49">
        <v>0</v>
      </c>
      <c r="C258" s="49">
        <v>123.54555255</v>
      </c>
      <c r="D258" s="50">
        <f t="shared" si="24"/>
        <v>1</v>
      </c>
      <c r="E258" s="49">
        <v>0</v>
      </c>
      <c r="F258" s="49">
        <v>7479826.1411501793</v>
      </c>
      <c r="G258" s="48">
        <f t="shared" si="25"/>
        <v>1</v>
      </c>
      <c r="H258" s="47">
        <f t="shared" si="26"/>
        <v>4.1908934620590267E-3</v>
      </c>
      <c r="I258" s="46">
        <f t="shared" si="27"/>
        <v>0</v>
      </c>
      <c r="J258" s="45">
        <f t="shared" si="28"/>
        <v>159.25395155824302</v>
      </c>
      <c r="K258" s="45">
        <f t="shared" si="29"/>
        <v>103.09597916665206</v>
      </c>
      <c r="L258" s="45">
        <f t="shared" si="30"/>
        <v>113.15412347559372</v>
      </c>
      <c r="M258" s="44">
        <f t="shared" si="31"/>
        <v>375.50405420048884</v>
      </c>
    </row>
    <row r="259" spans="1:13" ht="15.6" x14ac:dyDescent="0.3">
      <c r="A259" s="57" t="s">
        <v>80</v>
      </c>
      <c r="B259" s="49">
        <v>0</v>
      </c>
      <c r="C259" s="49">
        <v>169.92598349999997</v>
      </c>
      <c r="D259" s="50">
        <f t="shared" si="24"/>
        <v>1</v>
      </c>
      <c r="E259" s="49">
        <v>91800</v>
      </c>
      <c r="F259" s="49">
        <v>8089617.7763976837</v>
      </c>
      <c r="G259" s="48">
        <f t="shared" si="25"/>
        <v>87.122197999974773</v>
      </c>
      <c r="H259" s="47">
        <f t="shared" si="26"/>
        <v>4.5325553842951059E-3</v>
      </c>
      <c r="I259" s="46">
        <f t="shared" si="27"/>
        <v>5.7061992771988364E-5</v>
      </c>
      <c r="J259" s="45">
        <f t="shared" si="28"/>
        <v>172.23710460321402</v>
      </c>
      <c r="K259" s="45">
        <f t="shared" si="29"/>
        <v>111.50086245365961</v>
      </c>
      <c r="L259" s="45">
        <f t="shared" si="30"/>
        <v>122.37899537596786</v>
      </c>
      <c r="M259" s="44">
        <f t="shared" si="31"/>
        <v>406.11696243284149</v>
      </c>
    </row>
    <row r="260" spans="1:13" ht="15.6" x14ac:dyDescent="0.3">
      <c r="A260" s="57" t="s">
        <v>79</v>
      </c>
      <c r="B260" s="49">
        <v>0</v>
      </c>
      <c r="C260" s="49">
        <v>25.318661550000002</v>
      </c>
      <c r="D260" s="50">
        <f t="shared" si="24"/>
        <v>1</v>
      </c>
      <c r="E260" s="49">
        <v>0</v>
      </c>
      <c r="F260" s="49">
        <v>1589672.9813973701</v>
      </c>
      <c r="G260" s="48">
        <f t="shared" si="25"/>
        <v>1</v>
      </c>
      <c r="H260" s="47">
        <f t="shared" si="26"/>
        <v>8.906824809601355E-4</v>
      </c>
      <c r="I260" s="46">
        <f t="shared" si="27"/>
        <v>0</v>
      </c>
      <c r="J260" s="45">
        <f t="shared" si="28"/>
        <v>33.845934276485146</v>
      </c>
      <c r="K260" s="45">
        <f t="shared" si="29"/>
        <v>21.910789031619334</v>
      </c>
      <c r="L260" s="45">
        <f t="shared" si="30"/>
        <v>24.048426985923658</v>
      </c>
      <c r="M260" s="44">
        <f t="shared" si="31"/>
        <v>79.805150294028138</v>
      </c>
    </row>
    <row r="261" spans="1:13" ht="15.6" x14ac:dyDescent="0.3">
      <c r="A261" s="57" t="s">
        <v>78</v>
      </c>
      <c r="B261" s="49">
        <v>1022.253435</v>
      </c>
      <c r="C261" s="49">
        <v>200.3466066</v>
      </c>
      <c r="D261" s="50">
        <f t="shared" ref="D261:D324" si="32">IFERROR((C261-B261)/B261,100%)</f>
        <v>-0.80401473867387885</v>
      </c>
      <c r="E261" s="49">
        <v>19149480</v>
      </c>
      <c r="F261" s="49">
        <v>11309590.849618679</v>
      </c>
      <c r="G261" s="48">
        <f t="shared" ref="G261:G324" si="33">IFERROR((F261-E261)/E261,100%)</f>
        <v>-0.40940480631230303</v>
      </c>
      <c r="H261" s="47">
        <f t="shared" ref="H261:H324" si="34">F261/$F$3</f>
        <v>6.3366834276366198E-3</v>
      </c>
      <c r="I261" s="46">
        <f t="shared" ref="I261:I324" si="35">E261/$E$3</f>
        <v>1.1903131692236774E-2</v>
      </c>
      <c r="J261" s="45">
        <f t="shared" ref="J261:J324" si="36">$J$3*H261</f>
        <v>240.79397025019156</v>
      </c>
      <c r="K261" s="45">
        <f t="shared" ref="K261:K324" si="37">$K$3*H261</f>
        <v>155.88241231986083</v>
      </c>
      <c r="L261" s="45">
        <f t="shared" ref="L261:L324" si="38">$L$3*H261</f>
        <v>171.09045254618874</v>
      </c>
      <c r="M261" s="44">
        <f t="shared" ref="M261:M324" si="39">SUM(J261:L261)</f>
        <v>567.76683511624117</v>
      </c>
    </row>
    <row r="262" spans="1:13" ht="16.2" thickBot="1" x14ac:dyDescent="0.35">
      <c r="A262" s="59" t="s">
        <v>77</v>
      </c>
      <c r="B262" s="49">
        <v>573.42564000000004</v>
      </c>
      <c r="C262" s="49">
        <v>320.51197500000001</v>
      </c>
      <c r="D262" s="50">
        <f t="shared" si="32"/>
        <v>-0.44105747521160726</v>
      </c>
      <c r="E262" s="49">
        <v>16190460</v>
      </c>
      <c r="F262" s="49">
        <v>16111652.550000001</v>
      </c>
      <c r="G262" s="48">
        <f t="shared" si="33"/>
        <v>-4.8675238381120272E-3</v>
      </c>
      <c r="H262" s="47">
        <f t="shared" si="34"/>
        <v>9.0272444921264839E-3</v>
      </c>
      <c r="I262" s="46">
        <f t="shared" si="35"/>
        <v>1.0063833458553014E-2</v>
      </c>
      <c r="J262" s="45">
        <f t="shared" si="36"/>
        <v>343.0352907008064</v>
      </c>
      <c r="K262" s="45">
        <f t="shared" si="37"/>
        <v>222.07021450631152</v>
      </c>
      <c r="L262" s="45">
        <f t="shared" si="38"/>
        <v>243.73560128741508</v>
      </c>
      <c r="M262" s="44">
        <f t="shared" si="39"/>
        <v>808.84110649453294</v>
      </c>
    </row>
    <row r="263" spans="1:13" ht="16.2" thickBot="1" x14ac:dyDescent="0.35">
      <c r="A263" s="56" t="s">
        <v>76</v>
      </c>
      <c r="B263" s="42">
        <v>1595.679075</v>
      </c>
      <c r="C263" s="40">
        <v>839.64877919999992</v>
      </c>
      <c r="D263" s="41">
        <f t="shared" si="32"/>
        <v>-0.473798464644277</v>
      </c>
      <c r="E263" s="40">
        <v>35431740</v>
      </c>
      <c r="F263" s="40">
        <v>44580360.298563913</v>
      </c>
      <c r="G263" s="39">
        <f t="shared" si="33"/>
        <v>0.25820409323854582</v>
      </c>
      <c r="H263" s="38">
        <f t="shared" si="34"/>
        <v>2.4978059247077373E-2</v>
      </c>
      <c r="I263" s="37">
        <f t="shared" si="35"/>
        <v>2.2024027143561775E-2</v>
      </c>
      <c r="J263" s="36">
        <f t="shared" si="36"/>
        <v>949.16625138894017</v>
      </c>
      <c r="K263" s="36">
        <f t="shared" si="37"/>
        <v>614.46025747810336</v>
      </c>
      <c r="L263" s="36">
        <f t="shared" si="38"/>
        <v>674.40759967108909</v>
      </c>
      <c r="M263" s="36">
        <f t="shared" si="39"/>
        <v>2238.0341085381324</v>
      </c>
    </row>
    <row r="264" spans="1:13" ht="15.6" x14ac:dyDescent="0.3">
      <c r="A264" s="63" t="s">
        <v>75</v>
      </c>
      <c r="B264" s="49">
        <v>797.28687600000001</v>
      </c>
      <c r="C264" s="49">
        <v>161.39933250000001</v>
      </c>
      <c r="D264" s="50">
        <f t="shared" si="32"/>
        <v>-0.79756429290578212</v>
      </c>
      <c r="E264" s="49">
        <v>20680919.219999999</v>
      </c>
      <c r="F264" s="49">
        <v>9385640.25</v>
      </c>
      <c r="G264" s="48">
        <f t="shared" si="33"/>
        <v>-0.54616909673321568</v>
      </c>
      <c r="H264" s="47">
        <f t="shared" si="34"/>
        <v>5.258707571365367E-3</v>
      </c>
      <c r="I264" s="46">
        <f t="shared" si="35"/>
        <v>1.2855059510345481E-2</v>
      </c>
      <c r="J264" s="45">
        <f t="shared" si="36"/>
        <v>199.83088771188395</v>
      </c>
      <c r="K264" s="45">
        <f t="shared" si="37"/>
        <v>129.36420625558802</v>
      </c>
      <c r="L264" s="45">
        <f t="shared" si="38"/>
        <v>141.98510442686492</v>
      </c>
      <c r="M264" s="44">
        <f t="shared" si="39"/>
        <v>471.18019839433691</v>
      </c>
    </row>
    <row r="265" spans="1:13" ht="15.6" x14ac:dyDescent="0.3">
      <c r="A265" s="62" t="s">
        <v>74</v>
      </c>
      <c r="B265" s="49">
        <v>0</v>
      </c>
      <c r="C265" s="49">
        <v>387.11154510000006</v>
      </c>
      <c r="D265" s="50">
        <f t="shared" si="32"/>
        <v>1</v>
      </c>
      <c r="E265" s="49">
        <v>0</v>
      </c>
      <c r="F265" s="49">
        <v>25069960.819857974</v>
      </c>
      <c r="G265" s="48">
        <f t="shared" si="33"/>
        <v>1</v>
      </c>
      <c r="H265" s="47">
        <f t="shared" si="34"/>
        <v>1.4046520990107227E-2</v>
      </c>
      <c r="I265" s="46">
        <f t="shared" si="35"/>
        <v>0</v>
      </c>
      <c r="J265" s="45">
        <f t="shared" si="36"/>
        <v>533.76779762407466</v>
      </c>
      <c r="K265" s="45">
        <f t="shared" si="37"/>
        <v>345.54441635663778</v>
      </c>
      <c r="L265" s="45">
        <f t="shared" si="38"/>
        <v>379.25606673289514</v>
      </c>
      <c r="M265" s="44">
        <f t="shared" si="39"/>
        <v>1258.5682807136075</v>
      </c>
    </row>
    <row r="266" spans="1:13" ht="15.6" x14ac:dyDescent="0.3">
      <c r="A266" s="62" t="s">
        <v>73</v>
      </c>
      <c r="B266" s="49">
        <v>0</v>
      </c>
      <c r="C266" s="49">
        <v>116.61378750000002</v>
      </c>
      <c r="D266" s="50">
        <f t="shared" si="32"/>
        <v>1</v>
      </c>
      <c r="E266" s="49">
        <v>0</v>
      </c>
      <c r="F266" s="49">
        <v>9266292.8801420331</v>
      </c>
      <c r="G266" s="48">
        <f t="shared" si="33"/>
        <v>1</v>
      </c>
      <c r="H266" s="47">
        <f t="shared" si="34"/>
        <v>5.1918380876884674E-3</v>
      </c>
      <c r="I266" s="46">
        <f t="shared" si="35"/>
        <v>0</v>
      </c>
      <c r="J266" s="45">
        <f t="shared" si="36"/>
        <v>197.28984733216177</v>
      </c>
      <c r="K266" s="45">
        <f t="shared" si="37"/>
        <v>127.7192169571363</v>
      </c>
      <c r="L266" s="45">
        <f t="shared" si="38"/>
        <v>140.17962836758863</v>
      </c>
      <c r="M266" s="44">
        <f t="shared" si="39"/>
        <v>465.1886926568867</v>
      </c>
    </row>
    <row r="267" spans="1:13" ht="15.6" x14ac:dyDescent="0.3">
      <c r="A267" s="62" t="s">
        <v>72</v>
      </c>
      <c r="B267" s="49">
        <v>0</v>
      </c>
      <c r="C267" s="49">
        <v>55.390416899999991</v>
      </c>
      <c r="D267" s="50">
        <f t="shared" si="32"/>
        <v>1</v>
      </c>
      <c r="E267" s="49">
        <v>0</v>
      </c>
      <c r="F267" s="49">
        <v>3395662.1458142912</v>
      </c>
      <c r="G267" s="48">
        <f t="shared" si="33"/>
        <v>1</v>
      </c>
      <c r="H267" s="47">
        <f t="shared" si="34"/>
        <v>1.9025653828988792E-3</v>
      </c>
      <c r="I267" s="46">
        <f t="shared" si="35"/>
        <v>0</v>
      </c>
      <c r="J267" s="45">
        <f t="shared" si="36"/>
        <v>72.297484550157407</v>
      </c>
      <c r="K267" s="45">
        <f t="shared" si="37"/>
        <v>46.80310841931243</v>
      </c>
      <c r="L267" s="45">
        <f t="shared" si="38"/>
        <v>51.369265338269742</v>
      </c>
      <c r="M267" s="44">
        <f t="shared" si="39"/>
        <v>170.46985830773957</v>
      </c>
    </row>
    <row r="268" spans="1:13" ht="15.6" x14ac:dyDescent="0.3">
      <c r="A268" s="62" t="s">
        <v>71</v>
      </c>
      <c r="B268" s="49">
        <v>199.01882999999998</v>
      </c>
      <c r="C268" s="49">
        <v>86.616006749999997</v>
      </c>
      <c r="D268" s="50">
        <f t="shared" si="32"/>
        <v>-0.56478486608528444</v>
      </c>
      <c r="E268" s="49">
        <v>4539000</v>
      </c>
      <c r="F268" s="49">
        <v>4264686.8897060119</v>
      </c>
      <c r="G268" s="48">
        <f t="shared" si="33"/>
        <v>-6.0434701540865422E-2</v>
      </c>
      <c r="H268" s="47">
        <f t="shared" si="34"/>
        <v>2.389473774727262E-3</v>
      </c>
      <c r="I268" s="46">
        <f t="shared" si="35"/>
        <v>2.8213985315038693E-3</v>
      </c>
      <c r="J268" s="45">
        <f t="shared" si="36"/>
        <v>90.800003439635958</v>
      </c>
      <c r="K268" s="45">
        <f t="shared" si="37"/>
        <v>58.781054858290645</v>
      </c>
      <c r="L268" s="45">
        <f t="shared" si="38"/>
        <v>64.515791917636079</v>
      </c>
      <c r="M268" s="44">
        <f t="shared" si="39"/>
        <v>214.09685021556268</v>
      </c>
    </row>
    <row r="269" spans="1:13" ht="16.2" thickBot="1" x14ac:dyDescent="0.35">
      <c r="A269" s="61" t="s">
        <v>70</v>
      </c>
      <c r="B269" s="49">
        <v>0</v>
      </c>
      <c r="C269" s="49">
        <v>48.542859750000005</v>
      </c>
      <c r="D269" s="50">
        <f t="shared" si="32"/>
        <v>1</v>
      </c>
      <c r="E269" s="49">
        <v>0</v>
      </c>
      <c r="F269" s="49">
        <v>2718968.1644796976</v>
      </c>
      <c r="G269" s="48">
        <f t="shared" si="33"/>
        <v>1</v>
      </c>
      <c r="H269" s="47">
        <f t="shared" si="34"/>
        <v>1.5234185513184123E-3</v>
      </c>
      <c r="I269" s="46">
        <f t="shared" si="35"/>
        <v>0</v>
      </c>
      <c r="J269" s="45">
        <f t="shared" si="36"/>
        <v>57.88990495009967</v>
      </c>
      <c r="K269" s="45">
        <f t="shared" si="37"/>
        <v>37.476096362432941</v>
      </c>
      <c r="L269" s="45">
        <f t="shared" si="38"/>
        <v>41.132300885597132</v>
      </c>
      <c r="M269" s="44">
        <f t="shared" si="39"/>
        <v>136.49830219812975</v>
      </c>
    </row>
    <row r="270" spans="1:13" ht="16.2" thickBot="1" x14ac:dyDescent="0.35">
      <c r="A270" s="56" t="s">
        <v>69</v>
      </c>
      <c r="B270" s="42">
        <v>996.30570599999999</v>
      </c>
      <c r="C270" s="40">
        <v>855.67394850000017</v>
      </c>
      <c r="D270" s="41">
        <f t="shared" si="32"/>
        <v>-0.14115321898999525</v>
      </c>
      <c r="E270" s="40">
        <v>25219919.219999999</v>
      </c>
      <c r="F270" s="40">
        <v>54101211.149999999</v>
      </c>
      <c r="G270" s="39">
        <f t="shared" si="33"/>
        <v>1.1451778127463805</v>
      </c>
      <c r="H270" s="38">
        <f t="shared" si="34"/>
        <v>3.0312524358105608E-2</v>
      </c>
      <c r="I270" s="37">
        <f t="shared" si="35"/>
        <v>1.5676458041849351E-2</v>
      </c>
      <c r="J270" s="36">
        <f t="shared" si="36"/>
        <v>1151.8759256080132</v>
      </c>
      <c r="K270" s="36">
        <f t="shared" si="37"/>
        <v>745.68809920939793</v>
      </c>
      <c r="L270" s="36">
        <f t="shared" si="38"/>
        <v>818.43815766885143</v>
      </c>
      <c r="M270" s="36">
        <f t="shared" si="39"/>
        <v>2716.0021824862624</v>
      </c>
    </row>
    <row r="271" spans="1:13" ht="15.6" x14ac:dyDescent="0.3">
      <c r="A271" s="58" t="s">
        <v>68</v>
      </c>
      <c r="B271" s="49">
        <v>0</v>
      </c>
      <c r="C271" s="49">
        <v>29.9302311</v>
      </c>
      <c r="D271" s="50">
        <f t="shared" si="32"/>
        <v>1</v>
      </c>
      <c r="E271" s="49">
        <v>0</v>
      </c>
      <c r="F271" s="49">
        <v>1987093.9038461538</v>
      </c>
      <c r="G271" s="48">
        <f t="shared" si="33"/>
        <v>1</v>
      </c>
      <c r="H271" s="47">
        <f t="shared" si="34"/>
        <v>1.1133546011599725E-3</v>
      </c>
      <c r="I271" s="46">
        <f t="shared" si="35"/>
        <v>0</v>
      </c>
      <c r="J271" s="45">
        <f t="shared" si="36"/>
        <v>42.307474844078953</v>
      </c>
      <c r="K271" s="45">
        <f t="shared" si="37"/>
        <v>27.388523188535324</v>
      </c>
      <c r="L271" s="45">
        <f t="shared" si="38"/>
        <v>30.060574231319258</v>
      </c>
      <c r="M271" s="44">
        <f t="shared" si="39"/>
        <v>99.756572263933549</v>
      </c>
    </row>
    <row r="272" spans="1:13" ht="15.6" x14ac:dyDescent="0.3">
      <c r="A272" s="57" t="s">
        <v>67</v>
      </c>
      <c r="B272" s="49">
        <v>0</v>
      </c>
      <c r="C272" s="49">
        <v>25.451491800000003</v>
      </c>
      <c r="D272" s="50">
        <f t="shared" si="32"/>
        <v>1</v>
      </c>
      <c r="E272" s="49">
        <v>0</v>
      </c>
      <c r="F272" s="49">
        <v>2803289.0307692308</v>
      </c>
      <c r="G272" s="48">
        <f t="shared" si="33"/>
        <v>1</v>
      </c>
      <c r="H272" s="47">
        <f t="shared" si="34"/>
        <v>1.5706629338186743E-3</v>
      </c>
      <c r="I272" s="46">
        <f t="shared" si="35"/>
        <v>0</v>
      </c>
      <c r="J272" s="45">
        <f t="shared" si="36"/>
        <v>59.685191485109627</v>
      </c>
      <c r="K272" s="45">
        <f t="shared" si="37"/>
        <v>38.638308171939386</v>
      </c>
      <c r="L272" s="45">
        <f t="shared" si="38"/>
        <v>42.407899213104209</v>
      </c>
      <c r="M272" s="44">
        <f t="shared" si="39"/>
        <v>140.73139887015321</v>
      </c>
    </row>
    <row r="273" spans="1:13" ht="15.6" x14ac:dyDescent="0.3">
      <c r="A273" s="57" t="s">
        <v>66</v>
      </c>
      <c r="B273" s="49">
        <v>325.31834099999998</v>
      </c>
      <c r="C273" s="49">
        <v>29.284607099999999</v>
      </c>
      <c r="D273" s="50">
        <f t="shared" si="32"/>
        <v>-0.90998169051894917</v>
      </c>
      <c r="E273" s="49">
        <v>9642669.9600000009</v>
      </c>
      <c r="F273" s="49">
        <v>3496154.5465000002</v>
      </c>
      <c r="G273" s="48">
        <f t="shared" si="33"/>
        <v>-0.63742878673615833</v>
      </c>
      <c r="H273" s="47">
        <f t="shared" si="34"/>
        <v>1.9588705612643745E-3</v>
      </c>
      <c r="I273" s="46">
        <f t="shared" si="35"/>
        <v>5.9937904527253751E-3</v>
      </c>
      <c r="J273" s="45">
        <f t="shared" si="36"/>
        <v>74.437081328046233</v>
      </c>
      <c r="K273" s="45">
        <f t="shared" si="37"/>
        <v>48.18821580710361</v>
      </c>
      <c r="L273" s="45">
        <f t="shared" si="38"/>
        <v>52.889505154138114</v>
      </c>
      <c r="M273" s="44">
        <f t="shared" si="39"/>
        <v>175.51480228928796</v>
      </c>
    </row>
    <row r="274" spans="1:13" ht="15.6" x14ac:dyDescent="0.3">
      <c r="A274" s="57" t="s">
        <v>65</v>
      </c>
      <c r="B274" s="49">
        <v>65.496750000000006</v>
      </c>
      <c r="C274" s="49">
        <v>27.588750000000001</v>
      </c>
      <c r="D274" s="50">
        <f t="shared" si="32"/>
        <v>-0.57877680953635102</v>
      </c>
      <c r="E274" s="49">
        <v>2142000</v>
      </c>
      <c r="F274" s="49">
        <v>2363030.25</v>
      </c>
      <c r="G274" s="48">
        <f t="shared" si="33"/>
        <v>0.10318872549019607</v>
      </c>
      <c r="H274" s="47">
        <f t="shared" si="34"/>
        <v>1.3239890658541271E-3</v>
      </c>
      <c r="I274" s="46">
        <f t="shared" si="35"/>
        <v>1.3314464980130618E-3</v>
      </c>
      <c r="J274" s="45">
        <f t="shared" si="36"/>
        <v>50.311584502456832</v>
      </c>
      <c r="K274" s="45">
        <f t="shared" si="37"/>
        <v>32.570131020011523</v>
      </c>
      <c r="L274" s="45">
        <f t="shared" si="38"/>
        <v>35.747704778061433</v>
      </c>
      <c r="M274" s="44">
        <f t="shared" si="39"/>
        <v>118.62942030052979</v>
      </c>
    </row>
    <row r="275" spans="1:13" ht="15.6" x14ac:dyDescent="0.3">
      <c r="A275" s="57" t="s">
        <v>64</v>
      </c>
      <c r="B275" s="49">
        <v>0</v>
      </c>
      <c r="C275" s="49">
        <v>13.545000000000002</v>
      </c>
      <c r="D275" s="50">
        <f t="shared" si="32"/>
        <v>1</v>
      </c>
      <c r="E275" s="49">
        <v>0</v>
      </c>
      <c r="F275" s="49">
        <v>738150</v>
      </c>
      <c r="G275" s="48">
        <f t="shared" si="33"/>
        <v>1</v>
      </c>
      <c r="H275" s="47">
        <f t="shared" si="34"/>
        <v>4.135802023525615E-4</v>
      </c>
      <c r="I275" s="46">
        <f t="shared" si="35"/>
        <v>0</v>
      </c>
      <c r="J275" s="45">
        <f t="shared" si="36"/>
        <v>15.716047689397337</v>
      </c>
      <c r="K275" s="45">
        <f t="shared" si="37"/>
        <v>10.174072977873013</v>
      </c>
      <c r="L275" s="45">
        <f t="shared" si="38"/>
        <v>11.166665463519161</v>
      </c>
      <c r="M275" s="44">
        <f t="shared" si="39"/>
        <v>37.056786130789511</v>
      </c>
    </row>
    <row r="276" spans="1:13" ht="16.2" thickBot="1" x14ac:dyDescent="0.35">
      <c r="A276" s="59" t="s">
        <v>63</v>
      </c>
      <c r="B276" s="49">
        <v>67.434749999999994</v>
      </c>
      <c r="C276" s="49">
        <v>28.56</v>
      </c>
      <c r="D276" s="50">
        <f t="shared" si="32"/>
        <v>-0.57647948572508978</v>
      </c>
      <c r="E276" s="49">
        <v>2322948</v>
      </c>
      <c r="F276" s="49">
        <v>1105597.5</v>
      </c>
      <c r="G276" s="48">
        <f t="shared" si="33"/>
        <v>-0.52405413293797365</v>
      </c>
      <c r="H276" s="47">
        <f t="shared" si="34"/>
        <v>6.1945842683802221E-4</v>
      </c>
      <c r="I276" s="46">
        <f t="shared" si="35"/>
        <v>1.44392202598807E-3</v>
      </c>
      <c r="J276" s="45">
        <f t="shared" si="36"/>
        <v>23.539420219844843</v>
      </c>
      <c r="K276" s="45">
        <f t="shared" si="37"/>
        <v>15.238677300215347</v>
      </c>
      <c r="L276" s="45">
        <f t="shared" si="38"/>
        <v>16.725377524626598</v>
      </c>
      <c r="M276" s="44">
        <f t="shared" si="39"/>
        <v>55.50347504468678</v>
      </c>
    </row>
    <row r="277" spans="1:13" ht="16.2" thickBot="1" x14ac:dyDescent="0.35">
      <c r="A277" s="56" t="s">
        <v>62</v>
      </c>
      <c r="B277" s="42">
        <v>458.249841</v>
      </c>
      <c r="C277" s="40">
        <v>154.36008000000001</v>
      </c>
      <c r="D277" s="41">
        <f t="shared" si="32"/>
        <v>-0.66315300914637965</v>
      </c>
      <c r="E277" s="40">
        <v>14107617.960000001</v>
      </c>
      <c r="F277" s="40">
        <v>12493315.231115386</v>
      </c>
      <c r="G277" s="39">
        <f t="shared" si="33"/>
        <v>-0.11442773212754444</v>
      </c>
      <c r="H277" s="38">
        <f t="shared" si="34"/>
        <v>6.999915791287733E-3</v>
      </c>
      <c r="I277" s="37">
        <f t="shared" si="35"/>
        <v>8.7691589767265061E-3</v>
      </c>
      <c r="J277" s="36">
        <f t="shared" si="36"/>
        <v>265.99680006893385</v>
      </c>
      <c r="K277" s="36">
        <f t="shared" si="37"/>
        <v>172.19792846567825</v>
      </c>
      <c r="L277" s="36">
        <f t="shared" si="38"/>
        <v>188.99772636476879</v>
      </c>
      <c r="M277" s="36">
        <f t="shared" si="39"/>
        <v>627.19245489938089</v>
      </c>
    </row>
    <row r="278" spans="1:13" ht="16.2" thickBot="1" x14ac:dyDescent="0.35">
      <c r="A278" s="35" t="s">
        <v>61</v>
      </c>
      <c r="B278" s="34">
        <v>3560.1243599999998</v>
      </c>
      <c r="C278" s="32">
        <v>2169.8401609500002</v>
      </c>
      <c r="D278" s="33">
        <f t="shared" si="32"/>
        <v>-0.3905156276759949</v>
      </c>
      <c r="E278" s="32">
        <v>88108472.100000009</v>
      </c>
      <c r="F278" s="32">
        <v>131268328.2086793</v>
      </c>
      <c r="G278" s="31">
        <f t="shared" si="33"/>
        <v>0.4898491039510296</v>
      </c>
      <c r="H278" s="30">
        <f t="shared" si="34"/>
        <v>7.3548711973214179E-2</v>
      </c>
      <c r="I278" s="29">
        <f t="shared" si="35"/>
        <v>5.476737470720195E-2</v>
      </c>
      <c r="J278" s="28">
        <f t="shared" si="36"/>
        <v>2794.851054982139</v>
      </c>
      <c r="K278" s="28">
        <f t="shared" si="37"/>
        <v>1809.2983145410687</v>
      </c>
      <c r="L278" s="28">
        <f t="shared" si="38"/>
        <v>1985.8152232767827</v>
      </c>
      <c r="M278" s="28">
        <f t="shared" si="39"/>
        <v>6589.96459279999</v>
      </c>
    </row>
    <row r="279" spans="1:13" ht="15" thickBot="1" x14ac:dyDescent="0.35">
      <c r="A279" s="60" t="s">
        <v>60</v>
      </c>
      <c r="B279" s="26">
        <v>10085.065584</v>
      </c>
      <c r="C279" s="24">
        <v>6665.9446549500008</v>
      </c>
      <c r="D279" s="25">
        <f t="shared" si="32"/>
        <v>-0.3390281303152306</v>
      </c>
      <c r="E279" s="24">
        <v>291299521.33020002</v>
      </c>
      <c r="F279" s="24">
        <v>353167075.94719279</v>
      </c>
      <c r="G279" s="23">
        <f t="shared" si="33"/>
        <v>0.21238467655037219</v>
      </c>
      <c r="H279" s="22">
        <f t="shared" si="34"/>
        <v>0.1978770043141671</v>
      </c>
      <c r="I279" s="21">
        <f t="shared" si="35"/>
        <v>0.18106896710923251</v>
      </c>
      <c r="J279" s="20">
        <f t="shared" si="36"/>
        <v>7519.32616393835</v>
      </c>
      <c r="K279" s="20">
        <f t="shared" si="37"/>
        <v>4867.7743061285109</v>
      </c>
      <c r="L279" s="20">
        <f t="shared" si="38"/>
        <v>5342.6791164825117</v>
      </c>
      <c r="M279" s="20">
        <f t="shared" si="39"/>
        <v>17729.779586549372</v>
      </c>
    </row>
    <row r="280" spans="1:13" ht="15.6" x14ac:dyDescent="0.3">
      <c r="A280" s="57" t="s">
        <v>59</v>
      </c>
      <c r="B280" s="49">
        <v>426.72663900000003</v>
      </c>
      <c r="C280" s="49">
        <v>162.71351249999998</v>
      </c>
      <c r="D280" s="50">
        <f t="shared" si="32"/>
        <v>-0.61869380153696019</v>
      </c>
      <c r="E280" s="49">
        <v>10107588</v>
      </c>
      <c r="F280" s="49">
        <v>9202742.668421058</v>
      </c>
      <c r="G280" s="48">
        <f t="shared" si="33"/>
        <v>-8.9521390422615366E-2</v>
      </c>
      <c r="H280" s="47">
        <f t="shared" si="34"/>
        <v>5.1562313554211646E-3</v>
      </c>
      <c r="I280" s="46">
        <f t="shared" si="35"/>
        <v>6.2827790130526836E-3</v>
      </c>
      <c r="J280" s="45">
        <f t="shared" si="36"/>
        <v>195.93679150600425</v>
      </c>
      <c r="K280" s="45">
        <f t="shared" si="37"/>
        <v>126.84329134336065</v>
      </c>
      <c r="L280" s="45">
        <f t="shared" si="38"/>
        <v>139.21824659637144</v>
      </c>
      <c r="M280" s="44">
        <f t="shared" si="39"/>
        <v>461.99832944573637</v>
      </c>
    </row>
    <row r="281" spans="1:13" ht="15.6" x14ac:dyDescent="0.3">
      <c r="A281" s="57" t="s">
        <v>58</v>
      </c>
      <c r="B281" s="49">
        <v>0</v>
      </c>
      <c r="C281" s="49">
        <v>37.826596500000001</v>
      </c>
      <c r="D281" s="50">
        <f t="shared" si="32"/>
        <v>1</v>
      </c>
      <c r="E281" s="49">
        <v>0</v>
      </c>
      <c r="F281" s="49">
        <v>2616644.3171052583</v>
      </c>
      <c r="G281" s="48">
        <f t="shared" si="33"/>
        <v>1</v>
      </c>
      <c r="H281" s="47">
        <f t="shared" si="34"/>
        <v>1.4660872263809156E-3</v>
      </c>
      <c r="I281" s="46">
        <f t="shared" si="35"/>
        <v>0</v>
      </c>
      <c r="J281" s="45">
        <f t="shared" si="36"/>
        <v>55.711314602474793</v>
      </c>
      <c r="K281" s="45">
        <f t="shared" si="37"/>
        <v>36.065745768970523</v>
      </c>
      <c r="L281" s="45">
        <f t="shared" si="38"/>
        <v>39.584355112284719</v>
      </c>
      <c r="M281" s="44">
        <f t="shared" si="39"/>
        <v>131.36141548373004</v>
      </c>
    </row>
    <row r="282" spans="1:13" ht="15.6" x14ac:dyDescent="0.3">
      <c r="A282" s="57" t="s">
        <v>57</v>
      </c>
      <c r="B282" s="49">
        <v>0</v>
      </c>
      <c r="C282" s="49">
        <v>11.945240999999999</v>
      </c>
      <c r="D282" s="50">
        <f t="shared" si="32"/>
        <v>1</v>
      </c>
      <c r="E282" s="49">
        <v>0</v>
      </c>
      <c r="F282" s="49">
        <v>837326.39147368341</v>
      </c>
      <c r="G282" s="48">
        <f t="shared" si="33"/>
        <v>1</v>
      </c>
      <c r="H282" s="47">
        <f t="shared" si="34"/>
        <v>4.6914803010340188E-4</v>
      </c>
      <c r="I282" s="46">
        <f t="shared" si="35"/>
        <v>0</v>
      </c>
      <c r="J282" s="45">
        <f t="shared" si="36"/>
        <v>17.827625143929271</v>
      </c>
      <c r="K282" s="45">
        <f t="shared" si="37"/>
        <v>11.541041540543686</v>
      </c>
      <c r="L282" s="45">
        <f t="shared" si="38"/>
        <v>12.666996812791851</v>
      </c>
      <c r="M282" s="44">
        <f t="shared" si="39"/>
        <v>42.035663497264807</v>
      </c>
    </row>
    <row r="283" spans="1:13" ht="15.6" x14ac:dyDescent="0.3">
      <c r="A283" s="57" t="s">
        <v>56</v>
      </c>
      <c r="B283" s="49">
        <v>69.541049999999998</v>
      </c>
      <c r="C283" s="49">
        <v>125.238225</v>
      </c>
      <c r="D283" s="50">
        <f t="shared" si="32"/>
        <v>0.80092513702338408</v>
      </c>
      <c r="E283" s="49">
        <v>2229689.4</v>
      </c>
      <c r="F283" s="49">
        <v>4469329.1160000004</v>
      </c>
      <c r="G283" s="48">
        <f t="shared" si="33"/>
        <v>1.0044626466807443</v>
      </c>
      <c r="H283" s="47">
        <f t="shared" si="34"/>
        <v>2.5041333606658201E-3</v>
      </c>
      <c r="I283" s="46">
        <f t="shared" si="35"/>
        <v>1.385953381553149E-3</v>
      </c>
      <c r="J283" s="45">
        <f t="shared" si="36"/>
        <v>95.157067705301159</v>
      </c>
      <c r="K283" s="45">
        <f t="shared" si="37"/>
        <v>61.601680672379175</v>
      </c>
      <c r="L283" s="45">
        <f t="shared" si="38"/>
        <v>67.611600737977142</v>
      </c>
      <c r="M283" s="44">
        <f t="shared" si="39"/>
        <v>224.37034911565746</v>
      </c>
    </row>
    <row r="284" spans="1:13" ht="15.6" x14ac:dyDescent="0.3">
      <c r="A284" s="57" t="s">
        <v>55</v>
      </c>
      <c r="B284" s="49">
        <v>283.67220000000003</v>
      </c>
      <c r="C284" s="49">
        <v>190.08291750000001</v>
      </c>
      <c r="D284" s="50">
        <f t="shared" si="32"/>
        <v>-0.32992052975229863</v>
      </c>
      <c r="E284" s="49">
        <v>8510074.1999999993</v>
      </c>
      <c r="F284" s="49">
        <v>10420375.35</v>
      </c>
      <c r="G284" s="48">
        <f t="shared" si="33"/>
        <v>0.22447526368218981</v>
      </c>
      <c r="H284" s="47">
        <f t="shared" si="34"/>
        <v>5.8384622987775435E-3</v>
      </c>
      <c r="I284" s="46">
        <f t="shared" si="35"/>
        <v>5.289779874613122E-3</v>
      </c>
      <c r="J284" s="45">
        <f t="shared" si="36"/>
        <v>221.86156735354666</v>
      </c>
      <c r="K284" s="45">
        <f t="shared" si="37"/>
        <v>143.62617254992756</v>
      </c>
      <c r="L284" s="45">
        <f t="shared" si="38"/>
        <v>157.63848206699367</v>
      </c>
      <c r="M284" s="44">
        <f t="shared" si="39"/>
        <v>523.1262219704679</v>
      </c>
    </row>
    <row r="285" spans="1:13" ht="15.6" x14ac:dyDescent="0.3">
      <c r="A285" s="57" t="s">
        <v>54</v>
      </c>
      <c r="B285" s="49">
        <v>0</v>
      </c>
      <c r="C285" s="49">
        <v>107.8961415</v>
      </c>
      <c r="D285" s="50">
        <f t="shared" si="32"/>
        <v>1</v>
      </c>
      <c r="E285" s="49">
        <v>0</v>
      </c>
      <c r="F285" s="49">
        <v>4637209.260970558</v>
      </c>
      <c r="G285" s="48">
        <f t="shared" si="33"/>
        <v>1</v>
      </c>
      <c r="H285" s="47">
        <f t="shared" si="34"/>
        <v>2.5981954135384077E-3</v>
      </c>
      <c r="I285" s="46">
        <f t="shared" si="35"/>
        <v>0</v>
      </c>
      <c r="J285" s="45">
        <f t="shared" si="36"/>
        <v>98.73142571445949</v>
      </c>
      <c r="K285" s="45">
        <f t="shared" si="37"/>
        <v>63.915607173044826</v>
      </c>
      <c r="L285" s="45">
        <f t="shared" si="38"/>
        <v>70.151276165537013</v>
      </c>
      <c r="M285" s="44">
        <f t="shared" si="39"/>
        <v>232.79830905304132</v>
      </c>
    </row>
    <row r="286" spans="1:13" ht="15.6" x14ac:dyDescent="0.3">
      <c r="A286" s="57" t="s">
        <v>53</v>
      </c>
      <c r="B286" s="49">
        <v>0</v>
      </c>
      <c r="C286" s="49">
        <v>123.10474050000001</v>
      </c>
      <c r="D286" s="50">
        <f t="shared" si="32"/>
        <v>1</v>
      </c>
      <c r="E286" s="49">
        <v>0</v>
      </c>
      <c r="F286" s="49">
        <v>6801238.693885481</v>
      </c>
      <c r="G286" s="48">
        <f t="shared" si="33"/>
        <v>1</v>
      </c>
      <c r="H286" s="47">
        <f t="shared" si="34"/>
        <v>3.8106857349661022E-3</v>
      </c>
      <c r="I286" s="46">
        <f t="shared" si="35"/>
        <v>0</v>
      </c>
      <c r="J286" s="45">
        <f t="shared" si="36"/>
        <v>144.80605792871188</v>
      </c>
      <c r="K286" s="45">
        <f t="shared" si="37"/>
        <v>93.742869080166116</v>
      </c>
      <c r="L286" s="45">
        <f t="shared" si="38"/>
        <v>102.88851484408475</v>
      </c>
      <c r="M286" s="44">
        <f t="shared" si="39"/>
        <v>341.43744185296276</v>
      </c>
    </row>
    <row r="287" spans="1:13" ht="15.6" x14ac:dyDescent="0.3">
      <c r="A287" s="57" t="s">
        <v>52</v>
      </c>
      <c r="B287" s="49">
        <v>0</v>
      </c>
      <c r="C287" s="49">
        <v>120.50820600000002</v>
      </c>
      <c r="D287" s="50">
        <f t="shared" si="32"/>
        <v>1</v>
      </c>
      <c r="E287" s="49">
        <v>0</v>
      </c>
      <c r="F287" s="49">
        <v>7110386.1768677365</v>
      </c>
      <c r="G287" s="48">
        <f t="shared" si="33"/>
        <v>1</v>
      </c>
      <c r="H287" s="47">
        <f t="shared" si="34"/>
        <v>3.9838988739874211E-3</v>
      </c>
      <c r="I287" s="46">
        <f t="shared" si="35"/>
        <v>0</v>
      </c>
      <c r="J287" s="45">
        <f t="shared" si="36"/>
        <v>151.38815721152201</v>
      </c>
      <c r="K287" s="45">
        <f t="shared" si="37"/>
        <v>98.003912300090562</v>
      </c>
      <c r="L287" s="45">
        <f t="shared" si="38"/>
        <v>107.56526959766038</v>
      </c>
      <c r="M287" s="44">
        <f t="shared" si="39"/>
        <v>356.95733910927299</v>
      </c>
    </row>
    <row r="288" spans="1:13" ht="16.2" thickBot="1" x14ac:dyDescent="0.35">
      <c r="A288" s="59" t="s">
        <v>51</v>
      </c>
      <c r="B288" s="49">
        <v>709.23578400000008</v>
      </c>
      <c r="C288" s="49">
        <v>142.89254699999998</v>
      </c>
      <c r="D288" s="50">
        <f t="shared" si="32"/>
        <v>-0.79852603291657942</v>
      </c>
      <c r="E288" s="49">
        <v>14136486</v>
      </c>
      <c r="F288" s="49">
        <v>7679618.7287887819</v>
      </c>
      <c r="G288" s="48">
        <f t="shared" si="33"/>
        <v>-0.45675193051591589</v>
      </c>
      <c r="H288" s="47">
        <f t="shared" si="34"/>
        <v>4.3028358299031164E-3</v>
      </c>
      <c r="I288" s="46">
        <f t="shared" si="35"/>
        <v>8.7871030713868713E-3</v>
      </c>
      <c r="J288" s="45">
        <f t="shared" si="36"/>
        <v>163.50776153631841</v>
      </c>
      <c r="K288" s="45">
        <f t="shared" si="37"/>
        <v>105.84976141561667</v>
      </c>
      <c r="L288" s="45">
        <f t="shared" si="38"/>
        <v>116.17656740738414</v>
      </c>
      <c r="M288" s="44">
        <f t="shared" si="39"/>
        <v>385.53409035931924</v>
      </c>
    </row>
    <row r="289" spans="1:13" ht="16.2" thickBot="1" x14ac:dyDescent="0.35">
      <c r="A289" s="56" t="s">
        <v>50</v>
      </c>
      <c r="B289" s="42">
        <v>1489.1756730000002</v>
      </c>
      <c r="C289" s="40">
        <v>1022.2081275</v>
      </c>
      <c r="D289" s="41">
        <f t="shared" si="32"/>
        <v>-0.31357451908899137</v>
      </c>
      <c r="E289" s="40">
        <v>34983837.600000001</v>
      </c>
      <c r="F289" s="40">
        <v>53774870.703512564</v>
      </c>
      <c r="G289" s="39">
        <f t="shared" si="33"/>
        <v>0.53713469969665539</v>
      </c>
      <c r="H289" s="38">
        <f t="shared" si="34"/>
        <v>3.0129678123743897E-2</v>
      </c>
      <c r="I289" s="37">
        <f t="shared" si="35"/>
        <v>2.1745615340605828E-2</v>
      </c>
      <c r="J289" s="36">
        <f t="shared" si="36"/>
        <v>1144.9277687022682</v>
      </c>
      <c r="K289" s="36">
        <f t="shared" si="37"/>
        <v>741.19008184409984</v>
      </c>
      <c r="L289" s="36">
        <f t="shared" si="38"/>
        <v>813.50130934108518</v>
      </c>
      <c r="M289" s="36">
        <f t="shared" si="39"/>
        <v>2699.6191598874534</v>
      </c>
    </row>
    <row r="290" spans="1:13" ht="15.6" x14ac:dyDescent="0.3">
      <c r="A290" s="58" t="s">
        <v>49</v>
      </c>
      <c r="B290" s="49">
        <v>325.07349000000005</v>
      </c>
      <c r="C290" s="49">
        <v>241.95990000000003</v>
      </c>
      <c r="D290" s="50">
        <f t="shared" si="32"/>
        <v>-0.25567630876328917</v>
      </c>
      <c r="E290" s="49">
        <v>6517800</v>
      </c>
      <c r="F290" s="49">
        <v>11711332.5</v>
      </c>
      <c r="G290" s="48">
        <f t="shared" si="33"/>
        <v>0.7968229310503544</v>
      </c>
      <c r="H290" s="47">
        <f t="shared" si="34"/>
        <v>6.5617764210094557E-3</v>
      </c>
      <c r="I290" s="46">
        <f t="shared" si="35"/>
        <v>4.0514014868111743E-3</v>
      </c>
      <c r="J290" s="45">
        <f t="shared" si="36"/>
        <v>249.34750399835931</v>
      </c>
      <c r="K290" s="45">
        <f t="shared" si="37"/>
        <v>161.4196999568326</v>
      </c>
      <c r="L290" s="45">
        <f t="shared" si="38"/>
        <v>177.16796336725531</v>
      </c>
      <c r="M290" s="44">
        <f t="shared" si="39"/>
        <v>587.93516732244723</v>
      </c>
    </row>
    <row r="291" spans="1:13" ht="15.6" x14ac:dyDescent="0.3">
      <c r="A291" s="57" t="s">
        <v>48</v>
      </c>
      <c r="B291" s="49">
        <v>0</v>
      </c>
      <c r="C291" s="49">
        <v>210.79086000000001</v>
      </c>
      <c r="D291" s="50">
        <f t="shared" si="32"/>
        <v>1</v>
      </c>
      <c r="E291" s="49">
        <v>0</v>
      </c>
      <c r="F291" s="49">
        <v>13312579.44645771</v>
      </c>
      <c r="G291" s="48">
        <f t="shared" si="33"/>
        <v>1</v>
      </c>
      <c r="H291" s="47">
        <f t="shared" si="34"/>
        <v>7.4589437123897999E-3</v>
      </c>
      <c r="I291" s="46">
        <f t="shared" si="35"/>
        <v>0</v>
      </c>
      <c r="J291" s="45">
        <f t="shared" si="36"/>
        <v>283.43986107081241</v>
      </c>
      <c r="K291" s="45">
        <f t="shared" si="37"/>
        <v>183.49001532478908</v>
      </c>
      <c r="L291" s="45">
        <f t="shared" si="38"/>
        <v>201.39148023452461</v>
      </c>
      <c r="M291" s="44">
        <f t="shared" si="39"/>
        <v>668.32135663012605</v>
      </c>
    </row>
    <row r="292" spans="1:13" ht="15.6" x14ac:dyDescent="0.3">
      <c r="A292" s="57" t="s">
        <v>47</v>
      </c>
      <c r="B292" s="49">
        <v>96.776579999999996</v>
      </c>
      <c r="C292" s="49">
        <v>90.554496900000004</v>
      </c>
      <c r="D292" s="50">
        <f t="shared" si="32"/>
        <v>-6.4293273227882114E-2</v>
      </c>
      <c r="E292" s="49">
        <v>4866420</v>
      </c>
      <c r="F292" s="49">
        <v>5916701.8576700948</v>
      </c>
      <c r="G292" s="48">
        <f t="shared" si="33"/>
        <v>0.21582227955459965</v>
      </c>
      <c r="H292" s="47">
        <f t="shared" si="34"/>
        <v>3.3150860279820829E-3</v>
      </c>
      <c r="I292" s="46">
        <f t="shared" si="35"/>
        <v>3.0249196390572945E-3</v>
      </c>
      <c r="J292" s="45">
        <f t="shared" si="36"/>
        <v>125.97326906331915</v>
      </c>
      <c r="K292" s="45">
        <f t="shared" si="37"/>
        <v>81.551116288359239</v>
      </c>
      <c r="L292" s="45">
        <f t="shared" si="38"/>
        <v>89.507322755516242</v>
      </c>
      <c r="M292" s="44">
        <f t="shared" si="39"/>
        <v>297.03170810719462</v>
      </c>
    </row>
    <row r="293" spans="1:13" ht="15.6" x14ac:dyDescent="0.3">
      <c r="A293" s="57" t="s">
        <v>46</v>
      </c>
      <c r="B293" s="49">
        <v>1038.1587030000001</v>
      </c>
      <c r="C293" s="49">
        <v>140.78881530000001</v>
      </c>
      <c r="D293" s="50">
        <f t="shared" si="32"/>
        <v>-0.86438603761336474</v>
      </c>
      <c r="E293" s="49">
        <v>26523258.900000002</v>
      </c>
      <c r="F293" s="49">
        <v>6647309.909072197</v>
      </c>
      <c r="G293" s="48">
        <f t="shared" si="33"/>
        <v>-0.74937808607402323</v>
      </c>
      <c r="H293" s="47">
        <f t="shared" si="34"/>
        <v>3.7244405301012891E-3</v>
      </c>
      <c r="I293" s="46">
        <f t="shared" si="35"/>
        <v>1.6486601390428936E-2</v>
      </c>
      <c r="J293" s="45">
        <f t="shared" si="36"/>
        <v>141.52874014384898</v>
      </c>
      <c r="K293" s="45">
        <f t="shared" si="37"/>
        <v>91.621237040491707</v>
      </c>
      <c r="L293" s="45">
        <f t="shared" si="38"/>
        <v>100.55989431273481</v>
      </c>
      <c r="M293" s="44">
        <f t="shared" si="39"/>
        <v>333.70987149707548</v>
      </c>
    </row>
    <row r="294" spans="1:13" ht="15.6" x14ac:dyDescent="0.3">
      <c r="A294" s="57" t="s">
        <v>45</v>
      </c>
      <c r="B294" s="49">
        <v>0</v>
      </c>
      <c r="C294" s="49">
        <v>144.66375000000002</v>
      </c>
      <c r="D294" s="50">
        <f t="shared" si="32"/>
        <v>1</v>
      </c>
      <c r="E294" s="49">
        <v>0</v>
      </c>
      <c r="F294" s="49">
        <v>8563051.3499999996</v>
      </c>
      <c r="G294" s="48">
        <f t="shared" si="33"/>
        <v>1</v>
      </c>
      <c r="H294" s="47">
        <f t="shared" si="34"/>
        <v>4.7978168530628936E-3</v>
      </c>
      <c r="I294" s="46">
        <f t="shared" si="35"/>
        <v>0</v>
      </c>
      <c r="J294" s="45">
        <f t="shared" si="36"/>
        <v>182.31704041638997</v>
      </c>
      <c r="K294" s="45">
        <f t="shared" si="37"/>
        <v>118.02629458534719</v>
      </c>
      <c r="L294" s="45">
        <f t="shared" si="38"/>
        <v>129.54105503269813</v>
      </c>
      <c r="M294" s="44">
        <f t="shared" si="39"/>
        <v>429.88439003443528</v>
      </c>
    </row>
    <row r="295" spans="1:13" ht="15.6" x14ac:dyDescent="0.3">
      <c r="A295" s="57" t="s">
        <v>44</v>
      </c>
      <c r="B295" s="49">
        <v>38.000610000000009</v>
      </c>
      <c r="C295" s="49">
        <v>94.989038550000004</v>
      </c>
      <c r="D295" s="50">
        <f t="shared" si="32"/>
        <v>1.4996714144851881</v>
      </c>
      <c r="E295" s="49">
        <v>1662600</v>
      </c>
      <c r="F295" s="49">
        <v>4840422.3</v>
      </c>
      <c r="G295" s="48">
        <f t="shared" si="33"/>
        <v>1.9113570913027786</v>
      </c>
      <c r="H295" s="47">
        <f t="shared" si="34"/>
        <v>2.7120542360033204E-3</v>
      </c>
      <c r="I295" s="46">
        <f t="shared" si="35"/>
        <v>1.0334560913149004E-3</v>
      </c>
      <c r="J295" s="45">
        <f t="shared" si="36"/>
        <v>103.05806096812617</v>
      </c>
      <c r="K295" s="45">
        <f t="shared" si="37"/>
        <v>66.716534205681683</v>
      </c>
      <c r="L295" s="45">
        <f t="shared" si="38"/>
        <v>73.225464372089647</v>
      </c>
      <c r="M295" s="44">
        <f t="shared" si="39"/>
        <v>243.0000595458975</v>
      </c>
    </row>
    <row r="296" spans="1:13" ht="16.2" thickBot="1" x14ac:dyDescent="0.35">
      <c r="A296" s="59" t="s">
        <v>43</v>
      </c>
      <c r="B296" s="49">
        <v>0</v>
      </c>
      <c r="C296" s="49">
        <v>115.19445</v>
      </c>
      <c r="D296" s="50">
        <f t="shared" si="32"/>
        <v>1</v>
      </c>
      <c r="E296" s="49">
        <v>0</v>
      </c>
      <c r="F296" s="49">
        <v>7886651.8500000006</v>
      </c>
      <c r="G296" s="48">
        <f t="shared" si="33"/>
        <v>1</v>
      </c>
      <c r="H296" s="47">
        <f t="shared" si="34"/>
        <v>4.4188350172826713E-3</v>
      </c>
      <c r="I296" s="46">
        <f t="shared" si="35"/>
        <v>0</v>
      </c>
      <c r="J296" s="45">
        <f t="shared" si="36"/>
        <v>167.91573065674152</v>
      </c>
      <c r="K296" s="45">
        <f t="shared" si="37"/>
        <v>108.70334142515371</v>
      </c>
      <c r="L296" s="45">
        <f t="shared" si="38"/>
        <v>119.30854546663213</v>
      </c>
      <c r="M296" s="44">
        <f t="shared" si="39"/>
        <v>395.92761754852734</v>
      </c>
    </row>
    <row r="297" spans="1:13" ht="16.2" thickBot="1" x14ac:dyDescent="0.35">
      <c r="A297" s="56" t="s">
        <v>42</v>
      </c>
      <c r="B297" s="42">
        <v>1498.0093830000001</v>
      </c>
      <c r="C297" s="40">
        <v>1038.9413107500002</v>
      </c>
      <c r="D297" s="41">
        <f t="shared" si="32"/>
        <v>-0.30645206729656371</v>
      </c>
      <c r="E297" s="40">
        <v>39570078.900000006</v>
      </c>
      <c r="F297" s="40">
        <v>58878049.213200003</v>
      </c>
      <c r="G297" s="39">
        <f t="shared" si="33"/>
        <v>0.48794369002888177</v>
      </c>
      <c r="H297" s="38">
        <f t="shared" si="34"/>
        <v>3.2988952797831511E-2</v>
      </c>
      <c r="I297" s="37">
        <f t="shared" si="35"/>
        <v>2.4596378607612306E-2</v>
      </c>
      <c r="J297" s="36">
        <f t="shared" si="36"/>
        <v>1253.5802063175975</v>
      </c>
      <c r="K297" s="36">
        <f t="shared" si="37"/>
        <v>811.52823882665518</v>
      </c>
      <c r="L297" s="36">
        <f t="shared" si="38"/>
        <v>890.70172554145086</v>
      </c>
      <c r="M297" s="36">
        <f t="shared" si="39"/>
        <v>2955.8101706857033</v>
      </c>
    </row>
    <row r="298" spans="1:13" ht="15.6" x14ac:dyDescent="0.3">
      <c r="A298" s="58" t="s">
        <v>41</v>
      </c>
      <c r="B298" s="49">
        <v>0</v>
      </c>
      <c r="C298" s="49">
        <v>0</v>
      </c>
      <c r="D298" s="50">
        <f t="shared" si="32"/>
        <v>1</v>
      </c>
      <c r="E298" s="49">
        <v>0</v>
      </c>
      <c r="F298" s="49">
        <v>95200.000000000015</v>
      </c>
      <c r="G298" s="48">
        <f t="shared" si="33"/>
        <v>1</v>
      </c>
      <c r="H298" s="47">
        <f t="shared" si="34"/>
        <v>5.3339883850116995E-5</v>
      </c>
      <c r="I298" s="46">
        <f t="shared" si="35"/>
        <v>0</v>
      </c>
      <c r="J298" s="45">
        <f t="shared" si="36"/>
        <v>2.0269155863044457</v>
      </c>
      <c r="K298" s="45">
        <f t="shared" si="37"/>
        <v>1.3121611427128781</v>
      </c>
      <c r="L298" s="45">
        <f t="shared" si="38"/>
        <v>1.4401768639531589</v>
      </c>
      <c r="M298" s="44">
        <f t="shared" si="39"/>
        <v>4.7792535929704822</v>
      </c>
    </row>
    <row r="299" spans="1:13" ht="15.6" x14ac:dyDescent="0.3">
      <c r="A299" s="57" t="s">
        <v>40</v>
      </c>
      <c r="B299" s="49">
        <v>0</v>
      </c>
      <c r="C299" s="49">
        <v>0</v>
      </c>
      <c r="D299" s="50">
        <f t="shared" si="32"/>
        <v>1</v>
      </c>
      <c r="E299" s="49">
        <v>0</v>
      </c>
      <c r="F299" s="49">
        <v>83300</v>
      </c>
      <c r="G299" s="48">
        <f t="shared" si="33"/>
        <v>1</v>
      </c>
      <c r="H299" s="47">
        <f t="shared" si="34"/>
        <v>4.6672398368852367E-5</v>
      </c>
      <c r="I299" s="46">
        <f t="shared" si="35"/>
        <v>0</v>
      </c>
      <c r="J299" s="45">
        <f t="shared" si="36"/>
        <v>1.77355113801639</v>
      </c>
      <c r="K299" s="45">
        <f t="shared" si="37"/>
        <v>1.1481409998737682</v>
      </c>
      <c r="L299" s="45">
        <f t="shared" si="38"/>
        <v>1.2601547559590138</v>
      </c>
      <c r="M299" s="44">
        <f t="shared" si="39"/>
        <v>4.1818468938491717</v>
      </c>
    </row>
    <row r="300" spans="1:13" ht="15.6" x14ac:dyDescent="0.3">
      <c r="A300" s="55" t="s">
        <v>39</v>
      </c>
      <c r="B300" s="49">
        <v>87.867644999999996</v>
      </c>
      <c r="C300" s="49">
        <v>77.615580000000008</v>
      </c>
      <c r="D300" s="50">
        <f t="shared" si="32"/>
        <v>-0.11667622365433816</v>
      </c>
      <c r="E300" s="49">
        <v>2862400.5</v>
      </c>
      <c r="F300" s="49">
        <v>3334040.0310000004</v>
      </c>
      <c r="G300" s="48">
        <f t="shared" si="33"/>
        <v>0.16477062905767395</v>
      </c>
      <c r="H300" s="47">
        <f t="shared" si="34"/>
        <v>1.8680389496342487E-3</v>
      </c>
      <c r="I300" s="46">
        <f t="shared" si="35"/>
        <v>1.7792404862912406E-3</v>
      </c>
      <c r="J300" s="45">
        <f t="shared" si="36"/>
        <v>70.985480086101447</v>
      </c>
      <c r="K300" s="45">
        <f t="shared" si="37"/>
        <v>45.953758161002519</v>
      </c>
      <c r="L300" s="45">
        <f t="shared" si="38"/>
        <v>50.437051640124714</v>
      </c>
      <c r="M300" s="44">
        <f t="shared" si="39"/>
        <v>167.37628988722867</v>
      </c>
    </row>
    <row r="301" spans="1:13" ht="15.6" x14ac:dyDescent="0.3">
      <c r="A301" s="57" t="s">
        <v>38</v>
      </c>
      <c r="B301" s="49">
        <v>0</v>
      </c>
      <c r="C301" s="49">
        <v>11.2875</v>
      </c>
      <c r="D301" s="50">
        <f t="shared" si="32"/>
        <v>1</v>
      </c>
      <c r="E301" s="49">
        <v>0</v>
      </c>
      <c r="F301" s="49">
        <v>342016.5</v>
      </c>
      <c r="G301" s="48">
        <f t="shared" si="33"/>
        <v>1</v>
      </c>
      <c r="H301" s="47">
        <f t="shared" si="34"/>
        <v>1.9162941580696993E-4</v>
      </c>
      <c r="I301" s="46">
        <f t="shared" si="35"/>
        <v>0</v>
      </c>
      <c r="J301" s="45">
        <f t="shared" si="36"/>
        <v>7.2819178006648571</v>
      </c>
      <c r="K301" s="45">
        <f t="shared" si="37"/>
        <v>4.7140836288514603</v>
      </c>
      <c r="L301" s="45">
        <f t="shared" si="38"/>
        <v>5.1739942267881878</v>
      </c>
      <c r="M301" s="44">
        <f t="shared" si="39"/>
        <v>17.169995656304504</v>
      </c>
    </row>
    <row r="302" spans="1:13" ht="15.6" x14ac:dyDescent="0.3">
      <c r="A302" s="57" t="s">
        <v>37</v>
      </c>
      <c r="B302" s="49">
        <v>0</v>
      </c>
      <c r="C302" s="49">
        <v>0</v>
      </c>
      <c r="D302" s="50">
        <f t="shared" si="32"/>
        <v>1</v>
      </c>
      <c r="E302" s="49">
        <v>0</v>
      </c>
      <c r="F302" s="49">
        <v>253732.5</v>
      </c>
      <c r="G302" s="48">
        <f t="shared" si="33"/>
        <v>1</v>
      </c>
      <c r="H302" s="47">
        <f t="shared" si="34"/>
        <v>1.4216451763655262E-4</v>
      </c>
      <c r="I302" s="46">
        <f t="shared" si="35"/>
        <v>0</v>
      </c>
      <c r="J302" s="45">
        <f t="shared" si="36"/>
        <v>5.4022516701889991</v>
      </c>
      <c r="K302" s="45">
        <f t="shared" si="37"/>
        <v>3.4972471338591942</v>
      </c>
      <c r="L302" s="45">
        <f t="shared" si="38"/>
        <v>3.8384419761869206</v>
      </c>
      <c r="M302" s="44">
        <f t="shared" si="39"/>
        <v>12.737940780235114</v>
      </c>
    </row>
    <row r="303" spans="1:13" ht="15.6" x14ac:dyDescent="0.3">
      <c r="A303" s="57" t="s">
        <v>36</v>
      </c>
      <c r="B303" s="49">
        <v>0</v>
      </c>
      <c r="C303" s="49">
        <v>15.309000000000001</v>
      </c>
      <c r="D303" s="50">
        <f t="shared" si="32"/>
        <v>1</v>
      </c>
      <c r="E303" s="49">
        <v>0</v>
      </c>
      <c r="F303" s="49">
        <v>78669</v>
      </c>
      <c r="G303" s="48">
        <f t="shared" si="33"/>
        <v>1</v>
      </c>
      <c r="H303" s="47">
        <f t="shared" si="34"/>
        <v>4.4077681960135015E-5</v>
      </c>
      <c r="I303" s="46">
        <f t="shared" si="35"/>
        <v>0</v>
      </c>
      <c r="J303" s="45">
        <f t="shared" si="36"/>
        <v>1.6749519144851306</v>
      </c>
      <c r="K303" s="45">
        <f t="shared" si="37"/>
        <v>1.0843109762193213</v>
      </c>
      <c r="L303" s="45">
        <f t="shared" si="38"/>
        <v>1.1900974129236455</v>
      </c>
      <c r="M303" s="44">
        <f t="shared" si="39"/>
        <v>3.9493603036280973</v>
      </c>
    </row>
    <row r="304" spans="1:13" ht="15.6" x14ac:dyDescent="0.3">
      <c r="A304" s="57" t="s">
        <v>35</v>
      </c>
      <c r="B304" s="49">
        <v>0</v>
      </c>
      <c r="C304" s="49">
        <v>0</v>
      </c>
      <c r="D304" s="50">
        <f t="shared" si="32"/>
        <v>1</v>
      </c>
      <c r="E304" s="49">
        <v>0</v>
      </c>
      <c r="F304" s="49">
        <v>72495</v>
      </c>
      <c r="G304" s="48">
        <f t="shared" si="33"/>
        <v>1</v>
      </c>
      <c r="H304" s="47">
        <f t="shared" si="34"/>
        <v>4.0618433610443602E-5</v>
      </c>
      <c r="I304" s="46">
        <f t="shared" si="35"/>
        <v>0</v>
      </c>
      <c r="J304" s="45">
        <f t="shared" si="36"/>
        <v>1.5435004771968568</v>
      </c>
      <c r="K304" s="45">
        <f t="shared" si="37"/>
        <v>0.99921346681691259</v>
      </c>
      <c r="L304" s="45">
        <f t="shared" si="38"/>
        <v>1.0966977074819773</v>
      </c>
      <c r="M304" s="44">
        <f t="shared" si="39"/>
        <v>3.6394116514957466</v>
      </c>
    </row>
    <row r="305" spans="1:13" ht="15.6" x14ac:dyDescent="0.3">
      <c r="A305" s="57" t="s">
        <v>34</v>
      </c>
      <c r="B305" s="49">
        <v>49.282687200000005</v>
      </c>
      <c r="C305" s="49">
        <v>4.0635000000000003</v>
      </c>
      <c r="D305" s="50">
        <f t="shared" si="32"/>
        <v>-0.91754710972822118</v>
      </c>
      <c r="E305" s="49">
        <v>2020609.8</v>
      </c>
      <c r="F305" s="49">
        <v>118003.5</v>
      </c>
      <c r="G305" s="48">
        <f t="shared" si="33"/>
        <v>-0.94160005558717963</v>
      </c>
      <c r="H305" s="47">
        <f t="shared" si="34"/>
        <v>6.6116522940202522E-5</v>
      </c>
      <c r="I305" s="46">
        <f t="shared" si="35"/>
        <v>1.2559915229042359E-3</v>
      </c>
      <c r="J305" s="45">
        <f t="shared" si="36"/>
        <v>2.512427871727696</v>
      </c>
      <c r="K305" s="45">
        <f t="shared" si="37"/>
        <v>1.6264664643289821</v>
      </c>
      <c r="L305" s="45">
        <f t="shared" si="38"/>
        <v>1.7851461193854681</v>
      </c>
      <c r="M305" s="44">
        <f t="shared" si="39"/>
        <v>5.924040455442146</v>
      </c>
    </row>
    <row r="306" spans="1:13" ht="15.6" x14ac:dyDescent="0.3">
      <c r="A306" s="57" t="s">
        <v>33</v>
      </c>
      <c r="B306" s="49">
        <v>0</v>
      </c>
      <c r="C306" s="49">
        <v>0</v>
      </c>
      <c r="D306" s="50">
        <f t="shared" si="32"/>
        <v>1</v>
      </c>
      <c r="E306" s="49">
        <v>0</v>
      </c>
      <c r="F306" s="49">
        <v>108742.5</v>
      </c>
      <c r="G306" s="48">
        <f t="shared" si="33"/>
        <v>1</v>
      </c>
      <c r="H306" s="47">
        <f t="shared" si="34"/>
        <v>6.0927650415665406E-5</v>
      </c>
      <c r="I306" s="46">
        <f t="shared" si="35"/>
        <v>0</v>
      </c>
      <c r="J306" s="45">
        <f t="shared" si="36"/>
        <v>2.3152507157952855</v>
      </c>
      <c r="K306" s="45">
        <f t="shared" si="37"/>
        <v>1.498820200225369</v>
      </c>
      <c r="L306" s="45">
        <f t="shared" si="38"/>
        <v>1.6450465612229659</v>
      </c>
      <c r="M306" s="44">
        <f t="shared" si="39"/>
        <v>5.4591174772436206</v>
      </c>
    </row>
    <row r="307" spans="1:13" ht="15.6" x14ac:dyDescent="0.3">
      <c r="A307" s="57" t="s">
        <v>32</v>
      </c>
      <c r="B307" s="49">
        <v>0</v>
      </c>
      <c r="C307" s="49">
        <v>0</v>
      </c>
      <c r="D307" s="50">
        <f t="shared" si="32"/>
        <v>1</v>
      </c>
      <c r="E307" s="49">
        <v>0</v>
      </c>
      <c r="F307" s="49">
        <v>78669</v>
      </c>
      <c r="G307" s="48">
        <f t="shared" si="33"/>
        <v>1</v>
      </c>
      <c r="H307" s="47">
        <f t="shared" si="34"/>
        <v>4.4077681960135015E-5</v>
      </c>
      <c r="I307" s="46">
        <f t="shared" si="35"/>
        <v>0</v>
      </c>
      <c r="J307" s="45">
        <f t="shared" si="36"/>
        <v>1.6749519144851306</v>
      </c>
      <c r="K307" s="45">
        <f t="shared" si="37"/>
        <v>1.0843109762193213</v>
      </c>
      <c r="L307" s="45">
        <f t="shared" si="38"/>
        <v>1.1900974129236455</v>
      </c>
      <c r="M307" s="44">
        <f t="shared" si="39"/>
        <v>3.9493603036280973</v>
      </c>
    </row>
    <row r="308" spans="1:13" ht="16.2" thickBot="1" x14ac:dyDescent="0.35">
      <c r="A308" s="54" t="s">
        <v>31</v>
      </c>
      <c r="B308" s="49">
        <v>0</v>
      </c>
      <c r="C308" s="49">
        <v>4.5149999999999997</v>
      </c>
      <c r="D308" s="50">
        <f t="shared" si="32"/>
        <v>1</v>
      </c>
      <c r="E308" s="49">
        <v>0</v>
      </c>
      <c r="F308" s="49">
        <v>72495</v>
      </c>
      <c r="G308" s="48">
        <f t="shared" si="33"/>
        <v>1</v>
      </c>
      <c r="H308" s="47">
        <f t="shared" si="34"/>
        <v>4.0618433610443602E-5</v>
      </c>
      <c r="I308" s="46">
        <f t="shared" si="35"/>
        <v>0</v>
      </c>
      <c r="J308" s="45">
        <f t="shared" si="36"/>
        <v>1.5435004771968568</v>
      </c>
      <c r="K308" s="45">
        <f t="shared" si="37"/>
        <v>0.99921346681691259</v>
      </c>
      <c r="L308" s="45">
        <f t="shared" si="38"/>
        <v>1.0966977074819773</v>
      </c>
      <c r="M308" s="44">
        <f t="shared" si="39"/>
        <v>3.6394116514957466</v>
      </c>
    </row>
    <row r="309" spans="1:13" ht="16.2" thickBot="1" x14ac:dyDescent="0.35">
      <c r="A309" s="56" t="s">
        <v>30</v>
      </c>
      <c r="B309" s="42">
        <v>137.15033220000001</v>
      </c>
      <c r="C309" s="40">
        <v>112.79058000000001</v>
      </c>
      <c r="D309" s="41">
        <f t="shared" si="32"/>
        <v>-0.17761351218950969</v>
      </c>
      <c r="E309" s="40">
        <v>4883010.3</v>
      </c>
      <c r="F309" s="40">
        <v>4637363.0310000004</v>
      </c>
      <c r="G309" s="39">
        <f t="shared" si="33"/>
        <v>-5.0306522802132818E-2</v>
      </c>
      <c r="H309" s="38">
        <f t="shared" si="34"/>
        <v>2.5982815697937656E-3</v>
      </c>
      <c r="I309" s="37">
        <f t="shared" si="35"/>
        <v>3.0352320091954765E-3</v>
      </c>
      <c r="J309" s="36">
        <f t="shared" si="36"/>
        <v>98.734699652163087</v>
      </c>
      <c r="K309" s="36">
        <f t="shared" si="37"/>
        <v>63.917726616926636</v>
      </c>
      <c r="L309" s="36">
        <f t="shared" si="38"/>
        <v>70.153602384431665</v>
      </c>
      <c r="M309" s="36">
        <f t="shared" si="39"/>
        <v>232.80602865352137</v>
      </c>
    </row>
    <row r="310" spans="1:13" ht="16.2" thickBot="1" x14ac:dyDescent="0.35">
      <c r="A310" s="35" t="s">
        <v>29</v>
      </c>
      <c r="B310" s="34">
        <v>3124.3353882000001</v>
      </c>
      <c r="C310" s="32">
        <v>2173.9400182500003</v>
      </c>
      <c r="D310" s="33">
        <f t="shared" si="32"/>
        <v>-0.30419121248616782</v>
      </c>
      <c r="E310" s="32">
        <v>79436926.800000012</v>
      </c>
      <c r="F310" s="32">
        <v>117290282.94771257</v>
      </c>
      <c r="G310" s="31">
        <f t="shared" si="33"/>
        <v>0.47652090372298433</v>
      </c>
      <c r="H310" s="30">
        <f t="shared" si="34"/>
        <v>6.5716912491369184E-2</v>
      </c>
      <c r="I310" s="29">
        <f t="shared" si="35"/>
        <v>4.937722595741361E-2</v>
      </c>
      <c r="J310" s="28">
        <f t="shared" si="36"/>
        <v>2497.2426746720289</v>
      </c>
      <c r="K310" s="28">
        <f t="shared" si="37"/>
        <v>1616.636047287682</v>
      </c>
      <c r="L310" s="28">
        <f t="shared" si="38"/>
        <v>1774.3566372669679</v>
      </c>
      <c r="M310" s="28">
        <f t="shared" si="39"/>
        <v>5888.2353592266791</v>
      </c>
    </row>
    <row r="311" spans="1:13" ht="15.6" x14ac:dyDescent="0.3">
      <c r="A311" s="53" t="s">
        <v>28</v>
      </c>
      <c r="B311" s="49">
        <v>381.592353</v>
      </c>
      <c r="C311" s="49">
        <v>198.17568750000001</v>
      </c>
      <c r="D311" s="50">
        <f t="shared" si="32"/>
        <v>-0.48066127127028668</v>
      </c>
      <c r="E311" s="49">
        <v>10308032.279999999</v>
      </c>
      <c r="F311" s="49">
        <v>9982524.3000000007</v>
      </c>
      <c r="G311" s="48">
        <f t="shared" si="33"/>
        <v>-3.1578090867212402E-2</v>
      </c>
      <c r="H311" s="47">
        <f t="shared" si="34"/>
        <v>5.5931374652622946E-3</v>
      </c>
      <c r="I311" s="46">
        <f t="shared" si="35"/>
        <v>6.4073732402481782E-3</v>
      </c>
      <c r="J311" s="45">
        <f t="shared" si="36"/>
        <v>212.53922367996719</v>
      </c>
      <c r="K311" s="45">
        <f t="shared" si="37"/>
        <v>137.59118164545245</v>
      </c>
      <c r="L311" s="45">
        <f t="shared" si="38"/>
        <v>151.01471156208194</v>
      </c>
      <c r="M311" s="44">
        <f t="shared" si="39"/>
        <v>501.14511688750156</v>
      </c>
    </row>
    <row r="312" spans="1:13" ht="15.6" x14ac:dyDescent="0.3">
      <c r="A312" s="52" t="s">
        <v>27</v>
      </c>
      <c r="B312" s="49">
        <v>0</v>
      </c>
      <c r="C312" s="49">
        <v>65.369062499999998</v>
      </c>
      <c r="D312" s="50">
        <f t="shared" si="32"/>
        <v>1</v>
      </c>
      <c r="E312" s="49">
        <v>0</v>
      </c>
      <c r="F312" s="49">
        <v>0</v>
      </c>
      <c r="G312" s="48">
        <f t="shared" si="33"/>
        <v>1</v>
      </c>
      <c r="H312" s="47">
        <f t="shared" si="34"/>
        <v>0</v>
      </c>
      <c r="I312" s="46">
        <f t="shared" si="35"/>
        <v>0</v>
      </c>
      <c r="J312" s="45">
        <f t="shared" si="36"/>
        <v>0</v>
      </c>
      <c r="K312" s="45">
        <f t="shared" si="37"/>
        <v>0</v>
      </c>
      <c r="L312" s="45">
        <f t="shared" si="38"/>
        <v>0</v>
      </c>
      <c r="M312" s="44">
        <f t="shared" si="39"/>
        <v>0</v>
      </c>
    </row>
    <row r="313" spans="1:13" ht="15.6" x14ac:dyDescent="0.3">
      <c r="A313" s="52" t="s">
        <v>26</v>
      </c>
      <c r="B313" s="49">
        <v>87.928335000000004</v>
      </c>
      <c r="C313" s="49">
        <v>51.097725000000004</v>
      </c>
      <c r="D313" s="50">
        <f t="shared" si="32"/>
        <v>-0.4188707769799121</v>
      </c>
      <c r="E313" s="49">
        <v>2348040</v>
      </c>
      <c r="F313" s="49">
        <v>2990967.5040000002</v>
      </c>
      <c r="G313" s="48">
        <f t="shared" si="33"/>
        <v>0.27381454489702056</v>
      </c>
      <c r="H313" s="47">
        <f t="shared" si="34"/>
        <v>1.6758178493995201E-3</v>
      </c>
      <c r="I313" s="46">
        <f t="shared" si="35"/>
        <v>1.4595189706790802E-3</v>
      </c>
      <c r="J313" s="45">
        <f t="shared" si="36"/>
        <v>63.681078277181768</v>
      </c>
      <c r="K313" s="45">
        <f t="shared" si="37"/>
        <v>41.225119095228195</v>
      </c>
      <c r="L313" s="45">
        <f t="shared" si="38"/>
        <v>45.247081933787044</v>
      </c>
      <c r="M313" s="44">
        <f t="shared" si="39"/>
        <v>150.15327930619702</v>
      </c>
    </row>
    <row r="314" spans="1:13" ht="16.2" thickBot="1" x14ac:dyDescent="0.35">
      <c r="A314" s="51" t="s">
        <v>25</v>
      </c>
      <c r="B314" s="49">
        <v>218.00245799999999</v>
      </c>
      <c r="C314" s="49">
        <v>76.7345775</v>
      </c>
      <c r="D314" s="50">
        <f t="shared" si="32"/>
        <v>-0.64801049399176958</v>
      </c>
      <c r="E314" s="49">
        <v>5919492.4800000004</v>
      </c>
      <c r="F314" s="49">
        <v>2794025.85</v>
      </c>
      <c r="G314" s="48">
        <f t="shared" si="33"/>
        <v>-0.52799570918620375</v>
      </c>
      <c r="H314" s="47">
        <f t="shared" si="34"/>
        <v>1.565472839424626E-3</v>
      </c>
      <c r="I314" s="46">
        <f t="shared" si="35"/>
        <v>3.6794993148975982E-3</v>
      </c>
      <c r="J314" s="45">
        <f t="shared" si="36"/>
        <v>59.487967898135786</v>
      </c>
      <c r="K314" s="45">
        <f t="shared" si="37"/>
        <v>38.510631849845801</v>
      </c>
      <c r="L314" s="45">
        <f t="shared" si="38"/>
        <v>42.267766664464901</v>
      </c>
      <c r="M314" s="44">
        <f t="shared" si="39"/>
        <v>140.26636641244647</v>
      </c>
    </row>
    <row r="315" spans="1:13" ht="16.2" thickBot="1" x14ac:dyDescent="0.35">
      <c r="A315" s="43" t="s">
        <v>24</v>
      </c>
      <c r="B315" s="42">
        <v>687.523146</v>
      </c>
      <c r="C315" s="40">
        <v>391.37705250000005</v>
      </c>
      <c r="D315" s="41">
        <f t="shared" si="32"/>
        <v>-0.43074345238116529</v>
      </c>
      <c r="E315" s="40">
        <v>18575564.759999998</v>
      </c>
      <c r="F315" s="40">
        <v>15767517.654000001</v>
      </c>
      <c r="G315" s="39">
        <f t="shared" si="33"/>
        <v>-0.15116886847213129</v>
      </c>
      <c r="H315" s="38">
        <f t="shared" si="34"/>
        <v>8.8344281540864399E-3</v>
      </c>
      <c r="I315" s="37">
        <f t="shared" si="35"/>
        <v>1.1546391525824855E-2</v>
      </c>
      <c r="J315" s="36">
        <f t="shared" si="36"/>
        <v>335.7082698552847</v>
      </c>
      <c r="K315" s="36">
        <f t="shared" si="37"/>
        <v>217.32693259052641</v>
      </c>
      <c r="L315" s="36">
        <f t="shared" si="38"/>
        <v>238.52956016033389</v>
      </c>
      <c r="M315" s="36">
        <f t="shared" si="39"/>
        <v>791.564762606145</v>
      </c>
    </row>
    <row r="316" spans="1:13" ht="15.6" x14ac:dyDescent="0.3">
      <c r="A316" s="53" t="s">
        <v>23</v>
      </c>
      <c r="B316" s="49">
        <v>150.829083</v>
      </c>
      <c r="C316" s="49">
        <v>118.81086000000001</v>
      </c>
      <c r="D316" s="50">
        <f t="shared" si="32"/>
        <v>-0.2122814934835876</v>
      </c>
      <c r="E316" s="49">
        <v>4546145.0999999996</v>
      </c>
      <c r="F316" s="49">
        <v>5728530.1500000004</v>
      </c>
      <c r="G316" s="48">
        <f t="shared" si="33"/>
        <v>0.26008519833649851</v>
      </c>
      <c r="H316" s="47">
        <f t="shared" si="34"/>
        <v>3.2096547566480386E-3</v>
      </c>
      <c r="I316" s="46">
        <f t="shared" si="35"/>
        <v>2.8258398566079553E-3</v>
      </c>
      <c r="J316" s="45">
        <f t="shared" si="36"/>
        <v>121.96688075262547</v>
      </c>
      <c r="K316" s="45">
        <f t="shared" si="37"/>
        <v>78.957507013541758</v>
      </c>
      <c r="L316" s="45">
        <f t="shared" si="38"/>
        <v>86.66067842949704</v>
      </c>
      <c r="M316" s="44">
        <f t="shared" si="39"/>
        <v>287.58506619566424</v>
      </c>
    </row>
    <row r="317" spans="1:13" ht="15.6" x14ac:dyDescent="0.3">
      <c r="A317" s="52" t="s">
        <v>22</v>
      </c>
      <c r="B317" s="49">
        <v>0</v>
      </c>
      <c r="C317" s="49">
        <v>44.58684825000001</v>
      </c>
      <c r="D317" s="50">
        <f t="shared" si="32"/>
        <v>1</v>
      </c>
      <c r="E317" s="49">
        <v>0</v>
      </c>
      <c r="F317" s="49">
        <v>3159931.0164372469</v>
      </c>
      <c r="G317" s="48">
        <f t="shared" si="33"/>
        <v>1</v>
      </c>
      <c r="H317" s="47">
        <f t="shared" si="34"/>
        <v>1.7704869053691687E-3</v>
      </c>
      <c r="I317" s="46">
        <f t="shared" si="35"/>
        <v>0</v>
      </c>
      <c r="J317" s="45">
        <f t="shared" si="36"/>
        <v>67.278502404028416</v>
      </c>
      <c r="K317" s="45">
        <f t="shared" si="37"/>
        <v>43.553977872081546</v>
      </c>
      <c r="L317" s="45">
        <f t="shared" si="38"/>
        <v>47.803146444967552</v>
      </c>
      <c r="M317" s="44">
        <f t="shared" si="39"/>
        <v>158.63562672107753</v>
      </c>
    </row>
    <row r="318" spans="1:13" ht="15.6" x14ac:dyDescent="0.3">
      <c r="A318" s="52" t="s">
        <v>21</v>
      </c>
      <c r="B318" s="49">
        <v>0</v>
      </c>
      <c r="C318" s="49">
        <v>75.431658749999997</v>
      </c>
      <c r="D318" s="50">
        <f t="shared" si="32"/>
        <v>1</v>
      </c>
      <c r="E318" s="49">
        <v>0</v>
      </c>
      <c r="F318" s="49">
        <v>5895313.8170813406</v>
      </c>
      <c r="G318" s="48">
        <f t="shared" si="33"/>
        <v>1</v>
      </c>
      <c r="H318" s="47">
        <f t="shared" si="34"/>
        <v>3.3031024607469385E-3</v>
      </c>
      <c r="I318" s="46">
        <f t="shared" si="35"/>
        <v>0</v>
      </c>
      <c r="J318" s="45">
        <f t="shared" si="36"/>
        <v>125.51789350838366</v>
      </c>
      <c r="K318" s="45">
        <f t="shared" si="37"/>
        <v>81.25632053437468</v>
      </c>
      <c r="L318" s="45">
        <f t="shared" si="38"/>
        <v>89.183766440167332</v>
      </c>
      <c r="M318" s="44">
        <f t="shared" si="39"/>
        <v>295.95798048292568</v>
      </c>
    </row>
    <row r="319" spans="1:13" ht="15.6" x14ac:dyDescent="0.3">
      <c r="A319" s="52" t="s">
        <v>20</v>
      </c>
      <c r="B319" s="49">
        <v>359.66556600000001</v>
      </c>
      <c r="C319" s="49">
        <v>50.786237250000006</v>
      </c>
      <c r="D319" s="50">
        <f t="shared" si="32"/>
        <v>-0.85879594253401503</v>
      </c>
      <c r="E319" s="49">
        <v>8262000</v>
      </c>
      <c r="F319" s="49">
        <v>3925637.2582407072</v>
      </c>
      <c r="G319" s="48">
        <f t="shared" si="33"/>
        <v>-0.52485629892995556</v>
      </c>
      <c r="H319" s="47">
        <f t="shared" si="34"/>
        <v>2.1995066742883512E-3</v>
      </c>
      <c r="I319" s="46">
        <f t="shared" si="35"/>
        <v>5.1355793494789531E-3</v>
      </c>
      <c r="J319" s="45">
        <f t="shared" si="36"/>
        <v>83.581253622957348</v>
      </c>
      <c r="K319" s="45">
        <f t="shared" si="37"/>
        <v>54.107864187493441</v>
      </c>
      <c r="L319" s="45">
        <f t="shared" si="38"/>
        <v>59.386680205785481</v>
      </c>
      <c r="M319" s="44">
        <f t="shared" si="39"/>
        <v>197.07579801623626</v>
      </c>
    </row>
    <row r="320" spans="1:13" ht="15.6" x14ac:dyDescent="0.3">
      <c r="A320" s="52" t="s">
        <v>19</v>
      </c>
      <c r="B320" s="49">
        <v>0</v>
      </c>
      <c r="C320" s="49">
        <v>49.75300575</v>
      </c>
      <c r="D320" s="50">
        <f t="shared" si="32"/>
        <v>1</v>
      </c>
      <c r="E320" s="49">
        <v>0</v>
      </c>
      <c r="F320" s="49">
        <v>3925637.2582407072</v>
      </c>
      <c r="G320" s="48">
        <f t="shared" si="33"/>
        <v>1</v>
      </c>
      <c r="H320" s="47">
        <f t="shared" si="34"/>
        <v>2.1995066742883512E-3</v>
      </c>
      <c r="I320" s="46">
        <f t="shared" si="35"/>
        <v>0</v>
      </c>
      <c r="J320" s="45">
        <f t="shared" si="36"/>
        <v>83.581253622957348</v>
      </c>
      <c r="K320" s="45">
        <f t="shared" si="37"/>
        <v>54.107864187493441</v>
      </c>
      <c r="L320" s="45">
        <f t="shared" si="38"/>
        <v>59.386680205785481</v>
      </c>
      <c r="M320" s="44">
        <f t="shared" si="39"/>
        <v>197.07579801623626</v>
      </c>
    </row>
    <row r="321" spans="1:13" ht="15.6" x14ac:dyDescent="0.3">
      <c r="A321" s="52" t="s">
        <v>18</v>
      </c>
      <c r="B321" s="49">
        <v>165.08343000000002</v>
      </c>
      <c r="C321" s="49">
        <v>86.629200000000012</v>
      </c>
      <c r="D321" s="50">
        <f t="shared" si="32"/>
        <v>-0.47523988325175942</v>
      </c>
      <c r="E321" s="49">
        <v>3685088.64</v>
      </c>
      <c r="F321" s="49">
        <v>6116838</v>
      </c>
      <c r="G321" s="48">
        <f t="shared" si="33"/>
        <v>0.65988897352547804</v>
      </c>
      <c r="H321" s="47">
        <f t="shared" si="34"/>
        <v>3.4272208870796419E-3</v>
      </c>
      <c r="I321" s="46">
        <f t="shared" si="35"/>
        <v>2.2906154830045363E-3</v>
      </c>
      <c r="J321" s="45">
        <f t="shared" si="36"/>
        <v>130.23439370902639</v>
      </c>
      <c r="K321" s="45">
        <f t="shared" si="37"/>
        <v>84.309633822159185</v>
      </c>
      <c r="L321" s="45">
        <f t="shared" si="38"/>
        <v>92.534963951150331</v>
      </c>
      <c r="M321" s="44">
        <f t="shared" si="39"/>
        <v>307.07899148233594</v>
      </c>
    </row>
    <row r="322" spans="1:13" ht="15.6" x14ac:dyDescent="0.3">
      <c r="A322" s="52" t="s">
        <v>17</v>
      </c>
      <c r="B322" s="49">
        <v>0</v>
      </c>
      <c r="C322" s="49">
        <v>70.830952500000009</v>
      </c>
      <c r="D322" s="50">
        <f t="shared" si="32"/>
        <v>1</v>
      </c>
      <c r="E322" s="49">
        <v>0</v>
      </c>
      <c r="F322" s="49">
        <v>4036294.5</v>
      </c>
      <c r="G322" s="48">
        <f t="shared" si="33"/>
        <v>1</v>
      </c>
      <c r="H322" s="47">
        <f t="shared" si="34"/>
        <v>2.2615071409124582E-3</v>
      </c>
      <c r="I322" s="46">
        <f t="shared" si="35"/>
        <v>0</v>
      </c>
      <c r="J322" s="45">
        <f t="shared" si="36"/>
        <v>85.937271354673413</v>
      </c>
      <c r="K322" s="45">
        <f t="shared" si="37"/>
        <v>55.633075666446473</v>
      </c>
      <c r="L322" s="45">
        <f t="shared" si="38"/>
        <v>61.060692804636368</v>
      </c>
      <c r="M322" s="44">
        <f t="shared" si="39"/>
        <v>202.63103982575626</v>
      </c>
    </row>
    <row r="323" spans="1:13" ht="15.6" x14ac:dyDescent="0.3">
      <c r="A323" s="55" t="s">
        <v>16</v>
      </c>
      <c r="B323" s="49">
        <v>100.17879000000001</v>
      </c>
      <c r="C323" s="49">
        <v>109.61674500000001</v>
      </c>
      <c r="D323" s="50">
        <f t="shared" si="32"/>
        <v>9.4211109956508776E-2</v>
      </c>
      <c r="E323" s="49">
        <v>3212332.92</v>
      </c>
      <c r="F323" s="49">
        <v>4523077.6500000004</v>
      </c>
      <c r="G323" s="48">
        <f t="shared" si="33"/>
        <v>0.40803514537341307</v>
      </c>
      <c r="H323" s="47">
        <f t="shared" si="34"/>
        <v>2.53424828252164E-3</v>
      </c>
      <c r="I323" s="46">
        <f t="shared" si="35"/>
        <v>1.9967550965387828E-3</v>
      </c>
      <c r="J323" s="45">
        <f t="shared" si="36"/>
        <v>96.301434735822326</v>
      </c>
      <c r="K323" s="45">
        <f t="shared" si="37"/>
        <v>62.342507750032347</v>
      </c>
      <c r="L323" s="45">
        <f t="shared" si="38"/>
        <v>68.424703628084274</v>
      </c>
      <c r="M323" s="44">
        <f t="shared" si="39"/>
        <v>227.06864611393894</v>
      </c>
    </row>
    <row r="324" spans="1:13" ht="16.2" thickBot="1" x14ac:dyDescent="0.35">
      <c r="A324" s="54" t="s">
        <v>15</v>
      </c>
      <c r="B324" s="49">
        <v>39.381740999999998</v>
      </c>
      <c r="C324" s="49">
        <v>40.073250000000002</v>
      </c>
      <c r="D324" s="50">
        <f t="shared" si="32"/>
        <v>1.7559127210754942E-2</v>
      </c>
      <c r="E324" s="49">
        <v>1239891.6000000001</v>
      </c>
      <c r="F324" s="49">
        <v>1862141.4000000001</v>
      </c>
      <c r="G324" s="48">
        <f t="shared" si="33"/>
        <v>0.50185822696113114</v>
      </c>
      <c r="H324" s="47">
        <f t="shared" si="34"/>
        <v>1.0433446007194773E-3</v>
      </c>
      <c r="I324" s="46">
        <f t="shared" si="35"/>
        <v>7.7070463526415138E-4</v>
      </c>
      <c r="J324" s="45">
        <f t="shared" si="36"/>
        <v>39.647094827340133</v>
      </c>
      <c r="K324" s="45">
        <f t="shared" si="37"/>
        <v>25.66627717769914</v>
      </c>
      <c r="L324" s="45">
        <f t="shared" si="38"/>
        <v>28.170304219425887</v>
      </c>
      <c r="M324" s="44">
        <f t="shared" si="39"/>
        <v>93.483676224465157</v>
      </c>
    </row>
    <row r="325" spans="1:13" ht="16.2" thickBot="1" x14ac:dyDescent="0.35">
      <c r="A325" s="43" t="s">
        <v>14</v>
      </c>
      <c r="B325" s="42">
        <v>815.13861000000009</v>
      </c>
      <c r="C325" s="40">
        <v>646.51875750000011</v>
      </c>
      <c r="D325" s="41">
        <f t="shared" ref="D325:D388" si="40">IFERROR((C325-B325)/B325,100%)</f>
        <v>-0.206860343052576</v>
      </c>
      <c r="E325" s="40">
        <v>20945458.260000002</v>
      </c>
      <c r="F325" s="40">
        <v>39173401.050000004</v>
      </c>
      <c r="G325" s="39">
        <f t="shared" ref="G325:G388" si="41">IFERROR((F325-E325)/E325,100%)</f>
        <v>0.87025753095172442</v>
      </c>
      <c r="H325" s="38">
        <f t="shared" ref="H325:H339" si="42">F325/$F$3</f>
        <v>2.1948578382574066E-2</v>
      </c>
      <c r="I325" s="37">
        <f t="shared" ref="I325:I339" si="43">E325/$E$3</f>
        <v>1.301949442089438E-2</v>
      </c>
      <c r="J325" s="36">
        <f t="shared" ref="J325:J339" si="44">$J$3*H325</f>
        <v>834.04597853781456</v>
      </c>
      <c r="K325" s="36">
        <f t="shared" ref="K325:K339" si="45">$K$3*H325</f>
        <v>539.93502821132199</v>
      </c>
      <c r="L325" s="36">
        <f t="shared" ref="L325:L339" si="46">$L$3*H325</f>
        <v>592.61161632949984</v>
      </c>
      <c r="M325" s="36">
        <f t="shared" ref="M325:M388" si="47">SUM(J325:L325)</f>
        <v>1966.5926230786365</v>
      </c>
    </row>
    <row r="326" spans="1:13" ht="15.6" x14ac:dyDescent="0.3">
      <c r="A326" s="53" t="s">
        <v>13</v>
      </c>
      <c r="B326" s="49">
        <v>73.450199999999995</v>
      </c>
      <c r="C326" s="49">
        <v>12.600000000000001</v>
      </c>
      <c r="D326" s="50">
        <f t="shared" si="40"/>
        <v>-0.82845519821593405</v>
      </c>
      <c r="E326" s="49">
        <v>2572730.7000000002</v>
      </c>
      <c r="F326" s="49">
        <v>932817.9</v>
      </c>
      <c r="G326" s="48">
        <f t="shared" si="41"/>
        <v>-0.63742108725176727</v>
      </c>
      <c r="H326" s="47">
        <f t="shared" si="42"/>
        <v>5.226512441103996E-4</v>
      </c>
      <c r="I326" s="46">
        <f t="shared" si="43"/>
        <v>1.599184538209941E-3</v>
      </c>
      <c r="J326" s="45">
        <f t="shared" si="44"/>
        <v>19.860747276195184</v>
      </c>
      <c r="K326" s="45">
        <f t="shared" si="45"/>
        <v>12.857220605115829</v>
      </c>
      <c r="L326" s="45">
        <f t="shared" si="46"/>
        <v>14.111583590980789</v>
      </c>
      <c r="M326" s="44">
        <f t="shared" si="47"/>
        <v>46.829551472291797</v>
      </c>
    </row>
    <row r="327" spans="1:13" ht="15.6" x14ac:dyDescent="0.3">
      <c r="A327" s="52" t="s">
        <v>12</v>
      </c>
      <c r="B327" s="49">
        <v>110.80550700000001</v>
      </c>
      <c r="C327" s="49">
        <v>16.199726550000001</v>
      </c>
      <c r="D327" s="50">
        <f t="shared" si="40"/>
        <v>-0.85380034811807681</v>
      </c>
      <c r="E327" s="49">
        <v>3516894.72</v>
      </c>
      <c r="F327" s="49">
        <v>1265147.1136363638</v>
      </c>
      <c r="G327" s="48">
        <f t="shared" si="41"/>
        <v>-0.64026585543158832</v>
      </c>
      <c r="H327" s="47">
        <f t="shared" si="42"/>
        <v>7.088529421709496E-4</v>
      </c>
      <c r="I327" s="46">
        <f t="shared" si="43"/>
        <v>2.1860677678919834E-3</v>
      </c>
      <c r="J327" s="45">
        <f t="shared" si="44"/>
        <v>26.936411802496085</v>
      </c>
      <c r="K327" s="45">
        <f t="shared" si="45"/>
        <v>17.437782377405359</v>
      </c>
      <c r="L327" s="45">
        <f t="shared" si="46"/>
        <v>19.139029438615641</v>
      </c>
      <c r="M327" s="44">
        <f t="shared" si="47"/>
        <v>63.513223618517088</v>
      </c>
    </row>
    <row r="328" spans="1:13" ht="15.6" x14ac:dyDescent="0.3">
      <c r="A328" s="52" t="s">
        <v>11</v>
      </c>
      <c r="B328" s="49">
        <v>0</v>
      </c>
      <c r="C328" s="49">
        <v>21.431930100000002</v>
      </c>
      <c r="D328" s="50">
        <f t="shared" si="40"/>
        <v>1</v>
      </c>
      <c r="E328" s="49">
        <v>0</v>
      </c>
      <c r="F328" s="49">
        <v>1309065.4636363636</v>
      </c>
      <c r="G328" s="48">
        <f t="shared" si="41"/>
        <v>1</v>
      </c>
      <c r="H328" s="47">
        <f t="shared" si="42"/>
        <v>7.3346008174961317E-4</v>
      </c>
      <c r="I328" s="46">
        <f t="shared" si="43"/>
        <v>0</v>
      </c>
      <c r="J328" s="45">
        <f t="shared" si="44"/>
        <v>27.8714831064853</v>
      </c>
      <c r="K328" s="45">
        <f t="shared" si="45"/>
        <v>18.043118011040484</v>
      </c>
      <c r="L328" s="45">
        <f t="shared" si="46"/>
        <v>19.803422207239556</v>
      </c>
      <c r="M328" s="44">
        <f t="shared" si="47"/>
        <v>65.71802332476534</v>
      </c>
    </row>
    <row r="329" spans="1:13" ht="15.6" x14ac:dyDescent="0.3">
      <c r="A329" s="52" t="s">
        <v>10</v>
      </c>
      <c r="B329" s="49">
        <v>0</v>
      </c>
      <c r="C329" s="49">
        <v>12.795926849999999</v>
      </c>
      <c r="D329" s="50">
        <f t="shared" si="40"/>
        <v>1</v>
      </c>
      <c r="E329" s="49">
        <v>0</v>
      </c>
      <c r="F329" s="49">
        <v>953565.8727272728</v>
      </c>
      <c r="G329" s="48">
        <f t="shared" si="41"/>
        <v>1</v>
      </c>
      <c r="H329" s="47">
        <f t="shared" si="42"/>
        <v>5.3427618586878334E-4</v>
      </c>
      <c r="I329" s="46">
        <f t="shared" si="43"/>
        <v>0</v>
      </c>
      <c r="J329" s="45">
        <f t="shared" si="44"/>
        <v>20.302495063013765</v>
      </c>
      <c r="K329" s="45">
        <f t="shared" si="45"/>
        <v>13.14319417237207</v>
      </c>
      <c r="L329" s="45">
        <f t="shared" si="46"/>
        <v>14.42545701845715</v>
      </c>
      <c r="M329" s="44">
        <f t="shared" si="47"/>
        <v>47.871146253842987</v>
      </c>
    </row>
    <row r="330" spans="1:13" ht="15.6" x14ac:dyDescent="0.3">
      <c r="A330" s="52" t="s">
        <v>9</v>
      </c>
      <c r="B330" s="49">
        <v>0</v>
      </c>
      <c r="C330" s="49">
        <v>14.312443950000002</v>
      </c>
      <c r="D330" s="50">
        <f t="shared" si="40"/>
        <v>1</v>
      </c>
      <c r="E330" s="49">
        <v>0</v>
      </c>
      <c r="F330" s="49">
        <v>996843.03205128212</v>
      </c>
      <c r="G330" s="48">
        <f t="shared" si="41"/>
        <v>1</v>
      </c>
      <c r="H330" s="47">
        <f t="shared" si="42"/>
        <v>5.5852407086569148E-4</v>
      </c>
      <c r="I330" s="46">
        <f t="shared" si="43"/>
        <v>0</v>
      </c>
      <c r="J330" s="45">
        <f t="shared" si="44"/>
        <v>21.223914692896276</v>
      </c>
      <c r="K330" s="45">
        <f t="shared" si="45"/>
        <v>13.739692143296011</v>
      </c>
      <c r="L330" s="45">
        <f t="shared" si="46"/>
        <v>15.080149913373671</v>
      </c>
      <c r="M330" s="44">
        <f t="shared" si="47"/>
        <v>50.043756749565958</v>
      </c>
    </row>
    <row r="331" spans="1:13" ht="15.6" x14ac:dyDescent="0.3">
      <c r="A331" s="52" t="s">
        <v>8</v>
      </c>
      <c r="B331" s="49">
        <v>115.12561500000001</v>
      </c>
      <c r="C331" s="49">
        <v>64.285201049999998</v>
      </c>
      <c r="D331" s="50">
        <f t="shared" si="40"/>
        <v>-0.4416081855458493</v>
      </c>
      <c r="E331" s="49">
        <v>4605492.78</v>
      </c>
      <c r="F331" s="49">
        <v>3412130.0679487186</v>
      </c>
      <c r="G331" s="48">
        <f t="shared" si="41"/>
        <v>-0.25911726910823246</v>
      </c>
      <c r="H331" s="47">
        <f t="shared" si="42"/>
        <v>1.9117922427087861E-3</v>
      </c>
      <c r="I331" s="46">
        <f t="shared" si="43"/>
        <v>2.8627298009129042E-3</v>
      </c>
      <c r="J331" s="45">
        <f t="shared" si="44"/>
        <v>72.648105222933864</v>
      </c>
      <c r="K331" s="45">
        <f t="shared" si="45"/>
        <v>47.030089170636138</v>
      </c>
      <c r="L331" s="45">
        <f t="shared" si="46"/>
        <v>51.618390553137225</v>
      </c>
      <c r="M331" s="44">
        <f t="shared" si="47"/>
        <v>171.29658494670724</v>
      </c>
    </row>
    <row r="332" spans="1:13" ht="15.6" x14ac:dyDescent="0.3">
      <c r="A332" s="52" t="s">
        <v>7</v>
      </c>
      <c r="B332" s="49">
        <v>0</v>
      </c>
      <c r="C332" s="49">
        <v>0</v>
      </c>
      <c r="D332" s="50">
        <f t="shared" si="40"/>
        <v>1</v>
      </c>
      <c r="E332" s="49">
        <v>0</v>
      </c>
      <c r="F332" s="49">
        <v>0</v>
      </c>
      <c r="G332" s="48">
        <f t="shared" si="41"/>
        <v>1</v>
      </c>
      <c r="H332" s="47">
        <f t="shared" si="42"/>
        <v>0</v>
      </c>
      <c r="I332" s="46">
        <f t="shared" si="43"/>
        <v>0</v>
      </c>
      <c r="J332" s="45">
        <f t="shared" si="44"/>
        <v>0</v>
      </c>
      <c r="K332" s="45">
        <f t="shared" si="45"/>
        <v>0</v>
      </c>
      <c r="L332" s="45">
        <f t="shared" si="46"/>
        <v>0</v>
      </c>
      <c r="M332" s="44">
        <f t="shared" si="47"/>
        <v>0</v>
      </c>
    </row>
    <row r="333" spans="1:13" ht="15.6" x14ac:dyDescent="0.3">
      <c r="A333" s="52" t="s">
        <v>6</v>
      </c>
      <c r="B333" s="49">
        <v>48.996057000000008</v>
      </c>
      <c r="C333" s="49">
        <v>0</v>
      </c>
      <c r="D333" s="50">
        <f t="shared" si="40"/>
        <v>-1</v>
      </c>
      <c r="E333" s="49">
        <v>1495971.78</v>
      </c>
      <c r="F333" s="49">
        <v>283062.15000000002</v>
      </c>
      <c r="G333" s="48">
        <f t="shared" si="41"/>
        <v>-0.81078376358142257</v>
      </c>
      <c r="H333" s="47">
        <f t="shared" si="42"/>
        <v>1.5859771222021421E-4</v>
      </c>
      <c r="I333" s="46">
        <f t="shared" si="43"/>
        <v>9.2988160019018056E-4</v>
      </c>
      <c r="J333" s="45">
        <f t="shared" si="44"/>
        <v>6.0267130643681401</v>
      </c>
      <c r="K333" s="45">
        <f t="shared" si="45"/>
        <v>3.9015037206172698</v>
      </c>
      <c r="L333" s="45">
        <f t="shared" si="46"/>
        <v>4.282138229945784</v>
      </c>
      <c r="M333" s="44">
        <f t="shared" si="47"/>
        <v>14.210355014931192</v>
      </c>
    </row>
    <row r="334" spans="1:13" ht="15.6" x14ac:dyDescent="0.3">
      <c r="A334" s="52" t="s">
        <v>5</v>
      </c>
      <c r="B334" s="49">
        <v>85.68</v>
      </c>
      <c r="C334" s="49">
        <v>25.200000000000003</v>
      </c>
      <c r="D334" s="50">
        <f t="shared" si="40"/>
        <v>-0.70588235294117652</v>
      </c>
      <c r="E334" s="49">
        <v>2087674.8</v>
      </c>
      <c r="F334" s="49">
        <v>1780800</v>
      </c>
      <c r="G334" s="48">
        <f t="shared" si="41"/>
        <v>-0.14699358348340461</v>
      </c>
      <c r="H334" s="47">
        <f t="shared" si="42"/>
        <v>9.9776959201983541E-4</v>
      </c>
      <c r="I334" s="46">
        <f t="shared" si="43"/>
        <v>1.2976784787348829E-3</v>
      </c>
      <c r="J334" s="45">
        <f t="shared" si="44"/>
        <v>37.915244496753743</v>
      </c>
      <c r="K334" s="45">
        <f t="shared" si="45"/>
        <v>24.54513196368795</v>
      </c>
      <c r="L334" s="45">
        <f t="shared" si="46"/>
        <v>26.939778984535558</v>
      </c>
      <c r="M334" s="44">
        <f t="shared" si="47"/>
        <v>89.400155444977258</v>
      </c>
    </row>
    <row r="335" spans="1:13" ht="16.2" thickBot="1" x14ac:dyDescent="0.35">
      <c r="A335" s="51" t="s">
        <v>4</v>
      </c>
      <c r="B335" s="49">
        <v>0</v>
      </c>
      <c r="C335" s="49">
        <v>25.202100000000005</v>
      </c>
      <c r="D335" s="50">
        <f t="shared" si="40"/>
        <v>1</v>
      </c>
      <c r="E335" s="49">
        <v>0</v>
      </c>
      <c r="F335" s="49">
        <v>1451437.05</v>
      </c>
      <c r="G335" s="48">
        <f t="shared" si="41"/>
        <v>1</v>
      </c>
      <c r="H335" s="47">
        <f t="shared" si="42"/>
        <v>8.132298704071055E-4</v>
      </c>
      <c r="I335" s="46">
        <f t="shared" si="43"/>
        <v>0</v>
      </c>
      <c r="J335" s="45">
        <f t="shared" si="44"/>
        <v>30.902735075470009</v>
      </c>
      <c r="K335" s="45">
        <f t="shared" si="45"/>
        <v>20.005454812014793</v>
      </c>
      <c r="L335" s="45">
        <f t="shared" si="46"/>
        <v>21.957206500991848</v>
      </c>
      <c r="M335" s="44">
        <f t="shared" si="47"/>
        <v>72.865396388476654</v>
      </c>
    </row>
    <row r="336" spans="1:13" ht="16.2" thickBot="1" x14ac:dyDescent="0.35">
      <c r="A336" s="43" t="s">
        <v>3</v>
      </c>
      <c r="B336" s="42">
        <v>434.05737900000003</v>
      </c>
      <c r="C336" s="40">
        <v>192.02732849999998</v>
      </c>
      <c r="D336" s="41">
        <f t="shared" si="40"/>
        <v>-0.55759920740801416</v>
      </c>
      <c r="E336" s="40">
        <v>14278764.779999999</v>
      </c>
      <c r="F336" s="40">
        <v>12384868.650000002</v>
      </c>
      <c r="G336" s="39">
        <f t="shared" si="41"/>
        <v>-0.13263725253410871</v>
      </c>
      <c r="H336" s="38">
        <f t="shared" si="42"/>
        <v>6.9391539421213792E-3</v>
      </c>
      <c r="I336" s="37">
        <f t="shared" si="43"/>
        <v>8.8755421859398921E-3</v>
      </c>
      <c r="J336" s="36">
        <f t="shared" si="44"/>
        <v>263.68784980061241</v>
      </c>
      <c r="K336" s="36">
        <f t="shared" si="45"/>
        <v>170.70318697618592</v>
      </c>
      <c r="L336" s="36">
        <f t="shared" si="46"/>
        <v>187.35715643727724</v>
      </c>
      <c r="M336" s="36">
        <f t="shared" si="47"/>
        <v>621.74819321407563</v>
      </c>
    </row>
    <row r="337" spans="1:13" ht="16.2" thickBot="1" x14ac:dyDescent="0.35">
      <c r="A337" s="35" t="s">
        <v>2</v>
      </c>
      <c r="B337" s="34">
        <v>1936.7191350000001</v>
      </c>
      <c r="C337" s="32">
        <v>1229.9231385000001</v>
      </c>
      <c r="D337" s="33">
        <f t="shared" si="40"/>
        <v>-0.36494501640786442</v>
      </c>
      <c r="E337" s="32">
        <v>53799787.799999997</v>
      </c>
      <c r="F337" s="32">
        <v>67325787.354000002</v>
      </c>
      <c r="G337" s="31">
        <f t="shared" si="41"/>
        <v>0.25141362275038576</v>
      </c>
      <c r="H337" s="30">
        <f t="shared" si="42"/>
        <v>3.772216047878188E-2</v>
      </c>
      <c r="I337" s="29">
        <f t="shared" si="43"/>
        <v>3.3441428132659129E-2</v>
      </c>
      <c r="J337" s="28">
        <f t="shared" si="44"/>
        <v>1433.4420981937114</v>
      </c>
      <c r="K337" s="28">
        <f t="shared" si="45"/>
        <v>927.96514777803429</v>
      </c>
      <c r="L337" s="28">
        <f t="shared" si="46"/>
        <v>1018.4983329271107</v>
      </c>
      <c r="M337" s="28">
        <f t="shared" si="47"/>
        <v>3379.9055788988567</v>
      </c>
    </row>
    <row r="338" spans="1:13" ht="15" thickBot="1" x14ac:dyDescent="0.35">
      <c r="A338" s="27" t="s">
        <v>1</v>
      </c>
      <c r="B338" s="26">
        <v>5061.0545232000004</v>
      </c>
      <c r="C338" s="24">
        <v>3403.8631567500006</v>
      </c>
      <c r="D338" s="25">
        <f t="shared" si="40"/>
        <v>-0.3274399354627367</v>
      </c>
      <c r="E338" s="24">
        <v>133236714.60000001</v>
      </c>
      <c r="F338" s="24">
        <v>184616070.30171257</v>
      </c>
      <c r="G338" s="23">
        <f t="shared" si="41"/>
        <v>0.38562460697085188</v>
      </c>
      <c r="H338" s="22">
        <f t="shared" si="42"/>
        <v>0.10343907297015106</v>
      </c>
      <c r="I338" s="21">
        <f t="shared" si="43"/>
        <v>8.2818654090072732E-2</v>
      </c>
      <c r="J338" s="20">
        <f t="shared" si="44"/>
        <v>3930.6847728657403</v>
      </c>
      <c r="K338" s="20">
        <f t="shared" si="45"/>
        <v>2544.6011950657162</v>
      </c>
      <c r="L338" s="20">
        <f t="shared" si="46"/>
        <v>2792.8549701940788</v>
      </c>
      <c r="M338" s="20">
        <f t="shared" si="47"/>
        <v>9268.1409381255362</v>
      </c>
    </row>
    <row r="339" spans="1:13" ht="16.2" thickBot="1" x14ac:dyDescent="0.35">
      <c r="A339" s="19" t="s">
        <v>0</v>
      </c>
      <c r="B339" s="18">
        <v>55197.687304200001</v>
      </c>
      <c r="C339" s="17">
        <v>36479.581178250002</v>
      </c>
      <c r="D339" s="16">
        <f t="shared" si="40"/>
        <v>-0.33911033306146748</v>
      </c>
      <c r="E339" s="15">
        <v>1608776622.4152002</v>
      </c>
      <c r="F339" s="15">
        <v>1784780789.3153334</v>
      </c>
      <c r="G339" s="14">
        <f t="shared" si="41"/>
        <v>0.10940248910125522</v>
      </c>
      <c r="H339" s="13">
        <f t="shared" si="42"/>
        <v>1</v>
      </c>
      <c r="I339" s="12">
        <f t="shared" si="43"/>
        <v>1.0000000000000002</v>
      </c>
      <c r="J339" s="11">
        <f t="shared" si="44"/>
        <v>38000</v>
      </c>
      <c r="K339" s="11">
        <f t="shared" si="45"/>
        <v>24600</v>
      </c>
      <c r="L339" s="11">
        <f t="shared" si="46"/>
        <v>27000</v>
      </c>
      <c r="M339" s="11">
        <f t="shared" si="47"/>
        <v>89600</v>
      </c>
    </row>
    <row r="340" spans="1:13" x14ac:dyDescent="0.3">
      <c r="D340" s="9"/>
      <c r="E340" s="10"/>
      <c r="F340" s="10"/>
      <c r="G340" s="9"/>
    </row>
    <row r="343" spans="1:13" x14ac:dyDescent="0.3">
      <c r="D343" s="8"/>
    </row>
    <row r="344" spans="1:13" x14ac:dyDescent="0.3">
      <c r="E344" s="7"/>
    </row>
  </sheetData>
  <autoFilter ref="A4:N339" xr:uid="{33AC77EB-C3CD-4F4E-A40D-EA35EC2E55D1}"/>
  <mergeCells count="6">
    <mergeCell ref="B1:G1"/>
    <mergeCell ref="B2:D2"/>
    <mergeCell ref="E2:G2"/>
    <mergeCell ref="A1:A4"/>
    <mergeCell ref="J1:M1"/>
    <mergeCell ref="J2:M2"/>
  </mergeCells>
  <conditionalFormatting sqref="A1">
    <cfRule type="duplicateValues" dxfId="101" priority="31"/>
    <cfRule type="duplicateValues" dxfId="100" priority="32"/>
  </conditionalFormatting>
  <conditionalFormatting sqref="A1:A4">
    <cfRule type="duplicateValues" dxfId="99" priority="33"/>
  </conditionalFormatting>
  <conditionalFormatting sqref="A54:A61 A51:A52 A38:A43 A28:A35 A13:A19 A21:A26 A5:A11 A45:A49">
    <cfRule type="duplicateValues" dxfId="98" priority="18"/>
  </conditionalFormatting>
  <conditionalFormatting sqref="A82">
    <cfRule type="duplicateValues" dxfId="97" priority="11"/>
  </conditionalFormatting>
  <conditionalFormatting sqref="A89">
    <cfRule type="duplicateValues" dxfId="96" priority="8"/>
  </conditionalFormatting>
  <conditionalFormatting sqref="A90">
    <cfRule type="duplicateValues" dxfId="95" priority="6"/>
  </conditionalFormatting>
  <conditionalFormatting sqref="A97">
    <cfRule type="duplicateValues" dxfId="94" priority="7"/>
  </conditionalFormatting>
  <conditionalFormatting sqref="A105">
    <cfRule type="duplicateValues" dxfId="93" priority="10"/>
  </conditionalFormatting>
  <conditionalFormatting sqref="A106:A111 A98:A104 A91:A96 A83:A88 A64:A70 A74:A81">
    <cfRule type="duplicateValues" dxfId="92" priority="19"/>
  </conditionalFormatting>
  <conditionalFormatting sqref="A112">
    <cfRule type="duplicateValues" dxfId="91" priority="9"/>
  </conditionalFormatting>
  <conditionalFormatting sqref="A126:A134">
    <cfRule type="duplicateValues" dxfId="90" priority="21"/>
  </conditionalFormatting>
  <conditionalFormatting sqref="A134">
    <cfRule type="duplicateValues" dxfId="89" priority="20"/>
  </conditionalFormatting>
  <conditionalFormatting sqref="A136:A142 A122:A124 A115:A119">
    <cfRule type="duplicateValues" dxfId="88" priority="12"/>
  </conditionalFormatting>
  <conditionalFormatting sqref="A164:A166 A168:A173 A154:A162 A145:A152">
    <cfRule type="duplicateValues" dxfId="87" priority="16"/>
  </conditionalFormatting>
  <conditionalFormatting sqref="A185:A190 A136:A142 A38:A43 A28:A35 A13:A19 A21:A26 A5:A11 A122:A124 A164:A166 A168:A173 A176 A178:A183 A64:A70 A83:A88 A91:A96 A98:A104 A115:A119 A154:A162 A192:A196 A198:A205 A45:A52 A106:A111 A126:A134 A145:A152 A54:A61 A74:A81">
    <cfRule type="duplicateValues" dxfId="86" priority="22"/>
  </conditionalFormatting>
  <conditionalFormatting sqref="A185:A190 A176 A178:A183 A192:A196 A198:A205">
    <cfRule type="duplicateValues" dxfId="85" priority="23"/>
  </conditionalFormatting>
  <conditionalFormatting sqref="A230">
    <cfRule type="duplicateValues" dxfId="84" priority="26"/>
    <cfRule type="duplicateValues" dxfId="83" priority="27"/>
    <cfRule type="duplicateValues" dxfId="82" priority="28"/>
    <cfRule type="duplicateValues" dxfId="81" priority="29"/>
    <cfRule type="duplicateValues" dxfId="80" priority="30"/>
  </conditionalFormatting>
  <conditionalFormatting sqref="A241:A248 A225:A228 A209:A214 A216:A223 A231:A239">
    <cfRule type="duplicateValues" dxfId="79" priority="13"/>
  </conditionalFormatting>
  <conditionalFormatting sqref="A276 A251:A256 A264:A269 A258:A262 A271:A274">
    <cfRule type="duplicateValues" dxfId="78" priority="14"/>
  </conditionalFormatting>
  <conditionalFormatting sqref="A298:A308 A290:A296 A280:A288">
    <cfRule type="duplicateValues" dxfId="77" priority="24"/>
  </conditionalFormatting>
  <conditionalFormatting sqref="A311">
    <cfRule type="duplicateValues" dxfId="76" priority="25"/>
  </conditionalFormatting>
  <conditionalFormatting sqref="A312:A314 A316:A324 A326">
    <cfRule type="duplicateValues" dxfId="75" priority="17"/>
  </conditionalFormatting>
  <conditionalFormatting sqref="A327:A334">
    <cfRule type="duplicateValues" dxfId="74" priority="15"/>
  </conditionalFormatting>
  <conditionalFormatting sqref="G1:G1048576">
    <cfRule type="cellIs" dxfId="73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85095D91-F3CD-4E89-8CFD-3DD8924F223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D1:D2 D340:D1048576</xm:sqref>
        </x14:conditionalFormatting>
        <x14:conditionalFormatting xmlns:xm="http://schemas.microsoft.com/office/excel/2006/main">
          <x14:cfRule type="iconSet" priority="2" id="{45F23A9C-FAA3-4849-9023-2D32DDCA7B76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D3</xm:sqref>
        </x14:conditionalFormatting>
        <x14:conditionalFormatting xmlns:xm="http://schemas.microsoft.com/office/excel/2006/main">
          <x14:cfRule type="iconSet" priority="3" id="{F4C1400A-1207-44D2-89C9-D26806E8F27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D4:D339</xm:sqref>
        </x14:conditionalFormatting>
        <x14:conditionalFormatting xmlns:xm="http://schemas.microsoft.com/office/excel/2006/main">
          <x14:cfRule type="iconSet" priority="4" id="{A357D470-CB23-450D-8D48-A479A33982BA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G3:G339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F747-7EF6-4C1C-A9B2-F6147C1BD59A}">
  <dimension ref="A1:Y350"/>
  <sheetViews>
    <sheetView showGridLines="0" zoomScale="88" zoomScaleNormal="99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Y4" sqref="Y4"/>
    </sheetView>
  </sheetViews>
  <sheetFormatPr defaultRowHeight="14.4" outlineLevelCol="1" x14ac:dyDescent="0.3"/>
  <cols>
    <col min="1" max="1" width="27.77734375" style="6" customWidth="1"/>
    <col min="2" max="3" width="18.88671875" style="5" customWidth="1" outlineLevel="1"/>
    <col min="4" max="4" width="18.88671875" style="3" customWidth="1" outlineLevel="1"/>
    <col min="5" max="6" width="21.6640625" style="4" customWidth="1" outlineLevel="1"/>
    <col min="7" max="7" width="18.88671875" style="3" customWidth="1" outlineLevel="1"/>
    <col min="8" max="8" width="39.33203125" style="2" bestFit="1" customWidth="1"/>
    <col min="9" max="9" width="25.109375" style="2" bestFit="1" customWidth="1"/>
    <col min="10" max="10" width="25.109375" style="2" customWidth="1"/>
    <col min="11" max="14" width="25.109375" style="1" customWidth="1"/>
    <col min="15" max="15" width="18.6640625" style="1" customWidth="1"/>
    <col min="16" max="16" width="21.77734375" style="1" customWidth="1"/>
    <col min="17" max="17" width="21.33203125" style="1" customWidth="1"/>
    <col min="18" max="18" width="21.44140625" style="1" customWidth="1"/>
    <col min="19" max="19" width="12.77734375" bestFit="1" customWidth="1"/>
    <col min="20" max="20" width="18.44140625" bestFit="1" customWidth="1"/>
    <col min="21" max="22" width="16.5546875" bestFit="1" customWidth="1"/>
    <col min="23" max="23" width="18.88671875" bestFit="1" customWidth="1"/>
    <col min="24" max="24" width="20.44140625" customWidth="1"/>
    <col min="25" max="25" width="13.44140625" customWidth="1"/>
    <col min="26" max="26" width="12" bestFit="1" customWidth="1"/>
  </cols>
  <sheetData>
    <row r="1" spans="1:25" s="107" customFormat="1" ht="26.4" customHeight="1" thickBot="1" x14ac:dyDescent="0.35">
      <c r="A1" s="225" t="s">
        <v>348</v>
      </c>
      <c r="B1" s="236" t="s">
        <v>347</v>
      </c>
      <c r="C1" s="236"/>
      <c r="D1" s="236"/>
      <c r="E1" s="236"/>
      <c r="F1" s="236"/>
      <c r="G1" s="236"/>
      <c r="H1" s="122"/>
      <c r="I1" s="122"/>
      <c r="J1" s="122"/>
      <c r="K1" s="236" t="s">
        <v>355</v>
      </c>
      <c r="L1" s="236"/>
      <c r="M1" s="236"/>
      <c r="N1" s="236"/>
      <c r="O1" s="236" t="s">
        <v>355</v>
      </c>
      <c r="P1" s="236"/>
      <c r="Q1" s="236"/>
      <c r="R1" s="236"/>
      <c r="S1" s="123"/>
    </row>
    <row r="2" spans="1:25" s="107" customFormat="1" ht="26.4" customHeight="1" thickBot="1" x14ac:dyDescent="0.35">
      <c r="A2" s="225"/>
      <c r="B2" s="223" t="s">
        <v>345</v>
      </c>
      <c r="C2" s="223"/>
      <c r="D2" s="223"/>
      <c r="E2" s="224" t="s">
        <v>344</v>
      </c>
      <c r="F2" s="224"/>
      <c r="G2" s="224"/>
      <c r="H2" s="122"/>
      <c r="I2" s="122"/>
      <c r="J2" s="8"/>
      <c r="K2" s="227" t="s">
        <v>354</v>
      </c>
      <c r="L2" s="228"/>
      <c r="M2" s="228"/>
      <c r="N2" s="229"/>
      <c r="O2" s="227" t="s">
        <v>353</v>
      </c>
      <c r="P2" s="228"/>
      <c r="Q2" s="228"/>
      <c r="R2" s="229"/>
      <c r="S2" s="121"/>
      <c r="T2" s="230" t="s">
        <v>352</v>
      </c>
      <c r="U2" s="231"/>
      <c r="V2" s="231"/>
      <c r="W2" s="232"/>
    </row>
    <row r="3" spans="1:25" s="107" customFormat="1" ht="26.4" customHeight="1" thickBot="1" x14ac:dyDescent="0.4">
      <c r="A3" s="225"/>
      <c r="B3" s="120">
        <v>55198</v>
      </c>
      <c r="C3" s="120">
        <v>36480</v>
      </c>
      <c r="D3" s="119">
        <f>IFERROR((C3-B3)/B3,100%)</f>
        <v>-0.33910648936555671</v>
      </c>
      <c r="E3" s="120">
        <v>1608776622</v>
      </c>
      <c r="F3" s="120">
        <v>1784780789</v>
      </c>
      <c r="G3" s="119">
        <f>IFERROR((F3-E3)/E3,100%)</f>
        <v>0.10940248919156659</v>
      </c>
      <c r="H3" s="233" t="s">
        <v>342</v>
      </c>
      <c r="I3" s="233"/>
      <c r="J3" s="198"/>
      <c r="K3" s="120">
        <v>1379970866.130291</v>
      </c>
      <c r="L3" s="120">
        <v>827982519.6781745</v>
      </c>
      <c r="M3" s="120">
        <v>883181354.32338595</v>
      </c>
      <c r="N3" s="120">
        <v>3091134740.1318517</v>
      </c>
      <c r="O3" s="120">
        <f>37500*36000</f>
        <v>1350000000</v>
      </c>
      <c r="P3" s="120">
        <f>22500*36000</f>
        <v>810000000</v>
      </c>
      <c r="Q3" s="120">
        <f>24000*36000</f>
        <v>864000000</v>
      </c>
      <c r="R3" s="120">
        <f>SUM(O3:Q3)</f>
        <v>3024000000</v>
      </c>
      <c r="S3" s="234" t="s">
        <v>351</v>
      </c>
      <c r="T3" s="120">
        <v>1083538552.53</v>
      </c>
      <c r="U3" s="120">
        <v>780392667.93000007</v>
      </c>
      <c r="V3" s="120">
        <v>814038134.00999999</v>
      </c>
      <c r="W3" s="120">
        <v>2677969354.4700003</v>
      </c>
      <c r="X3" s="197">
        <f>IFERROR((R3/W3-1),100%)</f>
        <v>0.12921381828078582</v>
      </c>
    </row>
    <row r="4" spans="1:25" s="107" customFormat="1" ht="26.4" customHeight="1" thickBot="1" x14ac:dyDescent="0.35">
      <c r="A4" s="225"/>
      <c r="B4" s="114">
        <v>2025</v>
      </c>
      <c r="C4" s="114">
        <v>2026</v>
      </c>
      <c r="D4" s="115" t="s">
        <v>341</v>
      </c>
      <c r="E4" s="114">
        <v>2025</v>
      </c>
      <c r="F4" s="114">
        <v>2026</v>
      </c>
      <c r="G4" s="113" t="s">
        <v>341</v>
      </c>
      <c r="H4" s="196" t="s">
        <v>340</v>
      </c>
      <c r="I4" s="195" t="s">
        <v>339</v>
      </c>
      <c r="J4" s="195"/>
      <c r="K4" s="110" t="s">
        <v>338</v>
      </c>
      <c r="L4" s="109" t="s">
        <v>337</v>
      </c>
      <c r="M4" s="109" t="s">
        <v>336</v>
      </c>
      <c r="N4" s="194" t="s">
        <v>342</v>
      </c>
      <c r="O4" s="110" t="s">
        <v>338</v>
      </c>
      <c r="P4" s="109" t="s">
        <v>337</v>
      </c>
      <c r="Q4" s="109" t="s">
        <v>336</v>
      </c>
      <c r="R4" s="194" t="s">
        <v>342</v>
      </c>
      <c r="S4" s="235"/>
      <c r="T4" s="109" t="s">
        <v>338</v>
      </c>
      <c r="U4" s="109" t="s">
        <v>337</v>
      </c>
      <c r="V4" s="194" t="s">
        <v>336</v>
      </c>
      <c r="W4" s="193" t="s">
        <v>342</v>
      </c>
      <c r="X4" s="192" t="s">
        <v>341</v>
      </c>
      <c r="Y4" s="6"/>
    </row>
    <row r="5" spans="1:25" ht="16.2" customHeight="1" x14ac:dyDescent="0.3">
      <c r="A5" s="53" t="s">
        <v>334</v>
      </c>
      <c r="B5" s="189">
        <f>VLOOKUP($A5,'Growth Analysis'!A:G,2,FALSE)</f>
        <v>0</v>
      </c>
      <c r="C5" s="189">
        <f>VLOOKUP(A5,'Growth Analysis'!A:G,4,FALSE)</f>
        <v>1</v>
      </c>
      <c r="D5" s="106">
        <f t="shared" ref="D5:D68" si="0">IFERROR((C5-B5)/B5,100%)</f>
        <v>1</v>
      </c>
      <c r="E5" s="49">
        <f>VLOOKUP($A5,'Growth Analysis'!$A:$G,5,FALSE)</f>
        <v>0</v>
      </c>
      <c r="F5" s="49">
        <f>VLOOKUP($A5,'Growth Analysis'!$A:$G,6,FALSE)</f>
        <v>10882605.697297297</v>
      </c>
      <c r="G5" s="106">
        <f t="shared" ref="G5:G68" si="1">IFERROR((F5-E5)/E5,100%)</f>
        <v>1</v>
      </c>
      <c r="H5" s="191">
        <f t="shared" ref="H5:H68" si="2">F5/$F$3</f>
        <v>6.0974466804938794E-3</v>
      </c>
      <c r="I5" s="190">
        <f t="shared" ref="I5:I68" si="3">E5/$E$3</f>
        <v>0</v>
      </c>
      <c r="J5" s="189">
        <v>0</v>
      </c>
      <c r="K5" s="164">
        <f>VLOOKUP($A5,[1]Notes!$A:$G,3,FALSE)</f>
        <v>8177777.7777777696</v>
      </c>
      <c r="L5" s="163">
        <f>VLOOKUP($A5,[1]Notes!$A:$G,5,FALSE)</f>
        <v>4906666.666666667</v>
      </c>
      <c r="M5" s="163">
        <f>VLOOKUP($A5,[1]Notes!$A:$G,7,FALSE)</f>
        <v>5233777.777777778</v>
      </c>
      <c r="N5" s="154">
        <f t="shared" ref="N5:N68" si="4">SUM(K5:M5)</f>
        <v>18318222.222222216</v>
      </c>
      <c r="O5" s="45">
        <f t="shared" ref="O5:O19" si="5">$O$3*H5</f>
        <v>8231553.0186667368</v>
      </c>
      <c r="P5" s="102">
        <f t="shared" ref="P5:P68" si="6">$P$3*H5</f>
        <v>4938931.8112000423</v>
      </c>
      <c r="Q5" s="102">
        <f t="shared" ref="Q5:Q68" si="7">$Q$3*H5</f>
        <v>5268193.9319467116</v>
      </c>
      <c r="R5" s="102">
        <f t="shared" ref="R5:R68" si="8">SUM(O5:Q5)</f>
        <v>18438678.761813492</v>
      </c>
      <c r="S5" s="153">
        <f>N5/R5-1</f>
        <v>-6.532818383969019E-3</v>
      </c>
      <c r="T5">
        <f>VLOOKUP($A5,'[2]All month (2)'!$E:$Y,8,FALSE)</f>
        <v>0</v>
      </c>
      <c r="U5">
        <f>VLOOKUP($A5,'[2]All month (2)'!$E:$Y,14,FALSE)</f>
        <v>9902304</v>
      </c>
      <c r="V5">
        <f>VLOOKUP($A5,'[2]All month (2)'!$E:$Y,20,FALSE)</f>
        <v>13348800</v>
      </c>
      <c r="W5">
        <f t="shared" ref="W5:W11" si="9">SUM(T5:V5)</f>
        <v>23251104</v>
      </c>
      <c r="X5" s="188">
        <f t="shared" ref="X5:X68" si="10">IFERROR((R5-W5)/W5,100%)</f>
        <v>-0.20697620371860659</v>
      </c>
    </row>
    <row r="6" spans="1:25" ht="16.2" customHeight="1" x14ac:dyDescent="0.3">
      <c r="A6" s="52" t="s">
        <v>333</v>
      </c>
      <c r="B6" s="189">
        <f>VLOOKUP($A6,'Growth Analysis'!A:G,2,FALSE)</f>
        <v>863.54775900000004</v>
      </c>
      <c r="C6" s="189">
        <f>VLOOKUP(A6,'Growth Analysis'!A:G,4,FALSE)</f>
        <v>-0.81305599740430801</v>
      </c>
      <c r="D6" s="50">
        <f t="shared" si="0"/>
        <v>-1.0009415298562592</v>
      </c>
      <c r="E6" s="49">
        <f>VLOOKUP($A6,'Growth Analysis'!$A:$G,5,FALSE)</f>
        <v>29967600</v>
      </c>
      <c r="F6" s="49">
        <f>VLOOKUP($A6,'Growth Analysis'!$A:$G,6,FALSE)</f>
        <v>6965953.702702703</v>
      </c>
      <c r="G6" s="50">
        <f t="shared" si="1"/>
        <v>-0.76755049778084661</v>
      </c>
      <c r="H6" s="159">
        <f t="shared" si="2"/>
        <v>3.9029743852216593E-3</v>
      </c>
      <c r="I6" s="158">
        <f t="shared" si="3"/>
        <v>1.8627570534152132E-2</v>
      </c>
      <c r="J6" s="157">
        <v>846.61545000000001</v>
      </c>
      <c r="K6" s="162">
        <f>VLOOKUP($A6,[1]Notes!$A:$G,3,FALSE)</f>
        <v>8031746.0317460326</v>
      </c>
      <c r="L6" s="161">
        <f>VLOOKUP($A6,[1]Notes!$A:$G,5,FALSE)</f>
        <v>4819047.6190476194</v>
      </c>
      <c r="M6" s="161">
        <f>VLOOKUP($A6,[1]Notes!$A:$G,7,FALSE)</f>
        <v>5140317.4603174608</v>
      </c>
      <c r="N6" s="154">
        <f t="shared" si="4"/>
        <v>17991111.111111112</v>
      </c>
      <c r="O6" s="45">
        <f t="shared" si="5"/>
        <v>5269015.4200492399</v>
      </c>
      <c r="P6" s="45">
        <f t="shared" si="6"/>
        <v>3161409.2520295442</v>
      </c>
      <c r="Q6" s="45">
        <f t="shared" si="7"/>
        <v>3372169.8688315134</v>
      </c>
      <c r="R6" s="45">
        <f t="shared" si="8"/>
        <v>11802594.540910298</v>
      </c>
      <c r="S6" s="153">
        <f t="shared" ref="S6:S11" si="11">R6/N6-1</f>
        <v>-0.34397634098201157</v>
      </c>
      <c r="T6">
        <f>VLOOKUP($A6,'[2]All month (2)'!$E:$Y,8,FALSE)</f>
        <v>31100000</v>
      </c>
      <c r="U6">
        <f>VLOOKUP($A6,'[2]All month (2)'!$E:$Y,14,FALSE)</f>
        <v>10727496</v>
      </c>
      <c r="V6">
        <f>VLOOKUP($A6,'[2]All month (2)'!$E:$Y,20,FALSE)</f>
        <v>14461200</v>
      </c>
      <c r="W6">
        <f t="shared" si="9"/>
        <v>56288696</v>
      </c>
      <c r="X6" s="152">
        <f t="shared" si="10"/>
        <v>-0.7903203417448097</v>
      </c>
    </row>
    <row r="7" spans="1:25" ht="16.2" customHeight="1" x14ac:dyDescent="0.3">
      <c r="A7" s="52" t="s">
        <v>332</v>
      </c>
      <c r="B7" s="189">
        <f>VLOOKUP($A7,'Growth Analysis'!A:G,2,FALSE)</f>
        <v>0</v>
      </c>
      <c r="C7" s="189">
        <f>VLOOKUP(A7,'Growth Analysis'!A:G,4,FALSE)</f>
        <v>1</v>
      </c>
      <c r="D7" s="50">
        <f t="shared" si="0"/>
        <v>1</v>
      </c>
      <c r="E7" s="49">
        <f>VLOOKUP($A7,'Growth Analysis'!$A:$G,5,FALSE)</f>
        <v>0</v>
      </c>
      <c r="F7" s="49">
        <f>VLOOKUP($A7,'Growth Analysis'!$A:$G,6,FALSE)</f>
        <v>4737540.7610750152</v>
      </c>
      <c r="G7" s="50">
        <f t="shared" si="1"/>
        <v>1</v>
      </c>
      <c r="H7" s="159">
        <f t="shared" si="2"/>
        <v>2.6544104409199887E-3</v>
      </c>
      <c r="I7" s="158">
        <f t="shared" si="3"/>
        <v>0</v>
      </c>
      <c r="J7" s="157">
        <v>0</v>
      </c>
      <c r="K7" s="162">
        <f>VLOOKUP($A7,[1]Notes!$A:$G,3,FALSE)</f>
        <v>2920634.9206349202</v>
      </c>
      <c r="L7" s="161">
        <f>VLOOKUP($A7,[1]Notes!$A:$G,5,FALSE)</f>
        <v>1752380.9523809522</v>
      </c>
      <c r="M7" s="161">
        <f>VLOOKUP($A7,[1]Notes!$A:$G,7,FALSE)</f>
        <v>1869206.3492063489</v>
      </c>
      <c r="N7" s="154">
        <f t="shared" si="4"/>
        <v>6542222.2222222211</v>
      </c>
      <c r="O7" s="45">
        <f t="shared" si="5"/>
        <v>3583454.0952419848</v>
      </c>
      <c r="P7" s="45">
        <f t="shared" si="6"/>
        <v>2150072.4571451908</v>
      </c>
      <c r="Q7" s="45">
        <f t="shared" si="7"/>
        <v>2293410.6209548702</v>
      </c>
      <c r="R7" s="45">
        <f t="shared" si="8"/>
        <v>8026937.1733420463</v>
      </c>
      <c r="S7" s="153">
        <f t="shared" si="11"/>
        <v>0.22694352174046251</v>
      </c>
      <c r="T7">
        <f>VLOOKUP($A7,'[2]All month (2)'!$E:$Y,8,FALSE)</f>
        <v>0</v>
      </c>
      <c r="U7">
        <f>VLOOKUP($A7,'[2]All month (2)'!$E:$Y,14,FALSE)</f>
        <v>2911637.7</v>
      </c>
      <c r="V7">
        <f>VLOOKUP($A7,'[2]All month (2)'!$E:$Y,20,FALSE)</f>
        <v>2524353.7200000002</v>
      </c>
      <c r="W7">
        <f t="shared" si="9"/>
        <v>5435991.4199999999</v>
      </c>
      <c r="X7" s="152">
        <f t="shared" si="10"/>
        <v>0.47662800640366837</v>
      </c>
    </row>
    <row r="8" spans="1:25" ht="16.2" customHeight="1" x14ac:dyDescent="0.3">
      <c r="A8" s="55" t="s">
        <v>331</v>
      </c>
      <c r="B8" s="189">
        <f>VLOOKUP($A8,'Growth Analysis'!A:G,2,FALSE)</f>
        <v>382.58924999999999</v>
      </c>
      <c r="C8" s="189">
        <f>VLOOKUP(A8,'Growth Analysis'!A:G,4,FALSE)</f>
        <v>-0.56448276774634931</v>
      </c>
      <c r="D8" s="50">
        <f t="shared" si="0"/>
        <v>-1.001475427675363</v>
      </c>
      <c r="E8" s="49">
        <f>VLOOKUP($A8,'Growth Analysis'!$A:$G,5,FALSE)</f>
        <v>6759276.8399999999</v>
      </c>
      <c r="F8" s="49">
        <f>VLOOKUP($A8,'Growth Analysis'!$A:$G,6,FALSE)</f>
        <v>8571373.0389249846</v>
      </c>
      <c r="G8" s="50">
        <f t="shared" si="1"/>
        <v>0.26809024719943042</v>
      </c>
      <c r="H8" s="159">
        <f t="shared" si="2"/>
        <v>4.8024794371119735E-3</v>
      </c>
      <c r="I8" s="158">
        <f t="shared" si="3"/>
        <v>4.2015011578158054E-3</v>
      </c>
      <c r="J8" s="157">
        <v>375.08749999999998</v>
      </c>
      <c r="K8" s="162">
        <f>VLOOKUP($A8,[1]Notes!$A:$G,3,FALSE)</f>
        <v>7082539.6825396828</v>
      </c>
      <c r="L8" s="161">
        <f>VLOOKUP($A8,[1]Notes!$A:$G,5,FALSE)</f>
        <v>4249523.8095238088</v>
      </c>
      <c r="M8" s="161">
        <f>VLOOKUP($A8,[1]Notes!$A:$G,7,FALSE)</f>
        <v>4532825.3968253974</v>
      </c>
      <c r="N8" s="154">
        <f t="shared" si="4"/>
        <v>15864888.88888889</v>
      </c>
      <c r="O8" s="45">
        <f t="shared" si="5"/>
        <v>6483347.2401011642</v>
      </c>
      <c r="P8" s="45">
        <f t="shared" si="6"/>
        <v>3890008.3440606985</v>
      </c>
      <c r="Q8" s="45">
        <f t="shared" si="7"/>
        <v>4149342.233664745</v>
      </c>
      <c r="R8" s="45">
        <f t="shared" si="8"/>
        <v>14522697.817826608</v>
      </c>
      <c r="S8" s="153">
        <f t="shared" si="11"/>
        <v>-8.4601353369849086E-2</v>
      </c>
      <c r="T8">
        <f>VLOOKUP($A8,'[2]All month (2)'!$E:$Y,8,FALSE)</f>
        <v>4704269</v>
      </c>
      <c r="U8">
        <f>VLOOKUP($A8,'[2]All month (2)'!$E:$Y,14,FALSE)</f>
        <v>7128492.2999999998</v>
      </c>
      <c r="V8">
        <f>VLOOKUP($A8,'[2]All month (2)'!$E:$Y,20,FALSE)</f>
        <v>6180314.2800000003</v>
      </c>
      <c r="W8">
        <f t="shared" si="9"/>
        <v>18013075.580000002</v>
      </c>
      <c r="X8" s="152">
        <f t="shared" si="10"/>
        <v>-0.19376911769852206</v>
      </c>
    </row>
    <row r="9" spans="1:25" ht="16.2" customHeight="1" x14ac:dyDescent="0.3">
      <c r="A9" s="52" t="s">
        <v>330</v>
      </c>
      <c r="B9" s="189">
        <f>VLOOKUP($A9,'Growth Analysis'!A:G,2,FALSE)</f>
        <v>375.10041000000007</v>
      </c>
      <c r="C9" s="189">
        <f>VLOOKUP(A9,'Growth Analysis'!A:G,4,FALSE)</f>
        <v>-0.7037033263973238</v>
      </c>
      <c r="D9" s="50">
        <f t="shared" si="0"/>
        <v>-1.0018760398752893</v>
      </c>
      <c r="E9" s="49">
        <f>VLOOKUP($A9,'Growth Analysis'!$A:$G,5,FALSE)</f>
        <v>15849771.84</v>
      </c>
      <c r="F9" s="49">
        <f>VLOOKUP($A9,'Growth Analysis'!$A:$G,6,FALSE)</f>
        <v>8071774.3888742747</v>
      </c>
      <c r="G9" s="50">
        <f t="shared" si="1"/>
        <v>-0.49073245530868947</v>
      </c>
      <c r="H9" s="159">
        <f t="shared" si="2"/>
        <v>4.5225578617959202E-3</v>
      </c>
      <c r="I9" s="158">
        <f t="shared" si="3"/>
        <v>9.8520649935202754E-3</v>
      </c>
      <c r="J9" s="157">
        <v>367.74550000000005</v>
      </c>
      <c r="K9" s="162">
        <f>VLOOKUP($A9,[1]Notes!$A:$G,3,FALSE)</f>
        <v>5330158.7301587285</v>
      </c>
      <c r="L9" s="161">
        <f>VLOOKUP($A9,[1]Notes!$A:$G,5,FALSE)</f>
        <v>3198095.2380952369</v>
      </c>
      <c r="M9" s="161">
        <f>VLOOKUP($A9,[1]Notes!$A:$G,7,FALSE)</f>
        <v>3411301.5873015863</v>
      </c>
      <c r="N9" s="154">
        <f t="shared" si="4"/>
        <v>11939555.555555552</v>
      </c>
      <c r="O9" s="45">
        <f t="shared" si="5"/>
        <v>6105453.1134244921</v>
      </c>
      <c r="P9" s="45">
        <f t="shared" si="6"/>
        <v>3663271.8680546954</v>
      </c>
      <c r="Q9" s="45">
        <f t="shared" si="7"/>
        <v>3907489.9925916749</v>
      </c>
      <c r="R9" s="45">
        <f t="shared" si="8"/>
        <v>13676214.974070862</v>
      </c>
      <c r="S9" s="153">
        <f t="shared" si="11"/>
        <v>0.14545427678899081</v>
      </c>
      <c r="T9">
        <f>VLOOKUP($A9,'[2]All month (2)'!$E:$Y,8,FALSE)</f>
        <v>10000000</v>
      </c>
      <c r="U9">
        <f>VLOOKUP($A9,'[2]All month (2)'!$E:$Y,14,FALSE)</f>
        <v>3844032.5</v>
      </c>
      <c r="V9">
        <f>VLOOKUP($A9,'[2]All month (2)'!$E:$Y,20,FALSE)</f>
        <v>4758415.0999999996</v>
      </c>
      <c r="W9">
        <f t="shared" si="9"/>
        <v>18602447.600000001</v>
      </c>
      <c r="X9" s="152">
        <f t="shared" si="10"/>
        <v>-0.26481636889164734</v>
      </c>
    </row>
    <row r="10" spans="1:25" ht="16.2" customHeight="1" x14ac:dyDescent="0.3">
      <c r="A10" s="52" t="s">
        <v>329</v>
      </c>
      <c r="B10" s="189">
        <f>VLOOKUP($A10,'Growth Analysis'!A:G,2,FALSE)</f>
        <v>0</v>
      </c>
      <c r="C10" s="189">
        <f>VLOOKUP(A10,'Growth Analysis'!A:G,4,FALSE)</f>
        <v>1</v>
      </c>
      <c r="D10" s="50">
        <f t="shared" si="0"/>
        <v>1</v>
      </c>
      <c r="E10" s="49">
        <f>VLOOKUP($A10,'Growth Analysis'!$A:$G,5,FALSE)</f>
        <v>405501</v>
      </c>
      <c r="F10" s="49">
        <f>VLOOKUP($A10,'Growth Analysis'!$A:$G,6,FALSE)</f>
        <v>5615183.3665411826</v>
      </c>
      <c r="G10" s="50">
        <f t="shared" si="1"/>
        <v>12.84752039215978</v>
      </c>
      <c r="H10" s="159">
        <f t="shared" si="2"/>
        <v>3.1461473594677864E-3</v>
      </c>
      <c r="I10" s="158">
        <f t="shared" si="3"/>
        <v>2.5205550258176239E-4</v>
      </c>
      <c r="J10" s="157">
        <v>0</v>
      </c>
      <c r="K10" s="162">
        <f>VLOOKUP($A10,[1]Notes!$A:$G,3,FALSE)</f>
        <v>3869841.2698412687</v>
      </c>
      <c r="L10" s="161">
        <f>VLOOKUP($A10,[1]Notes!$A:$G,5,FALSE)</f>
        <v>2321904.7619047612</v>
      </c>
      <c r="M10" s="161">
        <f>VLOOKUP($A10,[1]Notes!$A:$G,7,FALSE)</f>
        <v>2476698.4126984118</v>
      </c>
      <c r="N10" s="154">
        <f t="shared" si="4"/>
        <v>8668444.4444444422</v>
      </c>
      <c r="O10" s="45">
        <f t="shared" si="5"/>
        <v>4247298.9352815114</v>
      </c>
      <c r="P10" s="45">
        <f t="shared" si="6"/>
        <v>2548379.361168907</v>
      </c>
      <c r="Q10" s="45">
        <f t="shared" si="7"/>
        <v>2718271.3185801674</v>
      </c>
      <c r="R10" s="45">
        <f t="shared" si="8"/>
        <v>9513949.6150305867</v>
      </c>
      <c r="S10" s="153">
        <f t="shared" si="11"/>
        <v>9.7538281061260612E-2</v>
      </c>
      <c r="T10">
        <f>VLOOKUP($A10,'[2]All month (2)'!$E:$Y,8,FALSE)</f>
        <v>0</v>
      </c>
      <c r="U10">
        <f>VLOOKUP($A10,'[2]All month (2)'!$E:$Y,14,FALSE)</f>
        <v>2630127.5</v>
      </c>
      <c r="V10">
        <f>VLOOKUP($A10,'[2]All month (2)'!$E:$Y,20,FALSE)</f>
        <v>3255757.7</v>
      </c>
      <c r="W10">
        <f t="shared" si="9"/>
        <v>5885885.2000000002</v>
      </c>
      <c r="X10" s="152">
        <f t="shared" si="10"/>
        <v>0.6164008117301687</v>
      </c>
    </row>
    <row r="11" spans="1:25" ht="16.2" customHeight="1" thickBot="1" x14ac:dyDescent="0.35">
      <c r="A11" s="51" t="s">
        <v>328</v>
      </c>
      <c r="B11" s="189">
        <f>VLOOKUP($A11,'Growth Analysis'!A:G,2,FALSE)</f>
        <v>0</v>
      </c>
      <c r="C11" s="189">
        <f>VLOOKUP(A11,'Growth Analysis'!A:G,4,FALSE)</f>
        <v>1</v>
      </c>
      <c r="D11" s="50">
        <f t="shared" si="0"/>
        <v>1</v>
      </c>
      <c r="E11" s="49">
        <f>VLOOKUP($A11,'Growth Analysis'!$A:$G,5,FALSE)</f>
        <v>0</v>
      </c>
      <c r="F11" s="49">
        <f>VLOOKUP($A11,'Growth Analysis'!$A:$G,6,FALSE)</f>
        <v>7678287.8945845431</v>
      </c>
      <c r="G11" s="50">
        <f t="shared" si="1"/>
        <v>1</v>
      </c>
      <c r="H11" s="159">
        <f t="shared" si="2"/>
        <v>4.302090173710707E-3</v>
      </c>
      <c r="I11" s="158">
        <f t="shared" si="3"/>
        <v>0</v>
      </c>
      <c r="J11" s="157">
        <v>0</v>
      </c>
      <c r="K11" s="156">
        <f>VLOOKUP($A11,[1]Notes!$A:$G,3,FALSE)</f>
        <v>5987301.5873015868</v>
      </c>
      <c r="L11" s="155">
        <f>VLOOKUP($A11,[1]Notes!$A:$G,5,FALSE)</f>
        <v>3592380.952380952</v>
      </c>
      <c r="M11" s="155">
        <f>VLOOKUP($A11,[1]Notes!$A:$G,7,FALSE)</f>
        <v>3831873.0158730154</v>
      </c>
      <c r="N11" s="154">
        <f t="shared" si="4"/>
        <v>13411555.555555554</v>
      </c>
      <c r="O11" s="45">
        <f t="shared" si="5"/>
        <v>5807821.7345094541</v>
      </c>
      <c r="P11" s="45">
        <f t="shared" si="6"/>
        <v>3484693.0407056725</v>
      </c>
      <c r="Q11" s="45">
        <f t="shared" si="7"/>
        <v>3717005.9100860506</v>
      </c>
      <c r="R11" s="45">
        <f t="shared" si="8"/>
        <v>13009520.685301177</v>
      </c>
      <c r="S11" s="153">
        <f t="shared" si="11"/>
        <v>-2.9976751659343437E-2</v>
      </c>
      <c r="T11">
        <f>VLOOKUP($A11,'[2]All month (2)'!$E:$Y,8,FALSE)</f>
        <v>0</v>
      </c>
      <c r="U11">
        <f>VLOOKUP($A11,'[2]All month (2)'!$E:$Y,14,FALSE)</f>
        <v>3641715</v>
      </c>
      <c r="V11">
        <f>VLOOKUP($A11,'[2]All month (2)'!$E:$Y,20,FALSE)</f>
        <v>4507972.2</v>
      </c>
      <c r="W11">
        <f t="shared" si="9"/>
        <v>8149687.2000000002</v>
      </c>
      <c r="X11" s="152">
        <f t="shared" si="10"/>
        <v>0.59632147419120296</v>
      </c>
    </row>
    <row r="12" spans="1:25" ht="16.2" thickBot="1" x14ac:dyDescent="0.35">
      <c r="A12" s="43" t="s">
        <v>327</v>
      </c>
      <c r="B12" s="42">
        <f>SUM(B5:B11)</f>
        <v>1621.237419</v>
      </c>
      <c r="C12" s="40">
        <f>SUM(C5:C11)</f>
        <v>1.918757908452019</v>
      </c>
      <c r="D12" s="41">
        <f t="shared" si="0"/>
        <v>-0.99881648555235325</v>
      </c>
      <c r="E12" s="40">
        <f>SUM(E5:E11)</f>
        <v>52982149.680000007</v>
      </c>
      <c r="F12" s="40">
        <f>SUM(F5:F11)</f>
        <v>52522718.850000001</v>
      </c>
      <c r="G12" s="151">
        <f t="shared" si="1"/>
        <v>-8.6714267498556059E-3</v>
      </c>
      <c r="H12" s="150">
        <f t="shared" si="2"/>
        <v>2.9428106338721914E-2</v>
      </c>
      <c r="I12" s="150">
        <f t="shared" si="3"/>
        <v>3.2933192188069976E-2</v>
      </c>
      <c r="J12" s="42">
        <f>SUM(J5:J11)</f>
        <v>1589.4484499999999</v>
      </c>
      <c r="K12" s="165">
        <f>SUM(K5:K11)</f>
        <v>41399999.999999993</v>
      </c>
      <c r="L12" s="165">
        <f>SUM(L5:L11)</f>
        <v>24839999.999999996</v>
      </c>
      <c r="M12" s="165">
        <f>SUM(M5:M11)</f>
        <v>26495999.999999996</v>
      </c>
      <c r="N12" s="36">
        <f t="shared" si="4"/>
        <v>92735999.999999985</v>
      </c>
      <c r="O12" s="36">
        <f t="shared" si="5"/>
        <v>39727943.557274587</v>
      </c>
      <c r="P12" s="36">
        <f t="shared" si="6"/>
        <v>23836766.13436475</v>
      </c>
      <c r="Q12" s="36">
        <f t="shared" si="7"/>
        <v>25425883.876655735</v>
      </c>
      <c r="R12" s="148">
        <f t="shared" si="8"/>
        <v>88990593.568295062</v>
      </c>
      <c r="S12" s="41"/>
      <c r="T12" s="42">
        <f>SUM(T5:T11)</f>
        <v>45804269</v>
      </c>
      <c r="U12" s="42">
        <f>SUM(U5:U11)</f>
        <v>40785805</v>
      </c>
      <c r="V12" s="42">
        <f>SUM(V5:V11)</f>
        <v>49036813.000000007</v>
      </c>
      <c r="W12" s="147">
        <f>SUM(W5:W11)</f>
        <v>135626887</v>
      </c>
      <c r="X12" s="146">
        <f t="shared" si="10"/>
        <v>-0.34385728717422331</v>
      </c>
    </row>
    <row r="13" spans="1:25" s="181" customFormat="1" ht="16.2" customHeight="1" x14ac:dyDescent="0.3">
      <c r="A13" s="64" t="s">
        <v>326</v>
      </c>
      <c r="B13" s="189">
        <f>VLOOKUP($A13,'Growth Analysis'!A:G,2,FALSE)</f>
        <v>0</v>
      </c>
      <c r="C13" s="189">
        <f>VLOOKUP(A13,'Growth Analysis'!A:G,4,FALSE)</f>
        <v>1</v>
      </c>
      <c r="D13" s="186">
        <f t="shared" si="0"/>
        <v>1</v>
      </c>
      <c r="E13" s="49">
        <f>VLOOKUP($A13,'Growth Analysis'!$A:$G,5,FALSE)</f>
        <v>812738.04</v>
      </c>
      <c r="F13" s="49">
        <f>VLOOKUP($A13,'Growth Analysis'!$A:$G,6,FALSE)</f>
        <v>6165818.3412903231</v>
      </c>
      <c r="G13" s="186">
        <f t="shared" si="1"/>
        <v>6.5864768693370408</v>
      </c>
      <c r="H13" s="159">
        <f t="shared" si="2"/>
        <v>3.4546642250362788E-3</v>
      </c>
      <c r="I13" s="158">
        <f t="shared" si="3"/>
        <v>5.0519011084933587E-4</v>
      </c>
      <c r="J13" s="185">
        <v>0</v>
      </c>
      <c r="K13" s="164">
        <f>VLOOKUP($A13,[1]Notes!$A:$G,3,FALSE)</f>
        <v>4968000</v>
      </c>
      <c r="L13" s="163">
        <f>VLOOKUP($A13,[1]Notes!$A:$G,5,FALSE)</f>
        <v>2980800</v>
      </c>
      <c r="M13" s="163">
        <f>VLOOKUP($A13,[1]Notes!$A:$G,7,FALSE)</f>
        <v>3179519.9999999995</v>
      </c>
      <c r="N13" s="154">
        <f t="shared" si="4"/>
        <v>11128320</v>
      </c>
      <c r="O13" s="184">
        <f t="shared" si="5"/>
        <v>4663796.7037989767</v>
      </c>
      <c r="P13" s="184">
        <f t="shared" si="6"/>
        <v>2798278.0222793859</v>
      </c>
      <c r="Q13" s="184">
        <f t="shared" si="7"/>
        <v>2984829.890431345</v>
      </c>
      <c r="R13" s="184">
        <f t="shared" si="8"/>
        <v>10446904.616509708</v>
      </c>
      <c r="S13" s="183">
        <f t="shared" ref="S13:S19" si="12">R13/N13-1</f>
        <v>-6.1232547544489369E-2</v>
      </c>
      <c r="T13">
        <f>VLOOKUP($A13,'[2]All month (2)'!$E:$Y,8,FALSE)</f>
        <v>0</v>
      </c>
      <c r="U13">
        <f>VLOOKUP($A13,'[2]All month (2)'!$E:$Y,14,FALSE)</f>
        <v>3190535.05</v>
      </c>
      <c r="V13">
        <f>VLOOKUP($A13,'[2]All month (2)'!$E:$Y,20,FALSE)</f>
        <v>3002979</v>
      </c>
      <c r="W13" s="181">
        <f t="shared" ref="W13:W19" si="13">SUM(T13:V13)</f>
        <v>6193514.0499999998</v>
      </c>
      <c r="X13" s="182">
        <f t="shared" si="10"/>
        <v>0.68674915922887236</v>
      </c>
    </row>
    <row r="14" spans="1:25" ht="16.2" customHeight="1" x14ac:dyDescent="0.3">
      <c r="A14" s="52" t="s">
        <v>325</v>
      </c>
      <c r="B14" s="189">
        <f>VLOOKUP($A14,'Growth Analysis'!A:G,2,FALSE)</f>
        <v>0</v>
      </c>
      <c r="C14" s="189">
        <f>VLOOKUP(A14,'Growth Analysis'!A:G,4,FALSE)</f>
        <v>1</v>
      </c>
      <c r="D14" s="50">
        <f t="shared" si="0"/>
        <v>1</v>
      </c>
      <c r="E14" s="49">
        <f>VLOOKUP($A14,'Growth Analysis'!$A:$G,5,FALSE)</f>
        <v>0</v>
      </c>
      <c r="F14" s="49">
        <f>VLOOKUP($A14,'Growth Analysis'!$A:$G,6,FALSE)</f>
        <v>8376159.9306451613</v>
      </c>
      <c r="G14" s="50">
        <f t="shared" si="1"/>
        <v>1</v>
      </c>
      <c r="H14" s="159">
        <f t="shared" si="2"/>
        <v>4.6931029190079212E-3</v>
      </c>
      <c r="I14" s="158">
        <f t="shared" si="3"/>
        <v>0</v>
      </c>
      <c r="J14" s="157">
        <v>0</v>
      </c>
      <c r="K14" s="162">
        <f>VLOOKUP($A14,[1]Notes!$A:$G,3,FALSE)</f>
        <v>7617600</v>
      </c>
      <c r="L14" s="161">
        <f>VLOOKUP($A14,[1]Notes!$A:$G,5,FALSE)</f>
        <v>4570560</v>
      </c>
      <c r="M14" s="161">
        <f>VLOOKUP($A14,[1]Notes!$A:$G,7,FALSE)</f>
        <v>4875264</v>
      </c>
      <c r="N14" s="154">
        <f t="shared" si="4"/>
        <v>17063424</v>
      </c>
      <c r="O14" s="45">
        <f t="shared" si="5"/>
        <v>6335688.9406606937</v>
      </c>
      <c r="P14" s="45">
        <f t="shared" si="6"/>
        <v>3801413.3643964161</v>
      </c>
      <c r="Q14" s="45">
        <f t="shared" si="7"/>
        <v>4054840.9220228437</v>
      </c>
      <c r="R14" s="45">
        <f t="shared" si="8"/>
        <v>14191943.227079954</v>
      </c>
      <c r="S14" s="153">
        <f t="shared" si="12"/>
        <v>-0.16828280027033526</v>
      </c>
      <c r="T14">
        <f>VLOOKUP($A14,'[2]All month (2)'!$E:$Y,8,FALSE)</f>
        <v>0</v>
      </c>
      <c r="U14">
        <f>VLOOKUP($A14,'[2]All month (2)'!$E:$Y,14,FALSE)</f>
        <v>3630608.85</v>
      </c>
      <c r="V14">
        <f>VLOOKUP($A14,'[2]All month (2)'!$E:$Y,20,FALSE)</f>
        <v>3417183</v>
      </c>
      <c r="W14">
        <f t="shared" si="13"/>
        <v>7047791.8499999996</v>
      </c>
      <c r="X14" s="152">
        <f t="shared" si="10"/>
        <v>1.0136723003645396</v>
      </c>
    </row>
    <row r="15" spans="1:25" ht="16.2" customHeight="1" x14ac:dyDescent="0.3">
      <c r="A15" s="52" t="s">
        <v>324</v>
      </c>
      <c r="B15" s="189">
        <f>VLOOKUP($A15,'Growth Analysis'!A:G,2,FALSE)</f>
        <v>515.93150400000002</v>
      </c>
      <c r="C15" s="189">
        <f>VLOOKUP(A15,'Growth Analysis'!A:G,4,FALSE)</f>
        <v>-0.767786107804729</v>
      </c>
      <c r="D15" s="50">
        <f t="shared" si="0"/>
        <v>-1.0014881551172046</v>
      </c>
      <c r="E15" s="49">
        <f>VLOOKUP($A15,'Growth Analysis'!$A:$G,5,FALSE)</f>
        <v>25461029.879999999</v>
      </c>
      <c r="F15" s="49">
        <f>VLOOKUP($A15,'Growth Analysis'!$A:$G,6,FALSE)</f>
        <v>9484805.2780645173</v>
      </c>
      <c r="G15" s="50">
        <f t="shared" si="1"/>
        <v>-0.62747754812875944</v>
      </c>
      <c r="H15" s="159">
        <f t="shared" si="2"/>
        <v>5.3142690332176794E-3</v>
      </c>
      <c r="I15" s="158">
        <f t="shared" si="3"/>
        <v>1.5826330101905223E-2</v>
      </c>
      <c r="J15" s="157">
        <v>505.8152</v>
      </c>
      <c r="K15" s="162">
        <f>VLOOKUP($A15,[1]Notes!$A:$G,3,FALSE)</f>
        <v>7948799.9999999981</v>
      </c>
      <c r="L15" s="161">
        <f>VLOOKUP($A15,[1]Notes!$A:$G,5,FALSE)</f>
        <v>4769279.9999999991</v>
      </c>
      <c r="M15" s="161">
        <f>VLOOKUP($A15,[1]Notes!$A:$G,7,FALSE)</f>
        <v>5087231.9999999991</v>
      </c>
      <c r="N15" s="154">
        <f t="shared" si="4"/>
        <v>17805311.999999996</v>
      </c>
      <c r="O15" s="45">
        <f t="shared" si="5"/>
        <v>7174263.1948438669</v>
      </c>
      <c r="P15" s="45">
        <f t="shared" si="6"/>
        <v>4304557.9169063205</v>
      </c>
      <c r="Q15" s="45">
        <f t="shared" si="7"/>
        <v>4591528.4447000753</v>
      </c>
      <c r="R15" s="45">
        <f t="shared" si="8"/>
        <v>16070349.556450263</v>
      </c>
      <c r="S15" s="153">
        <f t="shared" si="12"/>
        <v>-9.7440721260584118E-2</v>
      </c>
      <c r="T15">
        <f>VLOOKUP($A15,'[2]All month (2)'!$E:$Y,8,FALSE)</f>
        <v>25170081</v>
      </c>
      <c r="U15">
        <f>VLOOKUP($A15,'[2]All month (2)'!$E:$Y,14,FALSE)</f>
        <v>4180701.1</v>
      </c>
      <c r="V15">
        <f>VLOOKUP($A15,'[2]All month (2)'!$E:$Y,20,FALSE)</f>
        <v>3934938</v>
      </c>
      <c r="W15">
        <f t="shared" si="13"/>
        <v>33285720.100000001</v>
      </c>
      <c r="X15" s="152">
        <f t="shared" si="10"/>
        <v>-0.51719988306786668</v>
      </c>
    </row>
    <row r="16" spans="1:25" ht="16.2" customHeight="1" x14ac:dyDescent="0.3">
      <c r="A16" s="52" t="s">
        <v>323</v>
      </c>
      <c r="B16" s="189">
        <f>VLOOKUP($A16,'Growth Analysis'!A:G,2,FALSE)</f>
        <v>0</v>
      </c>
      <c r="C16" s="189">
        <f>VLOOKUP(A16,'Growth Analysis'!A:G,4,FALSE)</f>
        <v>1</v>
      </c>
      <c r="D16" s="50">
        <f t="shared" si="0"/>
        <v>1</v>
      </c>
      <c r="E16" s="49">
        <f>VLOOKUP($A16,'Growth Analysis'!$A:$G,5,FALSE)</f>
        <v>203245.2</v>
      </c>
      <c r="F16" s="49">
        <f>VLOOKUP($A16,'Growth Analysis'!$A:$G,6,FALSE)</f>
        <v>4186426.6500000004</v>
      </c>
      <c r="G16" s="50">
        <f t="shared" si="1"/>
        <v>19.597911537394239</v>
      </c>
      <c r="H16" s="159">
        <f t="shared" si="2"/>
        <v>2.3456251186710865E-3</v>
      </c>
      <c r="I16" s="158">
        <f t="shared" si="3"/>
        <v>1.2633525202978741E-4</v>
      </c>
      <c r="J16" s="157">
        <v>0</v>
      </c>
      <c r="K16" s="162">
        <f>VLOOKUP($A16,[1]Notes!$A:$G,3,FALSE)</f>
        <v>4968000</v>
      </c>
      <c r="L16" s="161">
        <f>VLOOKUP($A16,[1]Notes!$A:$G,5,FALSE)</f>
        <v>2980800</v>
      </c>
      <c r="M16" s="161">
        <f>VLOOKUP($A16,[1]Notes!$A:$G,7,FALSE)</f>
        <v>3179519.9999999995</v>
      </c>
      <c r="N16" s="154">
        <f t="shared" si="4"/>
        <v>11128320</v>
      </c>
      <c r="O16" s="45">
        <f t="shared" si="5"/>
        <v>3166593.9102059668</v>
      </c>
      <c r="P16" s="45">
        <f t="shared" si="6"/>
        <v>1899956.3461235801</v>
      </c>
      <c r="Q16" s="45">
        <f t="shared" si="7"/>
        <v>2026620.1025318187</v>
      </c>
      <c r="R16" s="45">
        <f t="shared" si="8"/>
        <v>7093170.3588613654</v>
      </c>
      <c r="S16" s="153">
        <f t="shared" si="12"/>
        <v>-0.36260186992633525</v>
      </c>
      <c r="T16">
        <f>VLOOKUP($A16,'[2]All month (2)'!$E:$Y,8,FALSE)</f>
        <v>22600017</v>
      </c>
      <c r="U16">
        <f>VLOOKUP($A16,'[2]All month (2)'!$E:$Y,14,FALSE)</f>
        <v>3614710.8</v>
      </c>
      <c r="V16">
        <f>VLOOKUP($A16,'[2]All month (2)'!$E:$Y,20,FALSE)</f>
        <v>2335287.36</v>
      </c>
      <c r="W16">
        <f t="shared" si="13"/>
        <v>28550015.16</v>
      </c>
      <c r="X16" s="152">
        <f t="shared" si="10"/>
        <v>-0.75155283389133709</v>
      </c>
    </row>
    <row r="17" spans="1:24" ht="16.2" customHeight="1" x14ac:dyDescent="0.3">
      <c r="A17" s="52" t="s">
        <v>322</v>
      </c>
      <c r="B17" s="189">
        <f>VLOOKUP($A17,'Growth Analysis'!A:G,2,FALSE)</f>
        <v>0</v>
      </c>
      <c r="C17" s="189">
        <f>VLOOKUP(A17,'Growth Analysis'!A:G,4,FALSE)</f>
        <v>1</v>
      </c>
      <c r="D17" s="50">
        <f t="shared" si="0"/>
        <v>1</v>
      </c>
      <c r="E17" s="49">
        <f>VLOOKUP($A17,'Growth Analysis'!$A:$G,5,FALSE)</f>
        <v>0</v>
      </c>
      <c r="F17" s="49">
        <f>VLOOKUP($A17,'Growth Analysis'!$A:$G,6,FALSE)</f>
        <v>3429066.9000000004</v>
      </c>
      <c r="G17" s="50">
        <f t="shared" si="1"/>
        <v>1</v>
      </c>
      <c r="H17" s="159">
        <f t="shared" si="2"/>
        <v>1.921281829754164E-3</v>
      </c>
      <c r="I17" s="158">
        <f t="shared" si="3"/>
        <v>0</v>
      </c>
      <c r="J17" s="157">
        <v>0</v>
      </c>
      <c r="K17" s="162">
        <f>VLOOKUP($A17,[1]Notes!$A:$G,3,FALSE)</f>
        <v>4968000</v>
      </c>
      <c r="L17" s="161">
        <f>VLOOKUP($A17,[1]Notes!$A:$G,5,FALSE)</f>
        <v>2980800</v>
      </c>
      <c r="M17" s="161">
        <f>VLOOKUP($A17,[1]Notes!$A:$G,7,FALSE)</f>
        <v>3179519.9999999995</v>
      </c>
      <c r="N17" s="154">
        <f t="shared" si="4"/>
        <v>11128320</v>
      </c>
      <c r="O17" s="45">
        <f t="shared" si="5"/>
        <v>2593730.4701681212</v>
      </c>
      <c r="P17" s="45">
        <f t="shared" si="6"/>
        <v>1556238.2821008728</v>
      </c>
      <c r="Q17" s="45">
        <f t="shared" si="7"/>
        <v>1659987.5009075976</v>
      </c>
      <c r="R17" s="45">
        <f t="shared" si="8"/>
        <v>5809956.2531765923</v>
      </c>
      <c r="S17" s="153">
        <f t="shared" si="12"/>
        <v>-0.47791254626245538</v>
      </c>
      <c r="T17">
        <f>VLOOKUP($A17,'[2]All month (2)'!$E:$Y,8,FALSE)</f>
        <v>0</v>
      </c>
      <c r="U17">
        <f>VLOOKUP($A17,'[2]All month (2)'!$E:$Y,14,FALSE)</f>
        <v>3313484.9</v>
      </c>
      <c r="V17">
        <f>VLOOKUP($A17,'[2]All month (2)'!$E:$Y,20,FALSE)</f>
        <v>2140680.08</v>
      </c>
      <c r="W17">
        <f t="shared" si="13"/>
        <v>5454164.9800000004</v>
      </c>
      <c r="X17" s="152">
        <f t="shared" si="10"/>
        <v>6.5232950319847466E-2</v>
      </c>
    </row>
    <row r="18" spans="1:24" ht="16.2" customHeight="1" x14ac:dyDescent="0.3">
      <c r="A18" s="52" t="s">
        <v>321</v>
      </c>
      <c r="B18" s="189">
        <f>VLOOKUP($A18,'Growth Analysis'!A:G,2,FALSE)</f>
        <v>0</v>
      </c>
      <c r="C18" s="189">
        <f>VLOOKUP(A18,'Growth Analysis'!A:G,4,FALSE)</f>
        <v>1</v>
      </c>
      <c r="D18" s="50">
        <f t="shared" si="0"/>
        <v>1</v>
      </c>
      <c r="E18" s="49">
        <f>VLOOKUP($A18,'Growth Analysis'!$A:$G,5,FALSE)</f>
        <v>0</v>
      </c>
      <c r="F18" s="49">
        <f>VLOOKUP($A18,'Growth Analysis'!$A:$G,6,FALSE)</f>
        <v>5136695.55</v>
      </c>
      <c r="G18" s="50">
        <f t="shared" si="1"/>
        <v>1</v>
      </c>
      <c r="H18" s="159">
        <f t="shared" si="2"/>
        <v>2.8780540342313154E-3</v>
      </c>
      <c r="I18" s="158">
        <f t="shared" si="3"/>
        <v>0</v>
      </c>
      <c r="J18" s="157">
        <v>0</v>
      </c>
      <c r="K18" s="162">
        <f>VLOOKUP($A18,[1]Notes!$A:$G,3,FALSE)</f>
        <v>4968000</v>
      </c>
      <c r="L18" s="161">
        <f>VLOOKUP($A18,[1]Notes!$A:$G,5,FALSE)</f>
        <v>2980800</v>
      </c>
      <c r="M18" s="161">
        <f>VLOOKUP($A18,[1]Notes!$A:$G,7,FALSE)</f>
        <v>3179519.9999999995</v>
      </c>
      <c r="N18" s="154">
        <f t="shared" si="4"/>
        <v>11128320</v>
      </c>
      <c r="O18" s="45">
        <f t="shared" si="5"/>
        <v>3885372.9462122759</v>
      </c>
      <c r="P18" s="45">
        <f t="shared" si="6"/>
        <v>2331223.7677273653</v>
      </c>
      <c r="Q18" s="45">
        <f t="shared" si="7"/>
        <v>2486638.6855758564</v>
      </c>
      <c r="R18" s="45">
        <f t="shared" si="8"/>
        <v>8703235.3995154966</v>
      </c>
      <c r="S18" s="153">
        <f t="shared" si="12"/>
        <v>-0.21792009939366441</v>
      </c>
      <c r="T18">
        <f>VLOOKUP($A18,'[2]All month (2)'!$E:$Y,8,FALSE)</f>
        <v>0</v>
      </c>
      <c r="U18">
        <f>VLOOKUP($A18,'[2]All month (2)'!$E:$Y,14,FALSE)</f>
        <v>4066549.65</v>
      </c>
      <c r="V18">
        <f>VLOOKUP($A18,'[2]All month (2)'!$E:$Y,20,FALSE)</f>
        <v>2627198.2799999998</v>
      </c>
      <c r="W18">
        <f t="shared" si="13"/>
        <v>6693747.9299999997</v>
      </c>
      <c r="X18" s="152">
        <f t="shared" si="10"/>
        <v>0.30020363636780939</v>
      </c>
    </row>
    <row r="19" spans="1:24" ht="16.2" customHeight="1" thickBot="1" x14ac:dyDescent="0.35">
      <c r="A19" s="51" t="s">
        <v>320</v>
      </c>
      <c r="B19" s="189">
        <f>VLOOKUP($A19,'Growth Analysis'!A:G,2,FALSE)</f>
        <v>0</v>
      </c>
      <c r="C19" s="189">
        <f>VLOOKUP(A19,'Growth Analysis'!A:G,4,FALSE)</f>
        <v>1</v>
      </c>
      <c r="D19" s="50">
        <f t="shared" si="0"/>
        <v>1</v>
      </c>
      <c r="E19" s="49">
        <f>VLOOKUP($A19,'Growth Analysis'!$A:$G,5,FALSE)</f>
        <v>391680</v>
      </c>
      <c r="F19" s="49">
        <f>VLOOKUP($A19,'Growth Analysis'!$A:$G,6,FALSE)</f>
        <v>5416272.75</v>
      </c>
      <c r="G19" s="50">
        <f t="shared" si="1"/>
        <v>12.828310738357843</v>
      </c>
      <c r="H19" s="159">
        <f t="shared" si="2"/>
        <v>3.0346991537457658E-3</v>
      </c>
      <c r="I19" s="158">
        <f t="shared" si="3"/>
        <v>2.4346450255665139E-4</v>
      </c>
      <c r="J19" s="157">
        <v>0</v>
      </c>
      <c r="K19" s="156">
        <f>VLOOKUP($A19,[1]Notes!$A:$G,3,FALSE)</f>
        <v>5961600.0000000009</v>
      </c>
      <c r="L19" s="155">
        <f>VLOOKUP($A19,[1]Notes!$A:$G,5,FALSE)</f>
        <v>3576960.0000000005</v>
      </c>
      <c r="M19" s="155">
        <f>VLOOKUP($A19,[1]Notes!$A:$G,7,FALSE)</f>
        <v>3815424.0000000009</v>
      </c>
      <c r="N19" s="154">
        <f t="shared" si="4"/>
        <v>13353984.000000004</v>
      </c>
      <c r="O19" s="45">
        <f t="shared" si="5"/>
        <v>4096843.8575567836</v>
      </c>
      <c r="P19" s="45">
        <f t="shared" si="6"/>
        <v>2458106.3145340704</v>
      </c>
      <c r="Q19" s="45">
        <f t="shared" si="7"/>
        <v>2621980.0688363416</v>
      </c>
      <c r="R19" s="45">
        <f t="shared" si="8"/>
        <v>9176930.240927197</v>
      </c>
      <c r="S19" s="153">
        <f t="shared" si="12"/>
        <v>-0.31279457569162927</v>
      </c>
      <c r="T19">
        <f>VLOOKUP($A19,'[2]All month (2)'!$E:$Y,8,FALSE)</f>
        <v>0</v>
      </c>
      <c r="U19">
        <f>VLOOKUP($A19,'[2]All month (2)'!$E:$Y,14,FALSE)</f>
        <v>4066549.65</v>
      </c>
      <c r="V19">
        <f>VLOOKUP($A19,'[2]All month (2)'!$E:$Y,20,FALSE)</f>
        <v>2627198.2799999998</v>
      </c>
      <c r="W19">
        <f t="shared" si="13"/>
        <v>6693747.9299999997</v>
      </c>
      <c r="X19" s="152">
        <f t="shared" si="10"/>
        <v>0.37097039459733544</v>
      </c>
    </row>
    <row r="20" spans="1:24" ht="16.2" thickBot="1" x14ac:dyDescent="0.35">
      <c r="A20" s="43" t="s">
        <v>319</v>
      </c>
      <c r="B20" s="42">
        <f>SUM(B13:B19)</f>
        <v>515.93150400000002</v>
      </c>
      <c r="C20" s="40">
        <f>SUM(C13:C19)</f>
        <v>5.2322138921952712</v>
      </c>
      <c r="D20" s="41">
        <f t="shared" si="0"/>
        <v>-0.98985870439849077</v>
      </c>
      <c r="E20" s="40">
        <f>SUM(E13:E19)</f>
        <v>26868693.119999997</v>
      </c>
      <c r="F20" s="40">
        <f>SUM(F13:F19)</f>
        <v>42195245.399999999</v>
      </c>
      <c r="G20" s="151">
        <f t="shared" si="1"/>
        <v>0.5704241814646176</v>
      </c>
      <c r="H20" s="150">
        <f t="shared" si="2"/>
        <v>2.3641696313664209E-2</v>
      </c>
      <c r="I20" s="150">
        <f t="shared" si="3"/>
        <v>1.6701319967340995E-2</v>
      </c>
      <c r="J20" s="42">
        <f>SUM(J13:J19)</f>
        <v>505.8152</v>
      </c>
      <c r="K20" s="165">
        <f>SUM(K13:K19)</f>
        <v>41400000</v>
      </c>
      <c r="L20" s="165">
        <f>SUM(L13:L19)</f>
        <v>24840000</v>
      </c>
      <c r="M20" s="165">
        <f>SUM(M13:M19)</f>
        <v>26496000</v>
      </c>
      <c r="N20" s="36">
        <f t="shared" si="4"/>
        <v>92736000</v>
      </c>
      <c r="O20" s="36">
        <v>368</v>
      </c>
      <c r="P20" s="36">
        <f t="shared" si="6"/>
        <v>19149774.014068011</v>
      </c>
      <c r="Q20" s="36">
        <f t="shared" si="7"/>
        <v>20426425.615005877</v>
      </c>
      <c r="R20" s="148">
        <f t="shared" si="8"/>
        <v>39576567.629073888</v>
      </c>
      <c r="S20" s="41"/>
      <c r="T20" s="42">
        <f>SUM(T13:T19)</f>
        <v>47770098</v>
      </c>
      <c r="U20" s="42">
        <f>SUM(U13:U19)</f>
        <v>26063139.999999996</v>
      </c>
      <c r="V20" s="42">
        <f>SUM(V13:V19)</f>
        <v>20085464</v>
      </c>
      <c r="W20" s="147">
        <f>SUM(W13:W19)</f>
        <v>93918702</v>
      </c>
      <c r="X20" s="146">
        <f t="shared" si="10"/>
        <v>-0.57860823471480805</v>
      </c>
    </row>
    <row r="21" spans="1:24" ht="16.2" customHeight="1" x14ac:dyDescent="0.3">
      <c r="A21" s="53" t="s">
        <v>318</v>
      </c>
      <c r="B21" s="189">
        <f>VLOOKUP($A21,'Growth Analysis'!A:G,2,FALSE)</f>
        <v>185.65683000000001</v>
      </c>
      <c r="C21" s="189">
        <f>VLOOKUP(A21,'Growth Analysis'!A:G,4,FALSE)</f>
        <v>-0.93178220268007383</v>
      </c>
      <c r="D21" s="50">
        <f t="shared" si="0"/>
        <v>-1.0050188414974017</v>
      </c>
      <c r="E21" s="49">
        <f>VLOOKUP($A21,'Growth Analysis'!$A:$G,5,FALSE)</f>
        <v>6910500</v>
      </c>
      <c r="F21" s="49">
        <f>VLOOKUP($A21,'Growth Analysis'!$A:$G,6,FALSE)</f>
        <v>1155000</v>
      </c>
      <c r="G21" s="50">
        <f t="shared" si="1"/>
        <v>-0.83286303451269805</v>
      </c>
      <c r="H21" s="159">
        <f t="shared" si="2"/>
        <v>6.471382968253139E-4</v>
      </c>
      <c r="I21" s="158">
        <f t="shared" si="3"/>
        <v>4.2955000125555034E-3</v>
      </c>
      <c r="J21" s="157">
        <v>182.01650000000001</v>
      </c>
      <c r="K21" s="164">
        <f>VLOOKUP($A21,[1]Notes!$A:$G,3,FALSE)</f>
        <v>4475675.6756756762</v>
      </c>
      <c r="L21" s="163">
        <f>VLOOKUP($A21,[1]Notes!$A:$G,5,FALSE)</f>
        <v>2685405.4054054059</v>
      </c>
      <c r="M21" s="163">
        <f>VLOOKUP($A21,[1]Notes!$A:$G,7,FALSE)</f>
        <v>2864432.4324324331</v>
      </c>
      <c r="N21" s="154">
        <f t="shared" si="4"/>
        <v>10025513.513513515</v>
      </c>
      <c r="O21" s="45">
        <f t="shared" ref="O21:O84" si="14">$O$3*H21</f>
        <v>873636.70071417373</v>
      </c>
      <c r="P21" s="45">
        <f t="shared" si="6"/>
        <v>524182.02042850427</v>
      </c>
      <c r="Q21" s="45">
        <f t="shared" si="7"/>
        <v>559127.48845707125</v>
      </c>
      <c r="R21" s="45">
        <f t="shared" si="8"/>
        <v>1956946.2095997492</v>
      </c>
      <c r="S21" s="153">
        <f t="shared" ref="S21:S26" si="15">R21/N21-1</f>
        <v>-0.80480339416410374</v>
      </c>
      <c r="T21">
        <f>VLOOKUP($A21,'[2]All month (2)'!$E:$Y,8,FALSE)</f>
        <v>3514000</v>
      </c>
      <c r="U21">
        <f>VLOOKUP($A21,'[2]All month (2)'!$E:$Y,14,FALSE)</f>
        <v>1791000</v>
      </c>
      <c r="V21">
        <f>VLOOKUP($A21,'[2]All month (2)'!$E:$Y,20,FALSE)</f>
        <v>2279000</v>
      </c>
      <c r="W21">
        <f t="shared" ref="W21:W26" si="16">SUM(T21:V21)</f>
        <v>7584000</v>
      </c>
      <c r="X21" s="152">
        <f t="shared" si="10"/>
        <v>-0.74196384367091917</v>
      </c>
    </row>
    <row r="22" spans="1:24" ht="16.2" customHeight="1" x14ac:dyDescent="0.3">
      <c r="A22" s="52" t="s">
        <v>317</v>
      </c>
      <c r="B22" s="189">
        <f>VLOOKUP($A22,'Growth Analysis'!A:G,2,FALSE)</f>
        <v>0</v>
      </c>
      <c r="C22" s="189">
        <f>VLOOKUP(A22,'Growth Analysis'!A:G,4,FALSE)</f>
        <v>1</v>
      </c>
      <c r="D22" s="50">
        <f t="shared" si="0"/>
        <v>1</v>
      </c>
      <c r="E22" s="49">
        <f>VLOOKUP($A22,'Growth Analysis'!$A:$G,5,FALSE)</f>
        <v>0</v>
      </c>
      <c r="F22" s="49">
        <f>VLOOKUP($A22,'Growth Analysis'!$A:$G,6,FALSE)</f>
        <v>4006543.7858449691</v>
      </c>
      <c r="G22" s="50">
        <f t="shared" si="1"/>
        <v>1</v>
      </c>
      <c r="H22" s="159">
        <f t="shared" si="2"/>
        <v>2.2448380274699207E-3</v>
      </c>
      <c r="I22" s="158">
        <f t="shared" si="3"/>
        <v>0</v>
      </c>
      <c r="J22" s="157">
        <v>0</v>
      </c>
      <c r="K22" s="162">
        <f>VLOOKUP($A22,[1]Notes!$A:$G,3,FALSE)</f>
        <v>5967567.5675675664</v>
      </c>
      <c r="L22" s="161">
        <f>VLOOKUP($A22,[1]Notes!$A:$G,5,FALSE)</f>
        <v>3580540.5405405397</v>
      </c>
      <c r="M22" s="161">
        <f>VLOOKUP($A22,[1]Notes!$A:$G,7,FALSE)</f>
        <v>3819243.2432432426</v>
      </c>
      <c r="N22" s="154">
        <f t="shared" si="4"/>
        <v>13367351.351351351</v>
      </c>
      <c r="O22" s="45">
        <f t="shared" si="14"/>
        <v>3030531.337084393</v>
      </c>
      <c r="P22" s="45">
        <f t="shared" si="6"/>
        <v>1818318.8022506358</v>
      </c>
      <c r="Q22" s="45">
        <f t="shared" si="7"/>
        <v>1939540.0557340116</v>
      </c>
      <c r="R22" s="45">
        <f t="shared" si="8"/>
        <v>6788390.1950690402</v>
      </c>
      <c r="S22" s="153">
        <f t="shared" si="15"/>
        <v>-0.4921663973182856</v>
      </c>
      <c r="T22">
        <f>VLOOKUP($A22,'[2]All month (2)'!$E:$Y,8,FALSE)</f>
        <v>0</v>
      </c>
      <c r="U22">
        <f>VLOOKUP($A22,'[2]All month (2)'!$E:$Y,14,FALSE)</f>
        <v>3322557.12</v>
      </c>
      <c r="V22">
        <f>VLOOKUP($A22,'[2]All month (2)'!$E:$Y,20,FALSE)</f>
        <v>2274085.44</v>
      </c>
      <c r="W22">
        <f t="shared" si="16"/>
        <v>5596642.5600000005</v>
      </c>
      <c r="X22" s="152">
        <f t="shared" si="10"/>
        <v>0.21293974419353298</v>
      </c>
    </row>
    <row r="23" spans="1:24" ht="16.2" customHeight="1" x14ac:dyDescent="0.3">
      <c r="A23" s="52" t="s">
        <v>316</v>
      </c>
      <c r="B23" s="189">
        <f>VLOOKUP($A23,'Growth Analysis'!A:G,2,FALSE)</f>
        <v>1370.4013649999999</v>
      </c>
      <c r="C23" s="189">
        <f>VLOOKUP(A23,'Growth Analysis'!A:G,4,FALSE)</f>
        <v>-0.9064768674540834</v>
      </c>
      <c r="D23" s="50">
        <f t="shared" si="0"/>
        <v>-1.0006614681586035</v>
      </c>
      <c r="E23" s="49">
        <f>VLOOKUP($A23,'Growth Analysis'!$A:$G,5,FALSE)</f>
        <v>21299339.100000001</v>
      </c>
      <c r="F23" s="49">
        <f>VLOOKUP($A23,'Growth Analysis'!$A:$G,6,FALSE)</f>
        <v>3415849.0253009149</v>
      </c>
      <c r="G23" s="50">
        <f t="shared" si="1"/>
        <v>-0.83962652506429569</v>
      </c>
      <c r="H23" s="159">
        <f t="shared" si="2"/>
        <v>1.913875948437786E-3</v>
      </c>
      <c r="I23" s="158">
        <f t="shared" si="3"/>
        <v>1.3239463334270158E-2</v>
      </c>
      <c r="J23" s="157">
        <v>1343.5307499999999</v>
      </c>
      <c r="K23" s="162">
        <f>VLOOKUP($A23,[1]Notes!$A:$G,3,FALSE)</f>
        <v>5221621.6216216199</v>
      </c>
      <c r="L23" s="161">
        <f>VLOOKUP($A23,[1]Notes!$A:$G,5,FALSE)</f>
        <v>3132972.9729729723</v>
      </c>
      <c r="M23" s="161">
        <f>VLOOKUP($A23,[1]Notes!$A:$G,7,FALSE)</f>
        <v>3341837.8378378372</v>
      </c>
      <c r="N23" s="154">
        <f t="shared" si="4"/>
        <v>11696432.43243243</v>
      </c>
      <c r="O23" s="45">
        <f t="shared" si="14"/>
        <v>2583732.5303910109</v>
      </c>
      <c r="P23" s="45">
        <f t="shared" si="6"/>
        <v>1550239.5182346066</v>
      </c>
      <c r="Q23" s="45">
        <f t="shared" si="7"/>
        <v>1653588.8194502471</v>
      </c>
      <c r="R23" s="45">
        <f t="shared" si="8"/>
        <v>5787560.8680758644</v>
      </c>
      <c r="S23" s="153">
        <f t="shared" si="15"/>
        <v>-0.50518579904519967</v>
      </c>
      <c r="T23">
        <f>VLOOKUP($A23,'[2]All month (2)'!$E:$Y,8,FALSE)</f>
        <v>20975628</v>
      </c>
      <c r="U23">
        <f>VLOOKUP($A23,'[2]All month (2)'!$E:$Y,14,FALSE)</f>
        <v>6437454.4199999999</v>
      </c>
      <c r="V23">
        <f>VLOOKUP($A23,'[2]All month (2)'!$E:$Y,20,FALSE)</f>
        <v>4406040.54</v>
      </c>
      <c r="W23">
        <f t="shared" si="16"/>
        <v>31819122.960000001</v>
      </c>
      <c r="X23" s="152">
        <f t="shared" si="10"/>
        <v>-0.81811060991997053</v>
      </c>
    </row>
    <row r="24" spans="1:24" ht="16.2" customHeight="1" x14ac:dyDescent="0.3">
      <c r="A24" s="52" t="s">
        <v>315</v>
      </c>
      <c r="B24" s="189">
        <f>VLOOKUP($A24,'Growth Analysis'!A:G,2,FALSE)</f>
        <v>0</v>
      </c>
      <c r="C24" s="189">
        <f>VLOOKUP(A24,'Growth Analysis'!A:G,4,FALSE)</f>
        <v>1</v>
      </c>
      <c r="D24" s="50">
        <f t="shared" si="0"/>
        <v>1</v>
      </c>
      <c r="E24" s="49">
        <f>VLOOKUP($A24,'Growth Analysis'!$A:$G,5,FALSE)</f>
        <v>0</v>
      </c>
      <c r="F24" s="49">
        <f>VLOOKUP($A24,'Growth Analysis'!$A:$G,6,FALSE)</f>
        <v>2354295.2206307175</v>
      </c>
      <c r="G24" s="50">
        <f t="shared" si="1"/>
        <v>1</v>
      </c>
      <c r="H24" s="159">
        <f t="shared" si="2"/>
        <v>1.3190948911713759E-3</v>
      </c>
      <c r="I24" s="158">
        <f t="shared" si="3"/>
        <v>0</v>
      </c>
      <c r="J24" s="157">
        <v>0</v>
      </c>
      <c r="K24" s="162">
        <f>VLOOKUP($A24,[1]Notes!$A:$G,3,FALSE)</f>
        <v>3729729.7297297292</v>
      </c>
      <c r="L24" s="161">
        <f>VLOOKUP($A24,[1]Notes!$A:$G,5,FALSE)</f>
        <v>2237837.8378378376</v>
      </c>
      <c r="M24" s="161">
        <f>VLOOKUP($A24,[1]Notes!$A:$G,7,FALSE)</f>
        <v>2387027.0270270268</v>
      </c>
      <c r="N24" s="154">
        <f t="shared" si="4"/>
        <v>8354594.5945945932</v>
      </c>
      <c r="O24" s="45">
        <f t="shared" si="14"/>
        <v>1780778.1030813574</v>
      </c>
      <c r="P24" s="45">
        <f t="shared" si="6"/>
        <v>1068466.8618488144</v>
      </c>
      <c r="Q24" s="45">
        <f t="shared" si="7"/>
        <v>1139697.9859720687</v>
      </c>
      <c r="R24" s="45">
        <f t="shared" si="8"/>
        <v>3988942.9509022408</v>
      </c>
      <c r="S24" s="153">
        <f t="shared" si="15"/>
        <v>-0.52254500134775195</v>
      </c>
      <c r="T24">
        <f>VLOOKUP($A24,'[2]All month (2)'!$E:$Y,8,FALSE)</f>
        <v>0</v>
      </c>
      <c r="U24">
        <f>VLOOKUP($A24,'[2]All month (2)'!$E:$Y,14,FALSE)</f>
        <v>4153196.4</v>
      </c>
      <c r="V24">
        <f>VLOOKUP($A24,'[2]All month (2)'!$E:$Y,20,FALSE)</f>
        <v>2842606.8</v>
      </c>
      <c r="W24">
        <f t="shared" si="16"/>
        <v>6995803.1999999993</v>
      </c>
      <c r="X24" s="152">
        <f t="shared" si="10"/>
        <v>-0.42980915316453711</v>
      </c>
    </row>
    <row r="25" spans="1:24" ht="16.2" customHeight="1" x14ac:dyDescent="0.3">
      <c r="A25" s="52" t="s">
        <v>314</v>
      </c>
      <c r="B25" s="189">
        <f>VLOOKUP($A25,'Growth Analysis'!A:G,2,FALSE)</f>
        <v>0</v>
      </c>
      <c r="C25" s="189">
        <f>VLOOKUP(A25,'Growth Analysis'!A:G,4,FALSE)</f>
        <v>1</v>
      </c>
      <c r="D25" s="50">
        <f t="shared" si="0"/>
        <v>1</v>
      </c>
      <c r="E25" s="49">
        <f>VLOOKUP($A25,'Growth Analysis'!$A:$G,5,FALSE)</f>
        <v>0</v>
      </c>
      <c r="F25" s="49">
        <f>VLOOKUP($A25,'Growth Analysis'!$A:$G,6,FALSE)</f>
        <v>4006543.7858449691</v>
      </c>
      <c r="G25" s="50">
        <f t="shared" si="1"/>
        <v>1</v>
      </c>
      <c r="H25" s="159">
        <f t="shared" si="2"/>
        <v>2.2448380274699207E-3</v>
      </c>
      <c r="I25" s="158">
        <f t="shared" si="3"/>
        <v>0</v>
      </c>
      <c r="J25" s="157">
        <v>0</v>
      </c>
      <c r="K25" s="162">
        <f>VLOOKUP($A25,[1]Notes!$A:$G,3,FALSE)</f>
        <v>5967567.5675675664</v>
      </c>
      <c r="L25" s="161">
        <f>VLOOKUP($A25,[1]Notes!$A:$G,5,FALSE)</f>
        <v>3580540.5405405397</v>
      </c>
      <c r="M25" s="161">
        <f>VLOOKUP($A25,[1]Notes!$A:$G,7,FALSE)</f>
        <v>3819243.2432432426</v>
      </c>
      <c r="N25" s="154">
        <f t="shared" si="4"/>
        <v>13367351.351351351</v>
      </c>
      <c r="O25" s="45">
        <f t="shared" si="14"/>
        <v>3030531.337084393</v>
      </c>
      <c r="P25" s="45">
        <f t="shared" si="6"/>
        <v>1818318.8022506358</v>
      </c>
      <c r="Q25" s="45">
        <f t="shared" si="7"/>
        <v>1939540.0557340116</v>
      </c>
      <c r="R25" s="45">
        <f t="shared" si="8"/>
        <v>6788390.1950690402</v>
      </c>
      <c r="S25" s="153">
        <f t="shared" si="15"/>
        <v>-0.4921663973182856</v>
      </c>
      <c r="T25">
        <f>VLOOKUP($A25,'[2]All month (2)'!$E:$Y,8,FALSE)</f>
        <v>0</v>
      </c>
      <c r="U25">
        <f>VLOOKUP($A25,'[2]All month (2)'!$E:$Y,14,FALSE)</f>
        <v>4360856.22</v>
      </c>
      <c r="V25">
        <f>VLOOKUP($A25,'[2]All month (2)'!$E:$Y,20,FALSE)</f>
        <v>2984737.14</v>
      </c>
      <c r="W25">
        <f t="shared" si="16"/>
        <v>7345593.3599999994</v>
      </c>
      <c r="X25" s="152">
        <f t="shared" si="10"/>
        <v>-7.5855432995403288E-2</v>
      </c>
    </row>
    <row r="26" spans="1:24" ht="16.2" customHeight="1" thickBot="1" x14ac:dyDescent="0.35">
      <c r="A26" s="51" t="s">
        <v>313</v>
      </c>
      <c r="B26" s="189">
        <f>VLOOKUP($A26,'Growth Analysis'!A:G,2,FALSE)</f>
        <v>0</v>
      </c>
      <c r="C26" s="189">
        <f>VLOOKUP(A26,'Growth Analysis'!A:G,4,FALSE)</f>
        <v>1</v>
      </c>
      <c r="D26" s="50">
        <f t="shared" si="0"/>
        <v>1</v>
      </c>
      <c r="E26" s="49">
        <f>VLOOKUP($A26,'Growth Analysis'!$A:$G,5,FALSE)</f>
        <v>0</v>
      </c>
      <c r="F26" s="49">
        <f>VLOOKUP($A26,'Growth Analysis'!$A:$G,6,FALSE)</f>
        <v>1412577.1323784306</v>
      </c>
      <c r="G26" s="50">
        <f t="shared" si="1"/>
        <v>1</v>
      </c>
      <c r="H26" s="159">
        <f t="shared" si="2"/>
        <v>7.9145693470282562E-4</v>
      </c>
      <c r="I26" s="158">
        <f t="shared" si="3"/>
        <v>0</v>
      </c>
      <c r="J26" s="157">
        <v>0</v>
      </c>
      <c r="K26" s="156">
        <f>VLOOKUP($A26,[1]Notes!$A:$G,3,FALSE)</f>
        <v>2237837.8378378381</v>
      </c>
      <c r="L26" s="155">
        <f>VLOOKUP($A26,[1]Notes!$A:$G,5,FALSE)</f>
        <v>1342702.702702703</v>
      </c>
      <c r="M26" s="155">
        <f>VLOOKUP($A26,[1]Notes!$A:$G,7,FALSE)</f>
        <v>1432216.2162162166</v>
      </c>
      <c r="N26" s="154">
        <f t="shared" si="4"/>
        <v>5012756.7567567574</v>
      </c>
      <c r="O26" s="45">
        <f t="shared" si="14"/>
        <v>1068466.8618488146</v>
      </c>
      <c r="P26" s="45">
        <f t="shared" si="6"/>
        <v>641080.11710928869</v>
      </c>
      <c r="Q26" s="45">
        <f t="shared" si="7"/>
        <v>683818.79158324131</v>
      </c>
      <c r="R26" s="45">
        <f t="shared" si="8"/>
        <v>2393365.7705413448</v>
      </c>
      <c r="S26" s="153">
        <f t="shared" si="15"/>
        <v>-0.52254500134775195</v>
      </c>
      <c r="T26">
        <f>VLOOKUP($A26,'[2]All month (2)'!$E:$Y,8,FALSE)</f>
        <v>0</v>
      </c>
      <c r="U26">
        <f>VLOOKUP($A26,'[2]All month (2)'!$E:$Y,14,FALSE)</f>
        <v>2491917.84</v>
      </c>
      <c r="V26">
        <f>VLOOKUP($A26,'[2]All month (2)'!$E:$Y,20,FALSE)</f>
        <v>1705564.08</v>
      </c>
      <c r="W26">
        <f t="shared" si="16"/>
        <v>4197481.92</v>
      </c>
      <c r="X26" s="152">
        <f t="shared" si="10"/>
        <v>-0.42980915316453711</v>
      </c>
    </row>
    <row r="27" spans="1:24" ht="16.2" thickBot="1" x14ac:dyDescent="0.35">
      <c r="A27" s="43" t="s">
        <v>312</v>
      </c>
      <c r="B27" s="42">
        <f>SUM(B21:B26)</f>
        <v>1556.0581950000001</v>
      </c>
      <c r="C27" s="40">
        <f>SUM(C21:C26)</f>
        <v>2.161740929865843</v>
      </c>
      <c r="D27" s="41">
        <f t="shared" si="0"/>
        <v>-0.99861075830144908</v>
      </c>
      <c r="E27" s="40">
        <f>SUM(E21:E26)</f>
        <v>28209839.100000001</v>
      </c>
      <c r="F27" s="40">
        <f>SUM(F21:F26)</f>
        <v>16350808.949999999</v>
      </c>
      <c r="G27" s="151">
        <f t="shared" si="1"/>
        <v>-0.42038630947030114</v>
      </c>
      <c r="H27" s="150">
        <f t="shared" si="2"/>
        <v>9.1612421260771418E-3</v>
      </c>
      <c r="I27" s="150">
        <f t="shared" si="3"/>
        <v>1.7534963346825663E-2</v>
      </c>
      <c r="J27" s="42">
        <f>SUM(J21:J26)</f>
        <v>1525.5472499999998</v>
      </c>
      <c r="K27" s="165">
        <f>SUM(K21:K26)</f>
        <v>27600000</v>
      </c>
      <c r="L27" s="165">
        <f>SUM(L21:L26)</f>
        <v>16559999.999999998</v>
      </c>
      <c r="M27" s="165">
        <f>SUM(M21:M26)</f>
        <v>17664000</v>
      </c>
      <c r="N27" s="36">
        <f t="shared" si="4"/>
        <v>61824000</v>
      </c>
      <c r="O27" s="36">
        <f t="shared" si="14"/>
        <v>12367676.870204141</v>
      </c>
      <c r="P27" s="36">
        <f t="shared" si="6"/>
        <v>7420606.1221224852</v>
      </c>
      <c r="Q27" s="36">
        <f t="shared" si="7"/>
        <v>7915313.1969306506</v>
      </c>
      <c r="R27" s="148">
        <f t="shared" si="8"/>
        <v>27703596.189257275</v>
      </c>
      <c r="S27" s="41"/>
      <c r="T27" s="42">
        <f>SUM(T21:T26)</f>
        <v>24489628</v>
      </c>
      <c r="U27" s="42">
        <f>SUM(U21:U26)</f>
        <v>22556982</v>
      </c>
      <c r="V27" s="42">
        <f>SUM(V21:V26)</f>
        <v>16492034.000000002</v>
      </c>
      <c r="W27" s="147">
        <f>SUM(W21:W26)</f>
        <v>63538644</v>
      </c>
      <c r="X27" s="146">
        <f t="shared" si="10"/>
        <v>-0.56398823699704259</v>
      </c>
    </row>
    <row r="28" spans="1:24" ht="16.2" customHeight="1" x14ac:dyDescent="0.3">
      <c r="A28" s="53" t="s">
        <v>311</v>
      </c>
      <c r="B28" s="189">
        <f>VLOOKUP($A28,'Growth Analysis'!A:G,2,FALSE)</f>
        <v>0</v>
      </c>
      <c r="C28" s="189">
        <f>VLOOKUP(A28,'Growth Analysis'!A:G,4,FALSE)</f>
        <v>1</v>
      </c>
      <c r="D28" s="50">
        <f t="shared" si="0"/>
        <v>1</v>
      </c>
      <c r="E28" s="49">
        <f>VLOOKUP($A28,'Growth Analysis'!$A:$G,5,FALSE)</f>
        <v>0</v>
      </c>
      <c r="F28" s="49">
        <f>VLOOKUP($A28,'Growth Analysis'!$A:$G,6,FALSE)</f>
        <v>15630805.830275232</v>
      </c>
      <c r="G28" s="50">
        <f t="shared" si="1"/>
        <v>1</v>
      </c>
      <c r="H28" s="159">
        <f t="shared" si="2"/>
        <v>8.7578294917848489E-3</v>
      </c>
      <c r="I28" s="158">
        <f t="shared" si="3"/>
        <v>0</v>
      </c>
      <c r="J28" s="157">
        <v>0</v>
      </c>
      <c r="K28" s="164">
        <f>VLOOKUP($A28,[1]Notes!$A:$G,3,FALSE)</f>
        <v>10466507.675972153</v>
      </c>
      <c r="L28" s="163">
        <f>VLOOKUP($A28,[1]Notes!$A:$G,5,FALSE)</f>
        <v>6279904.6055832915</v>
      </c>
      <c r="M28" s="163">
        <f>VLOOKUP($A28,[1]Notes!$A:$G,7,FALSE)</f>
        <v>6698564.912622178</v>
      </c>
      <c r="N28" s="154">
        <f t="shared" si="4"/>
        <v>23444977.19417762</v>
      </c>
      <c r="O28" s="45">
        <f t="shared" si="14"/>
        <v>11823069.813909546</v>
      </c>
      <c r="P28" s="45">
        <f t="shared" si="6"/>
        <v>7093841.8883457277</v>
      </c>
      <c r="Q28" s="45">
        <f t="shared" si="7"/>
        <v>7566764.6809021095</v>
      </c>
      <c r="R28" s="45">
        <f t="shared" si="8"/>
        <v>26483676.38315738</v>
      </c>
      <c r="S28" s="153">
        <f>R28/N28-1</f>
        <v>0.12960981637185798</v>
      </c>
      <c r="T28">
        <f>VLOOKUP($A28,'[2]All month (2)'!$E:$Y,8,FALSE)</f>
        <v>0</v>
      </c>
      <c r="U28">
        <f>VLOOKUP($A28,'[2]All month (2)'!$E:$Y,14,FALSE)</f>
        <v>5661173.5</v>
      </c>
      <c r="V28">
        <f>VLOOKUP($A28,'[2]All month (2)'!$E:$Y,20,FALSE)</f>
        <v>9222132.4000000004</v>
      </c>
      <c r="W28">
        <f t="shared" ref="W28:W35" si="17">SUM(T28:V28)</f>
        <v>14883305.9</v>
      </c>
      <c r="X28" s="152">
        <f t="shared" si="10"/>
        <v>0.77942162588738961</v>
      </c>
    </row>
    <row r="29" spans="1:24" ht="16.2" customHeight="1" x14ac:dyDescent="0.3">
      <c r="A29" s="52" t="s">
        <v>310</v>
      </c>
      <c r="B29" s="189">
        <f>VLOOKUP($A29,'Growth Analysis'!A:G,2,FALSE)</f>
        <v>0</v>
      </c>
      <c r="C29" s="189">
        <f>VLOOKUP(A29,'Growth Analysis'!A:G,4,FALSE)</f>
        <v>1</v>
      </c>
      <c r="D29" s="50">
        <f t="shared" si="0"/>
        <v>1</v>
      </c>
      <c r="E29" s="49">
        <f>VLOOKUP($A29,'Growth Analysis'!$A:$G,5,FALSE)</f>
        <v>357000</v>
      </c>
      <c r="F29" s="49">
        <f>VLOOKUP($A29,'Growth Analysis'!$A:$G,6,FALSE)</f>
        <v>16050805.830275236</v>
      </c>
      <c r="G29" s="50">
        <f t="shared" si="1"/>
        <v>43.960240420939037</v>
      </c>
      <c r="H29" s="159">
        <f t="shared" si="2"/>
        <v>8.9931525088122379E-3</v>
      </c>
      <c r="I29" s="158">
        <f t="shared" si="3"/>
        <v>2.2190774972611455E-4</v>
      </c>
      <c r="J29" s="157">
        <v>0</v>
      </c>
      <c r="K29" s="162">
        <f>VLOOKUP($A29,[1]Notes!$A:$G,3,FALSE)</f>
        <v>10466507.675972153</v>
      </c>
      <c r="L29" s="161">
        <f>VLOOKUP($A29,[1]Notes!$A:$G,5,FALSE)</f>
        <v>6279904.6055832915</v>
      </c>
      <c r="M29" s="161">
        <f>VLOOKUP($A29,[1]Notes!$A:$G,7,FALSE)</f>
        <v>6698564.912622178</v>
      </c>
      <c r="N29" s="154">
        <f t="shared" si="4"/>
        <v>23444977.19417762</v>
      </c>
      <c r="O29" s="45">
        <f t="shared" si="14"/>
        <v>12140755.886896521</v>
      </c>
      <c r="P29" s="45">
        <f t="shared" si="6"/>
        <v>7284453.5321379127</v>
      </c>
      <c r="Q29" s="45">
        <f t="shared" si="7"/>
        <v>7770083.7676137732</v>
      </c>
      <c r="R29" s="45">
        <f t="shared" si="8"/>
        <v>27195293.186648205</v>
      </c>
      <c r="S29" s="153">
        <f>R29/N29-1</f>
        <v>0.15996245001261711</v>
      </c>
      <c r="T29">
        <f>VLOOKUP($A29,'[2]All month (2)'!$E:$Y,8,FALSE)</f>
        <v>50000</v>
      </c>
      <c r="U29">
        <f>VLOOKUP($A29,'[2]All month (2)'!$E:$Y,14,FALSE)</f>
        <v>4924390</v>
      </c>
      <c r="V29">
        <f>VLOOKUP($A29,'[2]All month (2)'!$E:$Y,20,FALSE)</f>
        <v>8020876</v>
      </c>
      <c r="W29">
        <f t="shared" si="17"/>
        <v>12995266</v>
      </c>
      <c r="X29" s="152">
        <f t="shared" si="10"/>
        <v>1.0927076972990168</v>
      </c>
    </row>
    <row r="30" spans="1:24" ht="16.2" customHeight="1" x14ac:dyDescent="0.3">
      <c r="A30" s="52" t="s">
        <v>309</v>
      </c>
      <c r="B30" s="189">
        <f>VLOOKUP($A30,'Growth Analysis'!A:G,2,FALSE)</f>
        <v>2222.1153899999999</v>
      </c>
      <c r="C30" s="189">
        <f>VLOOKUP(A30,'Growth Analysis'!A:G,4,FALSE)</f>
        <v>-0.88216842497094627</v>
      </c>
      <c r="D30" s="50">
        <f t="shared" si="0"/>
        <v>-1.0003969948765672</v>
      </c>
      <c r="E30" s="49">
        <f>VLOOKUP($A30,'Growth Analysis'!$A:$G,5,FALSE)</f>
        <v>59488914.300000004</v>
      </c>
      <c r="F30" s="49">
        <f>VLOOKUP($A30,'Growth Analysis'!$A:$G,6,FALSE)</f>
        <v>11595444.876605509</v>
      </c>
      <c r="G30" s="50">
        <f t="shared" si="1"/>
        <v>-0.80508225754246943</v>
      </c>
      <c r="H30" s="159">
        <f t="shared" si="2"/>
        <v>6.4968454098513432E-3</v>
      </c>
      <c r="I30" s="158">
        <f t="shared" si="3"/>
        <v>3.6977734190371647E-2</v>
      </c>
      <c r="J30" s="157">
        <v>2178.5445</v>
      </c>
      <c r="K30" s="162">
        <f>VLOOKUP($A30,[1]Notes!$A:$G,3,FALSE)</f>
        <v>9419856.9083749373</v>
      </c>
      <c r="L30" s="161">
        <f>VLOOKUP($A30,[1]Notes!$A:$G,5,FALSE)</f>
        <v>5651914.1450249618</v>
      </c>
      <c r="M30" s="161">
        <f>VLOOKUP($A30,[1]Notes!$A:$G,7,FALSE)</f>
        <v>6028708.4213599591</v>
      </c>
      <c r="N30" s="154">
        <f t="shared" si="4"/>
        <v>21100479.474759858</v>
      </c>
      <c r="O30" s="45">
        <f t="shared" si="14"/>
        <v>8770741.3032993134</v>
      </c>
      <c r="P30" s="45">
        <f t="shared" si="6"/>
        <v>5262444.7819795879</v>
      </c>
      <c r="Q30" s="45">
        <f t="shared" si="7"/>
        <v>5613274.4341115607</v>
      </c>
      <c r="R30" s="45">
        <f t="shared" si="8"/>
        <v>19646460.519390464</v>
      </c>
      <c r="S30" s="153">
        <f>N30/R30-1</f>
        <v>7.4009206591402199E-2</v>
      </c>
      <c r="T30">
        <f>VLOOKUP($A30,'[2]All month (2)'!$E:$Y,8,FALSE)</f>
        <v>45832080</v>
      </c>
      <c r="U30">
        <f>VLOOKUP($A30,'[2]All month (2)'!$E:$Y,14,FALSE)</f>
        <v>5648673.5</v>
      </c>
      <c r="V30">
        <f>VLOOKUP($A30,'[2]All month (2)'!$E:$Y,20,FALSE)</f>
        <v>9209632.4000000004</v>
      </c>
      <c r="W30">
        <f t="shared" si="17"/>
        <v>60690385.899999999</v>
      </c>
      <c r="X30" s="152">
        <f t="shared" si="10"/>
        <v>-0.67628380956809064</v>
      </c>
    </row>
    <row r="31" spans="1:24" ht="16.2" customHeight="1" x14ac:dyDescent="0.3">
      <c r="A31" s="52" t="s">
        <v>308</v>
      </c>
      <c r="B31" s="189">
        <f>VLOOKUP($A31,'Growth Analysis'!A:G,2,FALSE)</f>
        <v>61.511099999999992</v>
      </c>
      <c r="C31" s="189">
        <f>VLOOKUP(A31,'Growth Analysis'!A:G,4,FALSE)</f>
        <v>2.6198195862210243</v>
      </c>
      <c r="D31" s="50">
        <f t="shared" si="0"/>
        <v>-0.95740899469817597</v>
      </c>
      <c r="E31" s="49">
        <f>VLOOKUP($A31,'Growth Analysis'!$A:$G,5,FALSE)</f>
        <v>2027760</v>
      </c>
      <c r="F31" s="49">
        <f>VLOOKUP($A31,'Growth Analysis'!$A:$G,6,FALSE)</f>
        <v>9794030.2266055066</v>
      </c>
      <c r="G31" s="50">
        <f t="shared" si="1"/>
        <v>3.8299750594772095</v>
      </c>
      <c r="H31" s="159">
        <f t="shared" si="2"/>
        <v>5.4875255756719745E-3</v>
      </c>
      <c r="I31" s="158">
        <f t="shared" si="3"/>
        <v>1.2604360184443307E-3</v>
      </c>
      <c r="J31" s="157">
        <v>60.304999999999993</v>
      </c>
      <c r="K31" s="162">
        <f>VLOOKUP($A31,[1]Notes!$A:$G,3,FALSE)</f>
        <v>6279904.6055832924</v>
      </c>
      <c r="L31" s="161">
        <f>VLOOKUP($A31,[1]Notes!$A:$G,5,FALSE)</f>
        <v>3767942.7633499755</v>
      </c>
      <c r="M31" s="161">
        <f>VLOOKUP($A31,[1]Notes!$A:$G,7,FALSE)</f>
        <v>4019138.947573307</v>
      </c>
      <c r="N31" s="154">
        <f t="shared" si="4"/>
        <v>14066986.316506576</v>
      </c>
      <c r="O31" s="45">
        <f t="shared" si="14"/>
        <v>7408159.527157166</v>
      </c>
      <c r="P31" s="45">
        <f t="shared" si="6"/>
        <v>4444895.7162942998</v>
      </c>
      <c r="Q31" s="45">
        <f t="shared" si="7"/>
        <v>4741222.097380586</v>
      </c>
      <c r="R31" s="45">
        <f t="shared" si="8"/>
        <v>16594277.340832051</v>
      </c>
      <c r="S31" s="153">
        <f>R31/N31-1</f>
        <v>0.17966115608997812</v>
      </c>
      <c r="T31">
        <f>VLOOKUP($A31,'[2]All month (2)'!$E:$Y,8,FALSE)</f>
        <v>0</v>
      </c>
      <c r="U31">
        <f>VLOOKUP($A31,'[2]All month (2)'!$E:$Y,14,FALSE)</f>
        <v>3942012</v>
      </c>
      <c r="V31">
        <f>VLOOKUP($A31,'[2]All month (2)'!$E:$Y,20,FALSE)</f>
        <v>6419200.7999999998</v>
      </c>
      <c r="W31">
        <f t="shared" si="17"/>
        <v>10361212.800000001</v>
      </c>
      <c r="X31" s="152">
        <f t="shared" si="10"/>
        <v>0.60157673248753751</v>
      </c>
    </row>
    <row r="32" spans="1:24" ht="16.2" customHeight="1" x14ac:dyDescent="0.3">
      <c r="A32" s="52" t="s">
        <v>307</v>
      </c>
      <c r="B32" s="189">
        <f>VLOOKUP($A32,'Growth Analysis'!A:G,2,FALSE)</f>
        <v>0</v>
      </c>
      <c r="C32" s="189">
        <f>VLOOKUP(A32,'Growth Analysis'!A:G,4,FALSE)</f>
        <v>1</v>
      </c>
      <c r="D32" s="50">
        <f t="shared" si="0"/>
        <v>1</v>
      </c>
      <c r="E32" s="49">
        <f>VLOOKUP($A32,'Growth Analysis'!$A:$G,5,FALSE)</f>
        <v>0</v>
      </c>
      <c r="F32" s="49">
        <f>VLOOKUP($A32,'Growth Analysis'!$A:$G,6,FALSE)</f>
        <v>9447741.2862385344</v>
      </c>
      <c r="G32" s="50">
        <f t="shared" si="1"/>
        <v>1</v>
      </c>
      <c r="H32" s="159">
        <f t="shared" si="2"/>
        <v>5.2935023418377537E-3</v>
      </c>
      <c r="I32" s="158">
        <f t="shared" si="3"/>
        <v>0</v>
      </c>
      <c r="J32" s="157">
        <v>0</v>
      </c>
      <c r="K32" s="162">
        <f>VLOOKUP($A32,[1]Notes!$A:$G,3,FALSE)</f>
        <v>6279904.6055832924</v>
      </c>
      <c r="L32" s="161">
        <f>VLOOKUP($A32,[1]Notes!$A:$G,5,FALSE)</f>
        <v>3767942.7633499755</v>
      </c>
      <c r="M32" s="161">
        <f>VLOOKUP($A32,[1]Notes!$A:$G,7,FALSE)</f>
        <v>4019138.947573307</v>
      </c>
      <c r="N32" s="154">
        <f t="shared" si="4"/>
        <v>14066986.316506576</v>
      </c>
      <c r="O32" s="45">
        <f t="shared" si="14"/>
        <v>7146228.1614809679</v>
      </c>
      <c r="P32" s="45">
        <f t="shared" si="6"/>
        <v>4287736.8968885802</v>
      </c>
      <c r="Q32" s="45">
        <f t="shared" si="7"/>
        <v>4573586.0233478192</v>
      </c>
      <c r="R32" s="45">
        <f t="shared" si="8"/>
        <v>16007551.081717366</v>
      </c>
      <c r="S32" s="153">
        <f>R32/N32-1</f>
        <v>0.13795170632487785</v>
      </c>
      <c r="T32">
        <f>VLOOKUP($A32,'[2]All month (2)'!$E:$Y,8,FALSE)</f>
        <v>0</v>
      </c>
      <c r="U32">
        <f>VLOOKUP($A32,'[2]All month (2)'!$E:$Y,14,FALSE)</f>
        <v>4420701</v>
      </c>
      <c r="V32">
        <f>VLOOKUP($A32,'[2]All month (2)'!$E:$Y,20,FALSE)</f>
        <v>7207538.4000000004</v>
      </c>
      <c r="W32">
        <f t="shared" si="17"/>
        <v>11628239.4</v>
      </c>
      <c r="X32" s="152">
        <f t="shared" si="10"/>
        <v>0.37661003794928455</v>
      </c>
    </row>
    <row r="33" spans="1:24" ht="16.2" customHeight="1" x14ac:dyDescent="0.3">
      <c r="A33" s="52" t="s">
        <v>306</v>
      </c>
      <c r="B33" s="189">
        <f>VLOOKUP($A33,'Growth Analysis'!A:G,2,FALSE)</f>
        <v>0</v>
      </c>
      <c r="C33" s="189">
        <f>VLOOKUP(A33,'Growth Analysis'!A:G,4,FALSE)</f>
        <v>1</v>
      </c>
      <c r="D33" s="50">
        <f t="shared" si="0"/>
        <v>1</v>
      </c>
      <c r="E33" s="49">
        <f>VLOOKUP($A33,'Growth Analysis'!$A:$G,5,FALSE)</f>
        <v>1261740</v>
      </c>
      <c r="F33" s="49">
        <f>VLOOKUP($A33,'Growth Analysis'!$A:$G,6,FALSE)</f>
        <v>2373149.4868421052</v>
      </c>
      <c r="G33" s="50">
        <f t="shared" si="1"/>
        <v>0.88085460304191443</v>
      </c>
      <c r="H33" s="159">
        <f t="shared" si="2"/>
        <v>1.3296588026206646E-3</v>
      </c>
      <c r="I33" s="158">
        <f t="shared" si="3"/>
        <v>7.8428538974629634E-4</v>
      </c>
      <c r="J33" s="157">
        <v>0</v>
      </c>
      <c r="K33" s="162">
        <f>VLOOKUP($A33,[1]Notes!$A:$G,3,FALSE)</f>
        <v>3139952.3027916462</v>
      </c>
      <c r="L33" s="161">
        <f>VLOOKUP($A33,[1]Notes!$A:$G,5,FALSE)</f>
        <v>1883971.3816749877</v>
      </c>
      <c r="M33" s="161">
        <f>VLOOKUP($A33,[1]Notes!$A:$G,7,FALSE)</f>
        <v>2009569.4737866535</v>
      </c>
      <c r="N33" s="154">
        <f t="shared" si="4"/>
        <v>7033493.1582532879</v>
      </c>
      <c r="O33" s="45">
        <f t="shared" si="14"/>
        <v>1795039.3835378974</v>
      </c>
      <c r="P33" s="45">
        <f t="shared" si="6"/>
        <v>1077023.6301227384</v>
      </c>
      <c r="Q33" s="45">
        <f t="shared" si="7"/>
        <v>1148825.2054642544</v>
      </c>
      <c r="R33" s="45">
        <f t="shared" si="8"/>
        <v>4020888.2191248899</v>
      </c>
      <c r="S33" s="153">
        <f>R33/N33-1</f>
        <v>-0.42832272262799131</v>
      </c>
      <c r="T33">
        <f>VLOOKUP($A33,'[2]All month (2)'!$E:$Y,8,FALSE)</f>
        <v>0</v>
      </c>
      <c r="U33">
        <f>VLOOKUP($A33,'[2]All month (2)'!$E:$Y,14,FALSE)</f>
        <v>1846193.84</v>
      </c>
      <c r="V33">
        <f>VLOOKUP($A33,'[2]All month (2)'!$E:$Y,20,FALSE)</f>
        <v>274368.59999999998</v>
      </c>
      <c r="W33">
        <f t="shared" si="17"/>
        <v>2120562.44</v>
      </c>
      <c r="X33" s="152">
        <f t="shared" si="10"/>
        <v>0.89614233624023354</v>
      </c>
    </row>
    <row r="34" spans="1:24" ht="16.2" customHeight="1" x14ac:dyDescent="0.3">
      <c r="A34" s="52" t="s">
        <v>305</v>
      </c>
      <c r="B34" s="189">
        <f>VLOOKUP($A34,'Growth Analysis'!A:G,2,FALSE)</f>
        <v>319.36200000000002</v>
      </c>
      <c r="C34" s="189">
        <f>VLOOKUP(A34,'Growth Analysis'!A:G,4,FALSE)</f>
        <v>-0.79126333909482038</v>
      </c>
      <c r="D34" s="50">
        <f t="shared" si="0"/>
        <v>-1.0024776377248854</v>
      </c>
      <c r="E34" s="49">
        <f>VLOOKUP($A34,'Growth Analysis'!$A:$G,5,FALSE)</f>
        <v>13171000.92</v>
      </c>
      <c r="F34" s="49">
        <f>VLOOKUP($A34,'Growth Analysis'!$A:$G,6,FALSE)</f>
        <v>2638335.6631578947</v>
      </c>
      <c r="G34" s="50">
        <f t="shared" si="1"/>
        <v>-0.7996860163336853</v>
      </c>
      <c r="H34" s="159">
        <f t="shared" si="2"/>
        <v>1.478240733774446E-3</v>
      </c>
      <c r="I34" s="158">
        <f t="shared" si="3"/>
        <v>8.1869668789853901E-3</v>
      </c>
      <c r="J34" s="157">
        <v>313.10000000000002</v>
      </c>
      <c r="K34" s="162">
        <f>VLOOKUP($A34,[1]Notes!$A:$G,3,FALSE)</f>
        <v>3488835.8919907175</v>
      </c>
      <c r="L34" s="161">
        <f>VLOOKUP($A34,[1]Notes!$A:$G,5,FALSE)</f>
        <v>2093301.5351944307</v>
      </c>
      <c r="M34" s="161">
        <f>VLOOKUP($A34,[1]Notes!$A:$G,7,FALSE)</f>
        <v>2232854.970874059</v>
      </c>
      <c r="N34" s="154">
        <f t="shared" si="4"/>
        <v>7814992.398059207</v>
      </c>
      <c r="O34" s="45">
        <f t="shared" si="14"/>
        <v>1995624.9905955021</v>
      </c>
      <c r="P34" s="45">
        <f t="shared" si="6"/>
        <v>1197374.9943573012</v>
      </c>
      <c r="Q34" s="45">
        <f t="shared" si="7"/>
        <v>1277199.9939811213</v>
      </c>
      <c r="R34" s="45">
        <f t="shared" si="8"/>
        <v>4470199.9789339248</v>
      </c>
      <c r="S34" s="153">
        <f>R34/N34-1</f>
        <v>-0.4279968871058577</v>
      </c>
      <c r="T34">
        <f>VLOOKUP($A34,'[2]All month (2)'!$E:$Y,8,FALSE)</f>
        <v>17626404</v>
      </c>
      <c r="U34">
        <f>VLOOKUP($A34,'[2]All month (2)'!$E:$Y,14,FALSE)</f>
        <v>2143967.04</v>
      </c>
      <c r="V34">
        <f>VLOOKUP($A34,'[2]All month (2)'!$E:$Y,20,FALSE)</f>
        <v>318621.59999999998</v>
      </c>
      <c r="W34">
        <f t="shared" si="17"/>
        <v>20088992.640000001</v>
      </c>
      <c r="X34" s="152">
        <f t="shared" si="10"/>
        <v>-0.77748013257602921</v>
      </c>
    </row>
    <row r="35" spans="1:24" ht="16.2" customHeight="1" thickBot="1" x14ac:dyDescent="0.35">
      <c r="A35" s="51" t="s">
        <v>304</v>
      </c>
      <c r="B35" s="189">
        <f>VLOOKUP($A35,'Growth Analysis'!A:G,2,FALSE)</f>
        <v>0</v>
      </c>
      <c r="C35" s="189">
        <f>VLOOKUP(A35,'Growth Analysis'!A:G,4,FALSE)</f>
        <v>1</v>
      </c>
      <c r="D35" s="50">
        <f t="shared" si="0"/>
        <v>1</v>
      </c>
      <c r="E35" s="49">
        <f>VLOOKUP($A35,'Growth Analysis'!$A:$G,5,FALSE)</f>
        <v>4932628.2</v>
      </c>
      <c r="F35" s="49">
        <f>VLOOKUP($A35,'Growth Analysis'!$A:$G,6,FALSE)</f>
        <v>649509</v>
      </c>
      <c r="G35" s="50">
        <f t="shared" si="1"/>
        <v>-0.86832394949207803</v>
      </c>
      <c r="H35" s="159">
        <f t="shared" si="2"/>
        <v>3.6391527968200247E-4</v>
      </c>
      <c r="I35" s="158">
        <f t="shared" si="3"/>
        <v>3.066074017080042E-3</v>
      </c>
      <c r="J35" s="157">
        <v>0</v>
      </c>
      <c r="K35" s="156">
        <f>VLOOKUP($A35,[1]Notes!$A:$G,3,FALSE)</f>
        <v>8418530.3337318003</v>
      </c>
      <c r="L35" s="155">
        <f>VLOOKUP($A35,[1]Notes!$A:$G,5,FALSE)</f>
        <v>5051118.20023908</v>
      </c>
      <c r="M35" s="155">
        <f>VLOOKUP($A35,[1]Notes!$A:$G,7,FALSE)</f>
        <v>5387859.4135883516</v>
      </c>
      <c r="N35" s="154">
        <f t="shared" si="4"/>
        <v>18857507.947559234</v>
      </c>
      <c r="O35" s="45">
        <f t="shared" si="14"/>
        <v>491285.62757070333</v>
      </c>
      <c r="P35" s="45">
        <f t="shared" si="6"/>
        <v>294771.37654242199</v>
      </c>
      <c r="Q35" s="45">
        <f t="shared" si="7"/>
        <v>314422.80164525012</v>
      </c>
      <c r="R35" s="45">
        <f t="shared" si="8"/>
        <v>1100479.8057583754</v>
      </c>
      <c r="S35" s="153">
        <f>R35/N35-1</f>
        <v>-0.94164235227588422</v>
      </c>
      <c r="T35">
        <f>VLOOKUP($A35,'[2]All month (2)'!$E:$Y,8,FALSE)</f>
        <v>0</v>
      </c>
      <c r="U35">
        <f>VLOOKUP($A35,'[2]All month (2)'!$E:$Y,14,FALSE)</f>
        <v>1995303.12</v>
      </c>
      <c r="V35">
        <f>VLOOKUP($A35,'[2]All month (2)'!$E:$Y,20,FALSE)</f>
        <v>312069.8</v>
      </c>
      <c r="W35">
        <f t="shared" si="17"/>
        <v>2307372.92</v>
      </c>
      <c r="X35" s="152">
        <f t="shared" si="10"/>
        <v>-0.52305940829089059</v>
      </c>
    </row>
    <row r="36" spans="1:24" ht="16.2" thickBot="1" x14ac:dyDescent="0.35">
      <c r="A36" s="43" t="s">
        <v>303</v>
      </c>
      <c r="B36" s="42">
        <f>SUM(B28:B35)</f>
        <v>2602.9884900000002</v>
      </c>
      <c r="C36" s="40">
        <f>SUM(C28:C35)</f>
        <v>5.9463878221552573</v>
      </c>
      <c r="D36" s="41">
        <f t="shared" si="0"/>
        <v>-0.99771555354739372</v>
      </c>
      <c r="E36" s="40">
        <f>SUM(E28:E35)</f>
        <v>81239043.420000002</v>
      </c>
      <c r="F36" s="40">
        <f>SUM(F28:F35)</f>
        <v>68179822.200000018</v>
      </c>
      <c r="G36" s="151">
        <f t="shared" si="1"/>
        <v>-0.16075055380064918</v>
      </c>
      <c r="H36" s="150">
        <f t="shared" si="2"/>
        <v>3.8200670144035276E-2</v>
      </c>
      <c r="I36" s="150">
        <f t="shared" si="3"/>
        <v>5.0497404244353818E-2</v>
      </c>
      <c r="J36" s="42">
        <f>SUM(J28:J35)</f>
        <v>2551.9494999999997</v>
      </c>
      <c r="K36" s="149">
        <f>SUM(K28:K35)</f>
        <v>57960000</v>
      </c>
      <c r="L36" s="149">
        <f>SUM(L28:L35)</f>
        <v>34775999.999999993</v>
      </c>
      <c r="M36" s="149">
        <f>SUM(M28:M35)</f>
        <v>37094399.999999993</v>
      </c>
      <c r="N36" s="36">
        <f t="shared" si="4"/>
        <v>129830400</v>
      </c>
      <c r="O36" s="36">
        <f t="shared" si="14"/>
        <v>51570904.694447622</v>
      </c>
      <c r="P36" s="36">
        <f t="shared" si="6"/>
        <v>30942542.816668574</v>
      </c>
      <c r="Q36" s="36">
        <f t="shared" si="7"/>
        <v>33005379.004446477</v>
      </c>
      <c r="R36" s="148">
        <f t="shared" si="8"/>
        <v>115518826.51556267</v>
      </c>
      <c r="S36" s="41"/>
      <c r="T36" s="42">
        <f>SUM(T28:T35)</f>
        <v>63508484</v>
      </c>
      <c r="U36" s="42">
        <f>SUM(U28:U35)</f>
        <v>30582414</v>
      </c>
      <c r="V36" s="42">
        <f>SUM(V28:V35)</f>
        <v>40984440</v>
      </c>
      <c r="W36" s="147">
        <f>SUM(W28:W35)</f>
        <v>135075338</v>
      </c>
      <c r="X36" s="146">
        <f t="shared" si="10"/>
        <v>-0.14478225095714609</v>
      </c>
    </row>
    <row r="37" spans="1:24" ht="16.2" customHeight="1" thickBot="1" x14ac:dyDescent="0.35">
      <c r="A37" s="100" t="s">
        <v>302</v>
      </c>
      <c r="B37" s="34">
        <f>B36+B27+B20+B12</f>
        <v>6296.2156080000004</v>
      </c>
      <c r="C37" s="32">
        <f>C36+C27+C20+C12</f>
        <v>15.259100552668389</v>
      </c>
      <c r="D37" s="33">
        <f t="shared" si="0"/>
        <v>-0.99757646473648709</v>
      </c>
      <c r="E37" s="32">
        <f>E36+E27+E20+E12</f>
        <v>189299725.32000002</v>
      </c>
      <c r="F37" s="32">
        <f>F36+F27+F20+F12</f>
        <v>179248595.40000001</v>
      </c>
      <c r="G37" s="145">
        <f t="shared" si="1"/>
        <v>-5.3096378787709141E-2</v>
      </c>
      <c r="H37" s="144">
        <f t="shared" si="2"/>
        <v>0.10043171492249853</v>
      </c>
      <c r="I37" s="144">
        <f t="shared" si="3"/>
        <v>0.11766687974659046</v>
      </c>
      <c r="J37" s="34">
        <f>J36+J27+J20+J12</f>
        <v>6172.7603999999992</v>
      </c>
      <c r="K37" s="167">
        <f>K36+K27+K20+K12</f>
        <v>168360000</v>
      </c>
      <c r="L37" s="167">
        <f>L36+L27+L20+L12</f>
        <v>101016000</v>
      </c>
      <c r="M37" s="167">
        <f>M36+M27+M20+M12</f>
        <v>107750400</v>
      </c>
      <c r="N37" s="28">
        <f t="shared" si="4"/>
        <v>377126400</v>
      </c>
      <c r="O37" s="28">
        <f t="shared" si="14"/>
        <v>135582815.14537302</v>
      </c>
      <c r="P37" s="28">
        <f t="shared" si="6"/>
        <v>81349689.087223813</v>
      </c>
      <c r="Q37" s="28">
        <f t="shared" si="7"/>
        <v>86773001.693038732</v>
      </c>
      <c r="R37" s="143">
        <f t="shared" si="8"/>
        <v>303705505.92563558</v>
      </c>
      <c r="S37" s="142"/>
      <c r="T37" s="34">
        <f>T36+T27+T20+T12</f>
        <v>181572479</v>
      </c>
      <c r="U37" s="34">
        <f>U36+U27+U20+U12</f>
        <v>119988341</v>
      </c>
      <c r="V37" s="34">
        <f>V36+V27+V20+V12</f>
        <v>126598751</v>
      </c>
      <c r="W37" s="141">
        <f>W36+W27+W20+W12</f>
        <v>428159571</v>
      </c>
      <c r="X37" s="140">
        <f t="shared" si="10"/>
        <v>-0.29067215473822589</v>
      </c>
    </row>
    <row r="38" spans="1:24" ht="16.2" customHeight="1" x14ac:dyDescent="0.3">
      <c r="A38" s="53" t="s">
        <v>301</v>
      </c>
      <c r="B38" s="189">
        <f>VLOOKUP($A38,'Growth Analysis'!A:G,2,FALSE)</f>
        <v>665.365635</v>
      </c>
      <c r="C38" s="189">
        <f>VLOOKUP(A38,'Growth Analysis'!A:G,4,FALSE)</f>
        <v>-0.90150974997378697</v>
      </c>
      <c r="D38" s="50">
        <f t="shared" si="0"/>
        <v>-1.00135490879383</v>
      </c>
      <c r="E38" s="49">
        <f>VLOOKUP($A38,'Growth Analysis'!$A:$G,5,FALSE)</f>
        <v>16427208.120000001</v>
      </c>
      <c r="F38" s="49">
        <f>VLOOKUP($A38,'Growth Analysis'!$A:$G,6,FALSE)</f>
        <v>2725436.6504716985</v>
      </c>
      <c r="G38" s="50">
        <f t="shared" si="1"/>
        <v>-0.83409008819012287</v>
      </c>
      <c r="H38" s="159">
        <f t="shared" si="2"/>
        <v>1.5270427983476566E-3</v>
      </c>
      <c r="I38" s="158">
        <f t="shared" si="3"/>
        <v>1.0210993804458703E-2</v>
      </c>
      <c r="J38" s="157">
        <v>652.31925000000001</v>
      </c>
      <c r="K38" s="164">
        <f>VLOOKUP($A38,[1]Notes!$A:$G,3,FALSE)</f>
        <v>5016642.4891058374</v>
      </c>
      <c r="L38" s="163">
        <f>VLOOKUP($A38,[1]Notes!$A:$G,5,FALSE)</f>
        <v>3009985.4934635023</v>
      </c>
      <c r="M38" s="163">
        <f>VLOOKUP($A38,[1]Notes!$A:$G,7,FALSE)</f>
        <v>3210651.1930277357</v>
      </c>
      <c r="N38" s="154">
        <f t="shared" si="4"/>
        <v>11237279.175597075</v>
      </c>
      <c r="O38" s="45">
        <f t="shared" si="14"/>
        <v>2061507.7777693365</v>
      </c>
      <c r="P38" s="45">
        <f t="shared" si="6"/>
        <v>1236904.6666616017</v>
      </c>
      <c r="Q38" s="45">
        <f t="shared" si="7"/>
        <v>1319364.9777723753</v>
      </c>
      <c r="R38" s="45">
        <f t="shared" si="8"/>
        <v>4617777.4222033136</v>
      </c>
      <c r="S38" s="153">
        <f t="shared" ref="S38:S43" si="18">R38/N38-1</f>
        <v>-0.58906623658231261</v>
      </c>
      <c r="T38">
        <f>VLOOKUP($A38,'[2]All month (2)'!$E:$Y,8,FALSE)</f>
        <v>21885465</v>
      </c>
      <c r="U38">
        <f>VLOOKUP($A38,'[2]All month (2)'!$E:$Y,14,FALSE)</f>
        <v>4981840.05</v>
      </c>
      <c r="V38">
        <f>VLOOKUP($A38,'[2]All month (2)'!$E:$Y,20,FALSE)</f>
        <v>4902939.6900000004</v>
      </c>
      <c r="W38">
        <f t="shared" ref="W38:W43" si="19">SUM(T38:V38)</f>
        <v>31770244.740000002</v>
      </c>
      <c r="X38" s="152">
        <f t="shared" si="10"/>
        <v>-0.85465087033499154</v>
      </c>
    </row>
    <row r="39" spans="1:24" ht="16.2" customHeight="1" x14ac:dyDescent="0.3">
      <c r="A39" s="52" t="s">
        <v>300</v>
      </c>
      <c r="B39" s="189">
        <f>VLOOKUP($A39,'Growth Analysis'!A:G,2,FALSE)</f>
        <v>0</v>
      </c>
      <c r="C39" s="189">
        <f>VLOOKUP(A39,'Growth Analysis'!A:G,4,FALSE)</f>
        <v>1</v>
      </c>
      <c r="D39" s="50">
        <f t="shared" si="0"/>
        <v>1</v>
      </c>
      <c r="E39" s="49">
        <f>VLOOKUP($A39,'Growth Analysis'!$A:$G,5,FALSE)</f>
        <v>0</v>
      </c>
      <c r="F39" s="49">
        <f>VLOOKUP($A39,'Growth Analysis'!$A:$G,6,FALSE)</f>
        <v>2881363.294811321</v>
      </c>
      <c r="G39" s="50">
        <f t="shared" si="1"/>
        <v>1</v>
      </c>
      <c r="H39" s="159">
        <f t="shared" si="2"/>
        <v>1.6144073897308858E-3</v>
      </c>
      <c r="I39" s="158">
        <f t="shared" si="3"/>
        <v>0</v>
      </c>
      <c r="J39" s="157">
        <v>0</v>
      </c>
      <c r="K39" s="162">
        <f>VLOOKUP($A39,[1]Notes!$A:$G,3,FALSE)</f>
        <v>5016642.4891058374</v>
      </c>
      <c r="L39" s="161">
        <f>VLOOKUP($A39,[1]Notes!$A:$G,5,FALSE)</f>
        <v>3009985.4934635023</v>
      </c>
      <c r="M39" s="161">
        <f>VLOOKUP($A39,[1]Notes!$A:$G,7,FALSE)</f>
        <v>3210651.1930277357</v>
      </c>
      <c r="N39" s="154">
        <f t="shared" si="4"/>
        <v>11237279.175597075</v>
      </c>
      <c r="O39" s="45">
        <f t="shared" si="14"/>
        <v>2179449.9761366956</v>
      </c>
      <c r="P39" s="45">
        <f t="shared" si="6"/>
        <v>1307669.9856820174</v>
      </c>
      <c r="Q39" s="45">
        <f t="shared" si="7"/>
        <v>1394847.9847274853</v>
      </c>
      <c r="R39" s="45">
        <f t="shared" si="8"/>
        <v>4881967.9465461979</v>
      </c>
      <c r="S39" s="153">
        <f t="shared" si="18"/>
        <v>-0.56555605051195124</v>
      </c>
      <c r="T39">
        <f>VLOOKUP($A39,'[2]All month (2)'!$E:$Y,8,FALSE)</f>
        <v>0</v>
      </c>
      <c r="U39">
        <f>VLOOKUP($A39,'[2]All month (2)'!$E:$Y,14,FALSE)</f>
        <v>5434734.5999999996</v>
      </c>
      <c r="V39">
        <f>VLOOKUP($A39,'[2]All month (2)'!$E:$Y,20,FALSE)</f>
        <v>5348661.4800000004</v>
      </c>
      <c r="W39">
        <f t="shared" si="19"/>
        <v>10783396.08</v>
      </c>
      <c r="X39" s="152">
        <f t="shared" si="10"/>
        <v>-0.54726990362518546</v>
      </c>
    </row>
    <row r="40" spans="1:24" ht="16.2" customHeight="1" x14ac:dyDescent="0.3">
      <c r="A40" s="52" t="s">
        <v>299</v>
      </c>
      <c r="B40" s="189">
        <f>VLOOKUP($A40,'Growth Analysis'!A:G,2,FALSE)</f>
        <v>0</v>
      </c>
      <c r="C40" s="189">
        <f>VLOOKUP(A40,'Growth Analysis'!A:G,4,FALSE)</f>
        <v>1</v>
      </c>
      <c r="D40" s="50">
        <f t="shared" si="0"/>
        <v>1</v>
      </c>
      <c r="E40" s="49">
        <f>VLOOKUP($A40,'Growth Analysis'!$A:$G,5,FALSE)</f>
        <v>0</v>
      </c>
      <c r="F40" s="49">
        <f>VLOOKUP($A40,'Growth Analysis'!$A:$G,6,FALSE)</f>
        <v>2881363.294811321</v>
      </c>
      <c r="G40" s="50">
        <f t="shared" si="1"/>
        <v>1</v>
      </c>
      <c r="H40" s="159">
        <f t="shared" si="2"/>
        <v>1.6144073897308858E-3</v>
      </c>
      <c r="I40" s="158">
        <f t="shared" si="3"/>
        <v>0</v>
      </c>
      <c r="J40" s="157">
        <v>0</v>
      </c>
      <c r="K40" s="162">
        <f>VLOOKUP($A40,[1]Notes!$A:$G,3,FALSE)</f>
        <v>5016642.4891058374</v>
      </c>
      <c r="L40" s="161">
        <f>VLOOKUP($A40,[1]Notes!$A:$G,5,FALSE)</f>
        <v>3009985.4934635023</v>
      </c>
      <c r="M40" s="161">
        <f>VLOOKUP($A40,[1]Notes!$A:$G,7,FALSE)</f>
        <v>3210651.1930277357</v>
      </c>
      <c r="N40" s="154">
        <f t="shared" si="4"/>
        <v>11237279.175597075</v>
      </c>
      <c r="O40" s="45">
        <f t="shared" si="14"/>
        <v>2179449.9761366956</v>
      </c>
      <c r="P40" s="45">
        <f t="shared" si="6"/>
        <v>1307669.9856820174</v>
      </c>
      <c r="Q40" s="45">
        <f t="shared" si="7"/>
        <v>1394847.9847274853</v>
      </c>
      <c r="R40" s="45">
        <f t="shared" si="8"/>
        <v>4881967.9465461979</v>
      </c>
      <c r="S40" s="153">
        <f t="shared" si="18"/>
        <v>-0.56555605051195124</v>
      </c>
      <c r="T40">
        <f>VLOOKUP($A40,'[2]All month (2)'!$E:$Y,8,FALSE)</f>
        <v>0</v>
      </c>
      <c r="U40">
        <f>VLOOKUP($A40,'[2]All month (2)'!$E:$Y,14,FALSE)</f>
        <v>4679910.3499999996</v>
      </c>
      <c r="V40">
        <f>VLOOKUP($A40,'[2]All month (2)'!$E:$Y,20,FALSE)</f>
        <v>4605791.83</v>
      </c>
      <c r="W40">
        <f t="shared" si="19"/>
        <v>9285702.1799999997</v>
      </c>
      <c r="X40" s="152">
        <f t="shared" si="10"/>
        <v>-0.47424892033892496</v>
      </c>
    </row>
    <row r="41" spans="1:24" ht="16.2" customHeight="1" x14ac:dyDescent="0.3">
      <c r="A41" s="52" t="s">
        <v>298</v>
      </c>
      <c r="B41" s="189">
        <f>VLOOKUP($A41,'Growth Analysis'!A:G,2,FALSE)</f>
        <v>0</v>
      </c>
      <c r="C41" s="189">
        <f>VLOOKUP(A41,'Growth Analysis'!A:G,4,FALSE)</f>
        <v>1</v>
      </c>
      <c r="D41" s="50">
        <f t="shared" si="0"/>
        <v>1</v>
      </c>
      <c r="E41" s="49">
        <f>VLOOKUP($A41,'Growth Analysis'!$A:$G,5,FALSE)</f>
        <v>51000</v>
      </c>
      <c r="F41" s="49">
        <f>VLOOKUP($A41,'Growth Analysis'!$A:$G,6,FALSE)</f>
        <v>3121588.059905658</v>
      </c>
      <c r="G41" s="50">
        <f t="shared" si="1"/>
        <v>60.207609017758003</v>
      </c>
      <c r="H41" s="159">
        <f t="shared" si="2"/>
        <v>1.7490036194611114E-3</v>
      </c>
      <c r="I41" s="158">
        <f t="shared" si="3"/>
        <v>3.1701107103730649E-5</v>
      </c>
      <c r="J41" s="157">
        <v>0</v>
      </c>
      <c r="K41" s="162">
        <f>VLOOKUP($A41,[1]Notes!$A:$G,3,FALSE)</f>
        <v>5016642.4891058374</v>
      </c>
      <c r="L41" s="161">
        <f>VLOOKUP($A41,[1]Notes!$A:$G,5,FALSE)</f>
        <v>3009985.4934635023</v>
      </c>
      <c r="M41" s="161">
        <f>VLOOKUP($A41,[1]Notes!$A:$G,7,FALSE)</f>
        <v>3210651.1930277357</v>
      </c>
      <c r="N41" s="154">
        <f t="shared" si="4"/>
        <v>11237279.175597075</v>
      </c>
      <c r="O41" s="45">
        <f t="shared" si="14"/>
        <v>2361154.8862725003</v>
      </c>
      <c r="P41" s="45">
        <f t="shared" si="6"/>
        <v>1416692.9317635002</v>
      </c>
      <c r="Q41" s="45">
        <f t="shared" si="7"/>
        <v>1511139.1272144003</v>
      </c>
      <c r="R41" s="45">
        <f t="shared" si="8"/>
        <v>5288986.9452504003</v>
      </c>
      <c r="S41" s="153">
        <f t="shared" si="18"/>
        <v>-0.52933562808193035</v>
      </c>
      <c r="T41">
        <f>VLOOKUP($A41,'[2]All month (2)'!$E:$Y,8,FALSE)</f>
        <v>50000</v>
      </c>
      <c r="U41">
        <f>VLOOKUP($A41,'[2]All month (2)'!$E:$Y,14,FALSE)</f>
        <v>3417150.02</v>
      </c>
      <c r="V41">
        <f>VLOOKUP($A41,'[2]All month (2)'!$E:$Y,20,FALSE)</f>
        <v>5279019.12</v>
      </c>
      <c r="W41">
        <f t="shared" si="19"/>
        <v>8746169.1400000006</v>
      </c>
      <c r="X41" s="152">
        <f t="shared" si="10"/>
        <v>-0.39527959491869602</v>
      </c>
    </row>
    <row r="42" spans="1:24" ht="16.2" customHeight="1" x14ac:dyDescent="0.3">
      <c r="A42" s="52" t="s">
        <v>297</v>
      </c>
      <c r="B42" s="189">
        <f>VLOOKUP($A42,'Growth Analysis'!A:G,2,FALSE)</f>
        <v>0</v>
      </c>
      <c r="C42" s="189">
        <f>VLOOKUP(A42,'Growth Analysis'!A:G,4,FALSE)</f>
        <v>1</v>
      </c>
      <c r="D42" s="50">
        <f t="shared" si="0"/>
        <v>1</v>
      </c>
      <c r="E42" s="49">
        <f>VLOOKUP($A42,'Growth Analysis'!$A:$G,5,FALSE)</f>
        <v>0</v>
      </c>
      <c r="F42" s="49">
        <f>VLOOKUP($A42,'Growth Analysis'!$A:$G,6,FALSE)</f>
        <v>6386632.0978575936</v>
      </c>
      <c r="G42" s="50">
        <f t="shared" si="1"/>
        <v>1</v>
      </c>
      <c r="H42" s="159">
        <f t="shared" si="2"/>
        <v>3.5783846045519003E-3</v>
      </c>
      <c r="I42" s="158">
        <f t="shared" si="3"/>
        <v>0</v>
      </c>
      <c r="J42" s="157">
        <v>0</v>
      </c>
      <c r="K42" s="162">
        <f>VLOOKUP($A42,[1]Notes!$A:$G,3,FALSE)</f>
        <v>4358722.1626657266</v>
      </c>
      <c r="L42" s="161">
        <f>VLOOKUP($A42,[1]Notes!$A:$G,5,FALSE)</f>
        <v>2615233.2975994358</v>
      </c>
      <c r="M42" s="161">
        <f>VLOOKUP($A42,[1]Notes!$A:$G,7,FALSE)</f>
        <v>2789582.1841060654</v>
      </c>
      <c r="N42" s="154">
        <f t="shared" si="4"/>
        <v>9763537.6443712283</v>
      </c>
      <c r="O42" s="45">
        <f t="shared" si="14"/>
        <v>4830819.2161450656</v>
      </c>
      <c r="P42" s="45">
        <f t="shared" si="6"/>
        <v>2898491.5296870391</v>
      </c>
      <c r="Q42" s="45">
        <f t="shared" si="7"/>
        <v>3091724.2983328421</v>
      </c>
      <c r="R42" s="45">
        <f t="shared" si="8"/>
        <v>10821035.044164946</v>
      </c>
      <c r="S42" s="153">
        <f t="shared" si="18"/>
        <v>0.10831088467235794</v>
      </c>
      <c r="T42">
        <f>VLOOKUP($A42,'[2]All month (2)'!$E:$Y,8,FALSE)</f>
        <v>0</v>
      </c>
      <c r="U42">
        <f>VLOOKUP($A42,'[2]All month (2)'!$E:$Y,14,FALSE)</f>
        <v>1114400</v>
      </c>
      <c r="V42">
        <f>VLOOKUP($A42,'[2]All month (2)'!$E:$Y,20,FALSE)</f>
        <v>1582000</v>
      </c>
      <c r="W42">
        <f t="shared" si="19"/>
        <v>2696400</v>
      </c>
      <c r="X42" s="152">
        <f t="shared" si="10"/>
        <v>3.0131416125815704</v>
      </c>
    </row>
    <row r="43" spans="1:24" ht="16.2" customHeight="1" thickBot="1" x14ac:dyDescent="0.35">
      <c r="A43" s="51" t="s">
        <v>296</v>
      </c>
      <c r="B43" s="189">
        <f>VLOOKUP($A43,'Growth Analysis'!A:G,2,FALSE)</f>
        <v>430.63609500000007</v>
      </c>
      <c r="C43" s="189">
        <f>VLOOKUP(A43,'Growth Analysis'!A:G,4,FALSE)</f>
        <v>-0.53591366394867579</v>
      </c>
      <c r="D43" s="50">
        <f t="shared" si="0"/>
        <v>-1.0012444699136256</v>
      </c>
      <c r="E43" s="49">
        <f>VLOOKUP($A43,'Growth Analysis'!$A:$G,5,FALSE)</f>
        <v>10784664</v>
      </c>
      <c r="F43" s="49">
        <f>VLOOKUP($A43,'Growth Analysis'!$A:$G,6,FALSE)</f>
        <v>9902938.5421424098</v>
      </c>
      <c r="G43" s="50">
        <f t="shared" si="1"/>
        <v>-8.1757341522887522E-2</v>
      </c>
      <c r="H43" s="159">
        <f t="shared" si="2"/>
        <v>5.5485461313660575E-3</v>
      </c>
      <c r="I43" s="158">
        <f t="shared" si="3"/>
        <v>6.7036429125832981E-3</v>
      </c>
      <c r="J43" s="157">
        <v>422.19225000000006</v>
      </c>
      <c r="K43" s="156">
        <f>VLOOKUP($A43,[1]Notes!$A:$G,3,FALSE)</f>
        <v>7259507.8809109246</v>
      </c>
      <c r="L43" s="155">
        <f>VLOOKUP($A43,[1]Notes!$A:$G,5,FALSE)</f>
        <v>4355704.7285465552</v>
      </c>
      <c r="M43" s="155">
        <f>VLOOKUP($A43,[1]Notes!$A:$G,7,FALSE)</f>
        <v>4646085.0437829923</v>
      </c>
      <c r="N43" s="154">
        <f t="shared" si="4"/>
        <v>16261297.653240472</v>
      </c>
      <c r="O43" s="45">
        <f t="shared" si="14"/>
        <v>7490537.2773441775</v>
      </c>
      <c r="P43" s="45">
        <f t="shared" si="6"/>
        <v>4494322.3664065069</v>
      </c>
      <c r="Q43" s="45">
        <f t="shared" si="7"/>
        <v>4793943.8575002737</v>
      </c>
      <c r="R43" s="45">
        <f t="shared" si="8"/>
        <v>16778803.50125096</v>
      </c>
      <c r="S43" s="153">
        <f t="shared" si="18"/>
        <v>3.182438812977284E-2</v>
      </c>
      <c r="T43">
        <f>VLOOKUP($A43,'[2]All month (2)'!$E:$Y,8,FALSE)</f>
        <v>7305870</v>
      </c>
      <c r="U43">
        <f>VLOOKUP($A43,'[2]All month (2)'!$E:$Y,14,FALSE)</f>
        <v>2865600</v>
      </c>
      <c r="V43">
        <f>VLOOKUP($A43,'[2]All month (2)'!$E:$Y,20,FALSE)</f>
        <v>4068000</v>
      </c>
      <c r="W43">
        <f t="shared" si="19"/>
        <v>14239470</v>
      </c>
      <c r="X43" s="152">
        <f t="shared" si="10"/>
        <v>0.17833061913476836</v>
      </c>
    </row>
    <row r="44" spans="1:24" ht="16.2" thickBot="1" x14ac:dyDescent="0.35">
      <c r="A44" s="43" t="s">
        <v>295</v>
      </c>
      <c r="B44" s="42">
        <f>SUM(B38:B43)</f>
        <v>1096.00173</v>
      </c>
      <c r="C44" s="40">
        <f>SUM(C38:C43)</f>
        <v>2.5625765860775371</v>
      </c>
      <c r="D44" s="41">
        <f t="shared" si="0"/>
        <v>-0.99766188636757214</v>
      </c>
      <c r="E44" s="40">
        <f>SUM(E38:E43)</f>
        <v>27262872.120000001</v>
      </c>
      <c r="F44" s="40">
        <f>SUM(F38:F43)</f>
        <v>27899321.940000001</v>
      </c>
      <c r="G44" s="151">
        <f t="shared" si="1"/>
        <v>2.3344929220905589E-2</v>
      </c>
      <c r="H44" s="150">
        <f t="shared" si="2"/>
        <v>1.5631791933188498E-2</v>
      </c>
      <c r="I44" s="150">
        <f t="shared" si="3"/>
        <v>1.6946337824145733E-2</v>
      </c>
      <c r="J44" s="42">
        <f>SUM(J38:J43)</f>
        <v>1074.5115000000001</v>
      </c>
      <c r="K44" s="165">
        <f>SUM(K38:K43)</f>
        <v>31684800</v>
      </c>
      <c r="L44" s="165">
        <f>SUM(L38:L43)</f>
        <v>19010880</v>
      </c>
      <c r="M44" s="165">
        <f>SUM(M38:M43)</f>
        <v>20278272</v>
      </c>
      <c r="N44" s="36">
        <f t="shared" si="4"/>
        <v>70973952</v>
      </c>
      <c r="O44" s="36">
        <f t="shared" si="14"/>
        <v>21102919.109804474</v>
      </c>
      <c r="P44" s="36">
        <f t="shared" si="6"/>
        <v>12661751.465882683</v>
      </c>
      <c r="Q44" s="36">
        <f t="shared" si="7"/>
        <v>13505868.230274862</v>
      </c>
      <c r="R44" s="148">
        <f t="shared" si="8"/>
        <v>47270538.805962019</v>
      </c>
      <c r="S44" s="41"/>
      <c r="T44" s="42">
        <f>SUM(T38:T43)</f>
        <v>29241335</v>
      </c>
      <c r="U44" s="42">
        <f>SUM(U38:U43)</f>
        <v>22493635.02</v>
      </c>
      <c r="V44" s="42">
        <f>SUM(V38:V43)</f>
        <v>25786412.120000001</v>
      </c>
      <c r="W44" s="147">
        <f>SUM(W38:W43)</f>
        <v>77521382.140000001</v>
      </c>
      <c r="X44" s="146">
        <f t="shared" si="10"/>
        <v>-0.39022579963043447</v>
      </c>
    </row>
    <row r="45" spans="1:24" ht="16.2" customHeight="1" x14ac:dyDescent="0.3">
      <c r="A45" s="53" t="s">
        <v>294</v>
      </c>
      <c r="B45" s="189">
        <f>VLOOKUP($A45,'Growth Analysis'!A:G,2,FALSE)</f>
        <v>260.22500100000002</v>
      </c>
      <c r="C45" s="189">
        <f>VLOOKUP(A45,'Growth Analysis'!A:G,4,FALSE)</f>
        <v>-0.43024573184649545</v>
      </c>
      <c r="D45" s="50">
        <f t="shared" si="0"/>
        <v>-1.0016533604772528</v>
      </c>
      <c r="E45" s="49">
        <f>VLOOKUP($A45,'Growth Analysis'!$A:$G,5,FALSE)</f>
        <v>6076141.0200000005</v>
      </c>
      <c r="F45" s="49">
        <f>VLOOKUP($A45,'Growth Analysis'!$A:$G,6,FALSE)</f>
        <v>6384540.6000000006</v>
      </c>
      <c r="G45" s="50">
        <f t="shared" si="1"/>
        <v>5.0755829890202261E-2</v>
      </c>
      <c r="H45" s="159">
        <f t="shared" si="2"/>
        <v>3.5772127531567689E-3</v>
      </c>
      <c r="I45" s="158">
        <f t="shared" si="3"/>
        <v>3.7768705343606121E-3</v>
      </c>
      <c r="J45" s="157">
        <v>255.12254999999999</v>
      </c>
      <c r="K45" s="164">
        <f>VLOOKUP($A45,[1]Notes!$A:$G,3,FALSE)</f>
        <v>5961600</v>
      </c>
      <c r="L45" s="163">
        <f>VLOOKUP($A45,[1]Notes!$A:$G,5,FALSE)</f>
        <v>3576960</v>
      </c>
      <c r="M45" s="163">
        <f>VLOOKUP($A45,[1]Notes!$A:$G,7,FALSE)</f>
        <v>3815424.0000000005</v>
      </c>
      <c r="N45" s="154">
        <f t="shared" si="4"/>
        <v>13353984</v>
      </c>
      <c r="O45" s="45">
        <f t="shared" si="14"/>
        <v>4829237.2167616384</v>
      </c>
      <c r="P45" s="45">
        <f t="shared" si="6"/>
        <v>2897542.330056983</v>
      </c>
      <c r="Q45" s="45">
        <f t="shared" si="7"/>
        <v>3090711.8187274481</v>
      </c>
      <c r="R45" s="45">
        <f t="shared" si="8"/>
        <v>10817491.36554607</v>
      </c>
      <c r="S45" s="153">
        <f t="shared" ref="S45:S52" si="20">R45/N45-1</f>
        <v>-0.18994276423080403</v>
      </c>
      <c r="T45">
        <f>VLOOKUP($A45,'[2]All month (2)'!$E:$Y,8,FALSE)</f>
        <v>11643691.51</v>
      </c>
      <c r="U45">
        <f>VLOOKUP($A45,'[2]All month (2)'!$E:$Y,14,FALSE)</f>
        <v>1600146.8</v>
      </c>
      <c r="V45">
        <f>VLOOKUP($A45,'[2]All month (2)'!$E:$Y,20,FALSE)</f>
        <v>8216433.5</v>
      </c>
      <c r="W45">
        <f t="shared" ref="W45:W52" si="21">SUM(T45:V45)</f>
        <v>21460271.810000002</v>
      </c>
      <c r="X45" s="152">
        <f t="shared" si="10"/>
        <v>-0.49592943363814418</v>
      </c>
    </row>
    <row r="46" spans="1:24" ht="16.2" customHeight="1" x14ac:dyDescent="0.3">
      <c r="A46" s="52" t="s">
        <v>293</v>
      </c>
      <c r="B46" s="189">
        <f>VLOOKUP($A46,'Growth Analysis'!A:G,2,FALSE)</f>
        <v>0</v>
      </c>
      <c r="C46" s="189">
        <f>VLOOKUP(A46,'Growth Analysis'!A:G,4,FALSE)</f>
        <v>1</v>
      </c>
      <c r="D46" s="50">
        <f t="shared" si="0"/>
        <v>1</v>
      </c>
      <c r="E46" s="49">
        <f>VLOOKUP($A46,'Growth Analysis'!$A:$G,5,FALSE)</f>
        <v>0</v>
      </c>
      <c r="F46" s="49">
        <f>VLOOKUP($A46,'Growth Analysis'!$A:$G,6,FALSE)</f>
        <v>1189988.0750000002</v>
      </c>
      <c r="G46" s="50">
        <f t="shared" si="1"/>
        <v>1</v>
      </c>
      <c r="H46" s="159">
        <f t="shared" si="2"/>
        <v>6.6674186675145803E-4</v>
      </c>
      <c r="I46" s="158">
        <f t="shared" si="3"/>
        <v>0</v>
      </c>
      <c r="J46" s="157">
        <v>0</v>
      </c>
      <c r="K46" s="162">
        <f>VLOOKUP($A46,[1]Notes!$A:$G,3,FALSE)</f>
        <v>5961600</v>
      </c>
      <c r="L46" s="161">
        <f>VLOOKUP($A46,[1]Notes!$A:$G,5,FALSE)</f>
        <v>3576960</v>
      </c>
      <c r="M46" s="161">
        <f>VLOOKUP($A46,[1]Notes!$A:$G,7,FALSE)</f>
        <v>3815424.0000000005</v>
      </c>
      <c r="N46" s="154">
        <f t="shared" si="4"/>
        <v>13353984</v>
      </c>
      <c r="O46" s="45">
        <f t="shared" si="14"/>
        <v>900101.52011446829</v>
      </c>
      <c r="P46" s="45">
        <f t="shared" si="6"/>
        <v>540060.91206868098</v>
      </c>
      <c r="Q46" s="45">
        <f t="shared" si="7"/>
        <v>576064.97287325969</v>
      </c>
      <c r="R46" s="45">
        <f t="shared" si="8"/>
        <v>2016227.4050564091</v>
      </c>
      <c r="S46" s="153">
        <f t="shared" si="20"/>
        <v>-0.84901678742041264</v>
      </c>
      <c r="T46">
        <f>VLOOKUP($A46,'[2]All month (2)'!$E:$Y,8,FALSE)</f>
        <v>0</v>
      </c>
      <c r="U46">
        <f>VLOOKUP($A46,'[2]All month (2)'!$E:$Y,14,FALSE)</f>
        <v>1600146.8</v>
      </c>
      <c r="V46">
        <f>VLOOKUP($A46,'[2]All month (2)'!$E:$Y,20,FALSE)</f>
        <v>2826463.5</v>
      </c>
      <c r="W46">
        <f t="shared" si="21"/>
        <v>4426610.3</v>
      </c>
      <c r="X46" s="152">
        <f t="shared" si="10"/>
        <v>-0.54452114181896494</v>
      </c>
    </row>
    <row r="47" spans="1:24" ht="16.2" customHeight="1" x14ac:dyDescent="0.3">
      <c r="A47" s="52" t="s">
        <v>292</v>
      </c>
      <c r="B47" s="189">
        <f>VLOOKUP($A47,'Growth Analysis'!A:G,2,FALSE)</f>
        <v>444.16410000000002</v>
      </c>
      <c r="C47" s="189">
        <f>VLOOKUP(A47,'Growth Analysis'!A:G,4,FALSE)</f>
        <v>-0.51623450657088232</v>
      </c>
      <c r="D47" s="50">
        <f t="shared" si="0"/>
        <v>-1.0011622607648183</v>
      </c>
      <c r="E47" s="49">
        <f>VLOOKUP($A47,'Growth Analysis'!$A:$G,5,FALSE)</f>
        <v>14740199.775</v>
      </c>
      <c r="F47" s="49">
        <f>VLOOKUP($A47,'Growth Analysis'!$A:$G,6,FALSE)</f>
        <v>10645796.700000001</v>
      </c>
      <c r="G47" s="50">
        <f t="shared" si="1"/>
        <v>-0.27777120646249853</v>
      </c>
      <c r="H47" s="159">
        <f t="shared" si="2"/>
        <v>5.9647642812004744E-3</v>
      </c>
      <c r="I47" s="158">
        <f t="shared" si="3"/>
        <v>9.1623657215227743E-3</v>
      </c>
      <c r="J47" s="157">
        <v>435.45499999999998</v>
      </c>
      <c r="K47" s="162">
        <f>VLOOKUP($A47,[1]Notes!$A:$G,3,FALSE)</f>
        <v>6513600</v>
      </c>
      <c r="L47" s="161">
        <f>VLOOKUP($A47,[1]Notes!$A:$G,5,FALSE)</f>
        <v>3908160</v>
      </c>
      <c r="M47" s="161">
        <f>VLOOKUP($A47,[1]Notes!$A:$G,7,FALSE)</f>
        <v>4168704</v>
      </c>
      <c r="N47" s="154">
        <f t="shared" si="4"/>
        <v>14590464</v>
      </c>
      <c r="O47" s="45">
        <f t="shared" si="14"/>
        <v>8052431.77962064</v>
      </c>
      <c r="P47" s="45">
        <f t="shared" si="6"/>
        <v>4831459.0677723838</v>
      </c>
      <c r="Q47" s="45">
        <f t="shared" si="7"/>
        <v>5153556.3389572101</v>
      </c>
      <c r="R47" s="45">
        <f t="shared" si="8"/>
        <v>18037447.186350234</v>
      </c>
      <c r="S47" s="153">
        <f t="shared" si="20"/>
        <v>0.23624904501667898</v>
      </c>
      <c r="T47">
        <f>VLOOKUP($A47,'[2]All month (2)'!$E:$Y,8,FALSE)</f>
        <v>4616848</v>
      </c>
      <c r="U47">
        <f>VLOOKUP($A47,'[2]All month (2)'!$E:$Y,14,FALSE)</f>
        <v>1371554.4</v>
      </c>
      <c r="V47">
        <f>VLOOKUP($A47,'[2]All month (2)'!$E:$Y,20,FALSE)</f>
        <v>4309683</v>
      </c>
      <c r="W47">
        <f t="shared" si="21"/>
        <v>10298085.4</v>
      </c>
      <c r="X47" s="152">
        <f t="shared" si="10"/>
        <v>0.75153404596452789</v>
      </c>
    </row>
    <row r="48" spans="1:24" ht="16.2" customHeight="1" x14ac:dyDescent="0.3">
      <c r="A48" s="52" t="s">
        <v>291</v>
      </c>
      <c r="B48" s="189">
        <f>VLOOKUP($A48,'Growth Analysis'!A:G,2,FALSE)</f>
        <v>0</v>
      </c>
      <c r="C48" s="189">
        <f>VLOOKUP(A48,'Growth Analysis'!A:G,4,FALSE)</f>
        <v>1</v>
      </c>
      <c r="D48" s="50">
        <f t="shared" si="0"/>
        <v>1</v>
      </c>
      <c r="E48" s="49">
        <f>VLOOKUP($A48,'Growth Analysis'!$A:$G,5,FALSE)</f>
        <v>0</v>
      </c>
      <c r="F48" s="49">
        <f>VLOOKUP($A48,'Growth Analysis'!$A:$G,6,FALSE)</f>
        <v>2224203.6782833254</v>
      </c>
      <c r="G48" s="50">
        <f t="shared" si="1"/>
        <v>1</v>
      </c>
      <c r="H48" s="159">
        <f t="shared" si="2"/>
        <v>1.2462055239453418E-3</v>
      </c>
      <c r="I48" s="158">
        <f t="shared" si="3"/>
        <v>0</v>
      </c>
      <c r="J48" s="157">
        <v>0</v>
      </c>
      <c r="K48" s="162">
        <f>VLOOKUP($A48,[1]Notes!$A:$G,3,FALSE)</f>
        <v>3311999.9999999995</v>
      </c>
      <c r="L48" s="161">
        <f>VLOOKUP($A48,[1]Notes!$A:$G,5,FALSE)</f>
        <v>1987199.9999999998</v>
      </c>
      <c r="M48" s="161">
        <f>VLOOKUP($A48,[1]Notes!$A:$G,7,FALSE)</f>
        <v>2119680</v>
      </c>
      <c r="N48" s="154">
        <f t="shared" si="4"/>
        <v>7418879.9999999991</v>
      </c>
      <c r="O48" s="45">
        <f t="shared" si="14"/>
        <v>1682377.4573262115</v>
      </c>
      <c r="P48" s="45">
        <f t="shared" si="6"/>
        <v>1009426.4743957268</v>
      </c>
      <c r="Q48" s="45">
        <f t="shared" si="7"/>
        <v>1076721.5726887754</v>
      </c>
      <c r="R48" s="45">
        <f t="shared" si="8"/>
        <v>3768525.5044107139</v>
      </c>
      <c r="S48" s="153">
        <f t="shared" si="20"/>
        <v>-0.49203579187010515</v>
      </c>
      <c r="T48">
        <f>VLOOKUP($A48,'[2]All month (2)'!$E:$Y,8,FALSE)</f>
        <v>0</v>
      </c>
      <c r="U48">
        <f>VLOOKUP($A48,'[2]All month (2)'!$E:$Y,14,FALSE)</f>
        <v>2920033.62</v>
      </c>
      <c r="V48">
        <f>VLOOKUP($A48,'[2]All month (2)'!$E:$Y,20,FALSE)</f>
        <v>2093554.52</v>
      </c>
      <c r="W48">
        <f t="shared" si="21"/>
        <v>5013588.1400000006</v>
      </c>
      <c r="X48" s="152">
        <f t="shared" si="10"/>
        <v>-0.24833763779991838</v>
      </c>
    </row>
    <row r="49" spans="1:24" ht="16.2" customHeight="1" x14ac:dyDescent="0.3">
      <c r="A49" s="52" t="s">
        <v>290</v>
      </c>
      <c r="B49" s="189">
        <f>VLOOKUP($A49,'Growth Analysis'!A:G,2,FALSE)</f>
        <v>292.94323500000002</v>
      </c>
      <c r="C49" s="189">
        <f>VLOOKUP(A49,'Growth Analysis'!A:G,4,FALSE)</f>
        <v>-0.79274252569785408</v>
      </c>
      <c r="D49" s="50">
        <f t="shared" si="0"/>
        <v>-1.002706130167839</v>
      </c>
      <c r="E49" s="49">
        <f>VLOOKUP($A49,'Growth Analysis'!$A:$G,5,FALSE)</f>
        <v>7107460.9800000004</v>
      </c>
      <c r="F49" s="49">
        <f>VLOOKUP($A49,'Growth Analysis'!$A:$G,6,FALSE)</f>
        <v>4317893.7717166748</v>
      </c>
      <c r="G49" s="50">
        <f t="shared" si="1"/>
        <v>-0.39248435075943611</v>
      </c>
      <c r="H49" s="159">
        <f t="shared" si="2"/>
        <v>2.4192852132479308E-3</v>
      </c>
      <c r="I49" s="158">
        <f t="shared" si="3"/>
        <v>4.4179290541679688E-3</v>
      </c>
      <c r="J49" s="157">
        <v>287.19925000000001</v>
      </c>
      <c r="K49" s="162">
        <f>VLOOKUP($A49,[1]Notes!$A:$G,3,FALSE)</f>
        <v>5078400</v>
      </c>
      <c r="L49" s="161">
        <f>VLOOKUP($A49,[1]Notes!$A:$G,5,FALSE)</f>
        <v>3047040</v>
      </c>
      <c r="M49" s="161">
        <f>VLOOKUP($A49,[1]Notes!$A:$G,7,FALSE)</f>
        <v>3250176.0000000005</v>
      </c>
      <c r="N49" s="154">
        <f t="shared" si="4"/>
        <v>11375616</v>
      </c>
      <c r="O49" s="45">
        <f t="shared" si="14"/>
        <v>3266035.0378847066</v>
      </c>
      <c r="P49" s="45">
        <f t="shared" si="6"/>
        <v>1959621.0227308238</v>
      </c>
      <c r="Q49" s="45">
        <f t="shared" si="7"/>
        <v>2090262.4242462122</v>
      </c>
      <c r="R49" s="45">
        <f t="shared" si="8"/>
        <v>7315918.4848617427</v>
      </c>
      <c r="S49" s="153">
        <f t="shared" si="20"/>
        <v>-0.35687715857657798</v>
      </c>
      <c r="T49">
        <f>VLOOKUP($A49,'[2]All month (2)'!$E:$Y,8,FALSE)</f>
        <v>11681106</v>
      </c>
      <c r="U49">
        <f>VLOOKUP($A49,'[2]All month (2)'!$E:$Y,14,FALSE)</f>
        <v>4764265.38</v>
      </c>
      <c r="V49">
        <f>VLOOKUP($A49,'[2]All month (2)'!$E:$Y,20,FALSE)</f>
        <v>3415799.48</v>
      </c>
      <c r="W49">
        <f t="shared" si="21"/>
        <v>19861170.859999999</v>
      </c>
      <c r="X49" s="152">
        <f t="shared" si="10"/>
        <v>-0.63164717042962171</v>
      </c>
    </row>
    <row r="50" spans="1:24" ht="16.2" customHeight="1" x14ac:dyDescent="0.3">
      <c r="A50" s="52" t="s">
        <v>289</v>
      </c>
      <c r="B50" s="189">
        <f>VLOOKUP($A50,'Growth Analysis'!A:G,2,FALSE)</f>
        <v>0</v>
      </c>
      <c r="C50" s="189">
        <f>VLOOKUP(A50,'Growth Analysis'!A:G,4,FALSE)</f>
        <v>1</v>
      </c>
      <c r="D50" s="50">
        <f t="shared" si="0"/>
        <v>1</v>
      </c>
      <c r="E50" s="49">
        <f>VLOOKUP($A50,'Growth Analysis'!$A:$G,5,FALSE)</f>
        <v>0</v>
      </c>
      <c r="F50" s="49">
        <f>VLOOKUP($A50,'Growth Analysis'!$A:$G,6,FALSE)</f>
        <v>1787024.0769230772</v>
      </c>
      <c r="G50" s="50">
        <f t="shared" si="1"/>
        <v>1</v>
      </c>
      <c r="H50" s="159">
        <f t="shared" si="2"/>
        <v>1.0012568982907611E-3</v>
      </c>
      <c r="I50" s="158">
        <f t="shared" si="3"/>
        <v>0</v>
      </c>
      <c r="J50" s="157">
        <v>0</v>
      </c>
      <c r="K50" s="162">
        <f>VLOOKUP($A50,[1]Notes!$A:$G,3,FALSE)</f>
        <v>3974400</v>
      </c>
      <c r="L50" s="161">
        <f>VLOOKUP($A50,[1]Notes!$A:$G,5,FALSE)</f>
        <v>2384640</v>
      </c>
      <c r="M50" s="161">
        <f>VLOOKUP($A50,[1]Notes!$A:$G,7,FALSE)</f>
        <v>2543616</v>
      </c>
      <c r="N50" s="154">
        <f t="shared" si="4"/>
        <v>8902656</v>
      </c>
      <c r="O50" s="45">
        <f t="shared" si="14"/>
        <v>1351696.8126925274</v>
      </c>
      <c r="P50" s="45">
        <f t="shared" si="6"/>
        <v>811018.0876155165</v>
      </c>
      <c r="Q50" s="45">
        <f t="shared" si="7"/>
        <v>865085.96012321755</v>
      </c>
      <c r="R50" s="45">
        <f t="shared" si="8"/>
        <v>3027800.8604312614</v>
      </c>
      <c r="S50" s="153">
        <f t="shared" si="20"/>
        <v>-0.65989915139580124</v>
      </c>
      <c r="T50">
        <f>VLOOKUP($A50,'[2]All month (2)'!$E:$Y,8,FALSE)</f>
        <v>0</v>
      </c>
      <c r="U50">
        <f>VLOOKUP($A50,'[2]All month (2)'!$E:$Y,14,FALSE)</f>
        <v>4281945.3</v>
      </c>
      <c r="V50">
        <f>VLOOKUP($A50,'[2]All month (2)'!$E:$Y,20,FALSE)</f>
        <v>2776606.2</v>
      </c>
      <c r="W50">
        <f t="shared" si="21"/>
        <v>7058551.5</v>
      </c>
      <c r="X50" s="152">
        <f t="shared" si="10"/>
        <v>-0.57104501391946194</v>
      </c>
    </row>
    <row r="51" spans="1:24" ht="16.2" customHeight="1" x14ac:dyDescent="0.3">
      <c r="A51" s="52" t="s">
        <v>288</v>
      </c>
      <c r="B51" s="189">
        <f>VLOOKUP($A51,'Growth Analysis'!A:G,2,FALSE)</f>
        <v>0</v>
      </c>
      <c r="C51" s="189">
        <f>VLOOKUP(A51,'Growth Analysis'!A:G,4,FALSE)</f>
        <v>1</v>
      </c>
      <c r="D51" s="50">
        <f t="shared" si="0"/>
        <v>1</v>
      </c>
      <c r="E51" s="49">
        <f>VLOOKUP($A51,'Growth Analysis'!$A:$G,5,FALSE)</f>
        <v>1020000</v>
      </c>
      <c r="F51" s="49">
        <f>VLOOKUP($A51,'Growth Analysis'!$A:$G,6,FALSE)</f>
        <v>5483774.4230769239</v>
      </c>
      <c r="G51" s="50">
        <f t="shared" si="1"/>
        <v>4.3762494343891412</v>
      </c>
      <c r="H51" s="159">
        <f t="shared" si="2"/>
        <v>3.0725198617525705E-3</v>
      </c>
      <c r="I51" s="158">
        <f t="shared" si="3"/>
        <v>6.3402214207461307E-4</v>
      </c>
      <c r="J51" s="157">
        <v>0</v>
      </c>
      <c r="K51" s="162">
        <f>VLOOKUP($A51,[1]Notes!$A:$G,3,FALSE)</f>
        <v>5961600</v>
      </c>
      <c r="L51" s="161">
        <f>VLOOKUP($A51,[1]Notes!$A:$G,5,FALSE)</f>
        <v>3576960</v>
      </c>
      <c r="M51" s="161">
        <f>VLOOKUP($A51,[1]Notes!$A:$G,7,FALSE)</f>
        <v>3815424.0000000005</v>
      </c>
      <c r="N51" s="154">
        <f t="shared" si="4"/>
        <v>13353984</v>
      </c>
      <c r="O51" s="45">
        <f t="shared" si="14"/>
        <v>4147901.8133659703</v>
      </c>
      <c r="P51" s="45">
        <f t="shared" si="6"/>
        <v>2488741.088019582</v>
      </c>
      <c r="Q51" s="45">
        <f t="shared" si="7"/>
        <v>2654657.1605542209</v>
      </c>
      <c r="R51" s="45">
        <f t="shared" si="8"/>
        <v>9291300.0619397722</v>
      </c>
      <c r="S51" s="153">
        <f t="shared" si="20"/>
        <v>-0.30423010376979842</v>
      </c>
      <c r="T51">
        <f>VLOOKUP($A51,'[2]All month (2)'!$E:$Y,8,FALSE)</f>
        <v>400000</v>
      </c>
      <c r="U51">
        <f>VLOOKUP($A51,'[2]All month (2)'!$E:$Y,14,FALSE)</f>
        <v>6137454.9299999997</v>
      </c>
      <c r="V51">
        <f>VLOOKUP($A51,'[2]All month (2)'!$E:$Y,20,FALSE)</f>
        <v>3979802.22</v>
      </c>
      <c r="W51">
        <f t="shared" si="21"/>
        <v>10517257.15</v>
      </c>
      <c r="X51" s="152">
        <f t="shared" si="10"/>
        <v>-0.11656623685960062</v>
      </c>
    </row>
    <row r="52" spans="1:24" ht="16.2" customHeight="1" thickBot="1" x14ac:dyDescent="0.35">
      <c r="A52" s="51" t="s">
        <v>287</v>
      </c>
      <c r="B52" s="189">
        <f>VLOOKUP($A52,'Growth Analysis'!A:G,2,FALSE)</f>
        <v>493.81158000000005</v>
      </c>
      <c r="C52" s="189">
        <f>VLOOKUP(A52,'Growth Analysis'!A:G,4,FALSE)</f>
        <v>-0.97436724752384296</v>
      </c>
      <c r="D52" s="50">
        <f t="shared" si="0"/>
        <v>-1.001973155930292</v>
      </c>
      <c r="E52" s="49">
        <f>VLOOKUP($A52,'Growth Analysis'!$A:$G,5,FALSE)</f>
        <v>9960168.4199999999</v>
      </c>
      <c r="F52" s="49">
        <f>VLOOKUP($A52,'Growth Analysis'!$A:$G,6,FALSE)</f>
        <v>490140</v>
      </c>
      <c r="G52" s="50">
        <f t="shared" si="1"/>
        <v>-0.95078998875000953</v>
      </c>
      <c r="H52" s="159">
        <f t="shared" si="2"/>
        <v>2.746219608709605E-4</v>
      </c>
      <c r="I52" s="158">
        <f t="shared" si="3"/>
        <v>6.1911444285022684E-3</v>
      </c>
      <c r="J52" s="157">
        <v>484.12900000000002</v>
      </c>
      <c r="K52" s="156">
        <f>VLOOKUP($A52,[1]Notes!$A:$G,3,FALSE)</f>
        <v>4636800</v>
      </c>
      <c r="L52" s="155">
        <f>VLOOKUP($A52,[1]Notes!$A:$G,5,FALSE)</f>
        <v>2782080.0000000005</v>
      </c>
      <c r="M52" s="155">
        <f>VLOOKUP($A52,[1]Notes!$A:$G,7,FALSE)</f>
        <v>2967552</v>
      </c>
      <c r="N52" s="154">
        <f t="shared" si="4"/>
        <v>10386432</v>
      </c>
      <c r="O52" s="45">
        <f t="shared" si="14"/>
        <v>370739.64717579668</v>
      </c>
      <c r="P52" s="45">
        <f t="shared" si="6"/>
        <v>222443.788305478</v>
      </c>
      <c r="Q52" s="45">
        <f t="shared" si="7"/>
        <v>237273.37419250989</v>
      </c>
      <c r="R52" s="45">
        <f t="shared" si="8"/>
        <v>830456.80967378465</v>
      </c>
      <c r="S52" s="153">
        <f t="shared" si="20"/>
        <v>-0.9200440719513896</v>
      </c>
      <c r="T52">
        <f>VLOOKUP($A52,'[2]All month (2)'!$E:$Y,8,FALSE)</f>
        <v>8785754</v>
      </c>
      <c r="U52">
        <f>VLOOKUP($A52,'[2]All month (2)'!$E:$Y,14,FALSE)</f>
        <v>3853750.77</v>
      </c>
      <c r="V52">
        <f>VLOOKUP($A52,'[2]All month (2)'!$E:$Y,20,FALSE)</f>
        <v>2498945.58</v>
      </c>
      <c r="W52">
        <f t="shared" si="21"/>
        <v>15138450.35</v>
      </c>
      <c r="X52" s="152">
        <f t="shared" si="10"/>
        <v>-0.94514254824809174</v>
      </c>
    </row>
    <row r="53" spans="1:24" ht="16.2" thickBot="1" x14ac:dyDescent="0.35">
      <c r="A53" s="43" t="s">
        <v>286</v>
      </c>
      <c r="B53" s="42">
        <f>SUM(B45:B52)</f>
        <v>1491.143916</v>
      </c>
      <c r="C53" s="40">
        <f>SUM(C45:C52)</f>
        <v>1.2864099883609252</v>
      </c>
      <c r="D53" s="41">
        <f t="shared" si="0"/>
        <v>-0.99913729991145883</v>
      </c>
      <c r="E53" s="40">
        <f>SUM(E45:E52)</f>
        <v>38903970.195</v>
      </c>
      <c r="F53" s="40">
        <f>SUM(F45:F52)</f>
        <v>32523361.325000003</v>
      </c>
      <c r="G53" s="151">
        <f t="shared" si="1"/>
        <v>-0.16400919592571669</v>
      </c>
      <c r="H53" s="150">
        <f t="shared" si="2"/>
        <v>1.8222608359216266E-2</v>
      </c>
      <c r="I53" s="150">
        <f t="shared" si="3"/>
        <v>2.4182331880628235E-2</v>
      </c>
      <c r="J53" s="42">
        <f>SUM(J45:J52)</f>
        <v>1461.9058</v>
      </c>
      <c r="K53" s="165">
        <f>SUM(K45:K52)</f>
        <v>41400000</v>
      </c>
      <c r="L53" s="165">
        <f>SUM(L45:L52)</f>
        <v>24840000</v>
      </c>
      <c r="M53" s="165">
        <f>SUM(M45:M52)</f>
        <v>26496000</v>
      </c>
      <c r="N53" s="36">
        <f t="shared" si="4"/>
        <v>92736000</v>
      </c>
      <c r="O53" s="36">
        <f t="shared" si="14"/>
        <v>24600521.28494196</v>
      </c>
      <c r="P53" s="36">
        <f t="shared" si="6"/>
        <v>14760312.770965176</v>
      </c>
      <c r="Q53" s="36">
        <f t="shared" si="7"/>
        <v>15744333.622362854</v>
      </c>
      <c r="R53" s="148">
        <f t="shared" si="8"/>
        <v>55105167.67826999</v>
      </c>
      <c r="S53" s="41"/>
      <c r="T53" s="42">
        <f>SUM(T45:T52)</f>
        <v>37127399.509999998</v>
      </c>
      <c r="U53" s="42">
        <f>SUM(U45:U52)</f>
        <v>26529298</v>
      </c>
      <c r="V53" s="42">
        <f>SUM(V45:V52)</f>
        <v>30117288</v>
      </c>
      <c r="W53" s="147">
        <f>SUM(W45:W52)</f>
        <v>93773985.510000005</v>
      </c>
      <c r="X53" s="146">
        <f t="shared" si="10"/>
        <v>-0.41236188929611395</v>
      </c>
    </row>
    <row r="54" spans="1:24" ht="16.2" customHeight="1" x14ac:dyDescent="0.3">
      <c r="A54" s="53" t="s">
        <v>285</v>
      </c>
      <c r="B54" s="189">
        <f>VLOOKUP($A54,'Growth Analysis'!A:G,2,FALSE)</f>
        <v>735.45161999999993</v>
      </c>
      <c r="C54" s="189">
        <f>VLOOKUP(A54,'Growth Analysis'!A:G,4,FALSE)</f>
        <v>-0.98279628509078543</v>
      </c>
      <c r="D54" s="50">
        <f t="shared" si="0"/>
        <v>-1.0013363167044091</v>
      </c>
      <c r="E54" s="49">
        <f>VLOOKUP($A54,'Growth Analysis'!$A:$G,5,FALSE)</f>
        <v>21112923.899999999</v>
      </c>
      <c r="F54" s="49">
        <f>VLOOKUP($A54,'Growth Analysis'!$A:$G,6,FALSE)</f>
        <v>8916810</v>
      </c>
      <c r="G54" s="50">
        <f t="shared" si="1"/>
        <v>-0.57766105527430045</v>
      </c>
      <c r="H54" s="159">
        <f t="shared" si="2"/>
        <v>4.996025312999937E-3</v>
      </c>
      <c r="I54" s="158">
        <f t="shared" si="3"/>
        <v>1.3123589447584599E-2</v>
      </c>
      <c r="J54" s="157">
        <v>721.03099999999995</v>
      </c>
      <c r="K54" s="164">
        <f>VLOOKUP($A54,[1]Notes!$A:$G,3,FALSE)</f>
        <v>12930143.294421291</v>
      </c>
      <c r="L54" s="163">
        <f>VLOOKUP($A54,[1]Notes!$A:$G,5,FALSE)</f>
        <v>7758085.976652775</v>
      </c>
      <c r="M54" s="163">
        <f>VLOOKUP($A54,[1]Notes!$A:$G,7,FALSE)</f>
        <v>8275291.7084296262</v>
      </c>
      <c r="N54" s="154">
        <f t="shared" si="4"/>
        <v>28963520.979503691</v>
      </c>
      <c r="O54" s="45">
        <f t="shared" si="14"/>
        <v>6744634.1725499146</v>
      </c>
      <c r="P54" s="45">
        <f t="shared" si="6"/>
        <v>4046780.5035299491</v>
      </c>
      <c r="Q54" s="45">
        <f t="shared" si="7"/>
        <v>4316565.8704319457</v>
      </c>
      <c r="R54" s="45">
        <f t="shared" si="8"/>
        <v>15107980.54651181</v>
      </c>
      <c r="S54" s="153">
        <f t="shared" ref="S54:S61" si="22">R54/N54-1</f>
        <v>-0.47837900795268939</v>
      </c>
      <c r="T54">
        <f>VLOOKUP($A54,'[2]All month (2)'!$E:$Y,8,FALSE)</f>
        <v>15081705</v>
      </c>
      <c r="U54">
        <f>VLOOKUP($A54,'[2]All month (2)'!$E:$Y,14,FALSE)</f>
        <v>4722200</v>
      </c>
      <c r="V54">
        <f>VLOOKUP($A54,'[2]All month (2)'!$E:$Y,20,FALSE)</f>
        <v>11469703</v>
      </c>
      <c r="W54">
        <f t="shared" ref="W54:W60" si="23">SUM(T54:V54)</f>
        <v>31273608</v>
      </c>
      <c r="X54" s="152">
        <f t="shared" si="10"/>
        <v>-0.51690957607092181</v>
      </c>
    </row>
    <row r="55" spans="1:24" ht="16.2" customHeight="1" x14ac:dyDescent="0.3">
      <c r="A55" s="52" t="s">
        <v>284</v>
      </c>
      <c r="B55" s="189">
        <f>VLOOKUP($A55,'Growth Analysis'!A:G,2,FALSE)</f>
        <v>0</v>
      </c>
      <c r="C55" s="189">
        <f>VLOOKUP(A55,'Growth Analysis'!A:G,4,FALSE)</f>
        <v>1</v>
      </c>
      <c r="D55" s="50">
        <f t="shared" si="0"/>
        <v>1</v>
      </c>
      <c r="E55" s="49">
        <f>VLOOKUP($A55,'Growth Analysis'!$A:$G,5,FALSE)</f>
        <v>0</v>
      </c>
      <c r="F55" s="49">
        <f>VLOOKUP($A55,'Growth Analysis'!$A:$G,6,FALSE)</f>
        <v>6109596.3369258223</v>
      </c>
      <c r="G55" s="50">
        <f t="shared" si="1"/>
        <v>1</v>
      </c>
      <c r="H55" s="159">
        <f t="shared" si="2"/>
        <v>3.423163435297276E-3</v>
      </c>
      <c r="I55" s="158">
        <f t="shared" si="3"/>
        <v>0</v>
      </c>
      <c r="J55" s="157">
        <v>0</v>
      </c>
      <c r="K55" s="162">
        <f>VLOOKUP($A55,[1]Notes!$A:$G,3,FALSE)</f>
        <v>7758085.9766527759</v>
      </c>
      <c r="L55" s="161">
        <f>VLOOKUP($A55,[1]Notes!$A:$G,5,FALSE)</f>
        <v>4654851.5859916657</v>
      </c>
      <c r="M55" s="161">
        <f>VLOOKUP($A55,[1]Notes!$A:$G,7,FALSE)</f>
        <v>4965175.0250577759</v>
      </c>
      <c r="N55" s="154">
        <f t="shared" si="4"/>
        <v>17378112.587702215</v>
      </c>
      <c r="O55" s="45">
        <f t="shared" si="14"/>
        <v>4621270.6376513224</v>
      </c>
      <c r="P55" s="45">
        <f t="shared" si="6"/>
        <v>2772762.3825907935</v>
      </c>
      <c r="Q55" s="45">
        <f t="shared" si="7"/>
        <v>2957613.2080968465</v>
      </c>
      <c r="R55" s="45">
        <f t="shared" si="8"/>
        <v>10351646.228338962</v>
      </c>
      <c r="S55" s="153">
        <f t="shared" si="22"/>
        <v>-0.40432850943407961</v>
      </c>
      <c r="T55">
        <f>VLOOKUP($A55,'[2]All month (2)'!$E:$Y,8,FALSE)</f>
        <v>0</v>
      </c>
      <c r="U55">
        <f>VLOOKUP($A55,'[2]All month (2)'!$E:$Y,14,FALSE)</f>
        <v>1870638.9</v>
      </c>
      <c r="V55">
        <f>VLOOKUP($A55,'[2]All month (2)'!$E:$Y,20,FALSE)</f>
        <v>2932788.4</v>
      </c>
      <c r="W55">
        <f t="shared" si="23"/>
        <v>4803427.3</v>
      </c>
      <c r="X55" s="152">
        <f t="shared" si="10"/>
        <v>1.1550542106339285</v>
      </c>
    </row>
    <row r="56" spans="1:24" ht="16.2" customHeight="1" x14ac:dyDescent="0.3">
      <c r="A56" s="52" t="s">
        <v>283</v>
      </c>
      <c r="B56" s="189">
        <f>VLOOKUP($A56,'Growth Analysis'!A:G,2,FALSE)</f>
        <v>0</v>
      </c>
      <c r="C56" s="189">
        <f>VLOOKUP(A56,'Growth Analysis'!A:G,4,FALSE)</f>
        <v>1</v>
      </c>
      <c r="D56" s="50">
        <f t="shared" si="0"/>
        <v>1</v>
      </c>
      <c r="E56" s="49">
        <f>VLOOKUP($A56,'Growth Analysis'!$A:$G,5,FALSE)</f>
        <v>51000</v>
      </c>
      <c r="F56" s="49">
        <f>VLOOKUP($A56,'Growth Analysis'!$A:$G,6,FALSE)</f>
        <v>6171070.4643645557</v>
      </c>
      <c r="G56" s="50">
        <f t="shared" si="1"/>
        <v>120.00138165420698</v>
      </c>
      <c r="H56" s="159">
        <f t="shared" si="2"/>
        <v>3.457606952292535E-3</v>
      </c>
      <c r="I56" s="158">
        <f t="shared" si="3"/>
        <v>3.1701107103730649E-5</v>
      </c>
      <c r="J56" s="157">
        <v>0</v>
      </c>
      <c r="K56" s="162">
        <f>VLOOKUP($A56,[1]Notes!$A:$G,3,FALSE)</f>
        <v>3879042.9883263879</v>
      </c>
      <c r="L56" s="161">
        <f>VLOOKUP($A56,[1]Notes!$A:$G,5,FALSE)</f>
        <v>2327425.7929958329</v>
      </c>
      <c r="M56" s="161">
        <f>VLOOKUP($A56,[1]Notes!$A:$G,7,FALSE)</f>
        <v>2482587.5125288879</v>
      </c>
      <c r="N56" s="154">
        <f t="shared" si="4"/>
        <v>8689056.2938511074</v>
      </c>
      <c r="O56" s="45">
        <f t="shared" si="14"/>
        <v>4667769.3855949221</v>
      </c>
      <c r="P56" s="45">
        <f t="shared" si="6"/>
        <v>2800661.6313569532</v>
      </c>
      <c r="Q56" s="45">
        <f t="shared" si="7"/>
        <v>2987372.40678075</v>
      </c>
      <c r="R56" s="45">
        <f t="shared" si="8"/>
        <v>10455803.423732625</v>
      </c>
      <c r="S56" s="153">
        <f t="shared" si="22"/>
        <v>0.20333015118474651</v>
      </c>
      <c r="T56">
        <f>VLOOKUP($A56,'[2]All month (2)'!$E:$Y,8,FALSE)</f>
        <v>50000</v>
      </c>
      <c r="U56">
        <f>VLOOKUP($A56,'[2]All month (2)'!$E:$Y,14,FALSE)</f>
        <v>2855958.35</v>
      </c>
      <c r="V56">
        <f>VLOOKUP($A56,'[2]All month (2)'!$E:$Y,20,FALSE)</f>
        <v>4399182.5999999996</v>
      </c>
      <c r="W56">
        <f t="shared" si="23"/>
        <v>7305140.9499999993</v>
      </c>
      <c r="X56" s="152">
        <f t="shared" si="10"/>
        <v>0.43129386486822358</v>
      </c>
    </row>
    <row r="57" spans="1:24" ht="16.2" customHeight="1" x14ac:dyDescent="0.3">
      <c r="A57" s="52" t="s">
        <v>282</v>
      </c>
      <c r="B57" s="189">
        <f>VLOOKUP($A57,'Growth Analysis'!A:G,2,FALSE)</f>
        <v>2040.0941970000001</v>
      </c>
      <c r="C57" s="189">
        <f>VLOOKUP(A57,'Growth Analysis'!A:G,4,FALSE)</f>
        <v>-0.89329520540271412</v>
      </c>
      <c r="D57" s="50">
        <f t="shared" si="0"/>
        <v>-1.0004378695879417</v>
      </c>
      <c r="E57" s="49">
        <f>VLOOKUP($A57,'Growth Analysis'!$A:$G,5,FALSE)</f>
        <v>49388006.789999999</v>
      </c>
      <c r="F57" s="49">
        <f>VLOOKUP($A57,'Growth Analysis'!$A:$G,6,FALSE)</f>
        <v>12815232.919350211</v>
      </c>
      <c r="G57" s="50">
        <f t="shared" si="1"/>
        <v>-0.74051933349241739</v>
      </c>
      <c r="H57" s="159">
        <f t="shared" si="2"/>
        <v>7.1802839868813778E-3</v>
      </c>
      <c r="I57" s="158">
        <f t="shared" si="3"/>
        <v>3.0699107703716991E-2</v>
      </c>
      <c r="J57" s="157">
        <v>2000.0923500000001</v>
      </c>
      <c r="K57" s="162">
        <f>VLOOKUP($A57,[1]Notes!$A:$G,3,FALSE)</f>
        <v>16809186.282747678</v>
      </c>
      <c r="L57" s="161">
        <f>VLOOKUP($A57,[1]Notes!$A:$G,5,FALSE)</f>
        <v>10085511.769648606</v>
      </c>
      <c r="M57" s="161">
        <f>VLOOKUP($A57,[1]Notes!$A:$G,7,FALSE)</f>
        <v>10757879.220958514</v>
      </c>
      <c r="N57" s="154">
        <f t="shared" si="4"/>
        <v>37652577.273354799</v>
      </c>
      <c r="O57" s="45">
        <f t="shared" si="14"/>
        <v>9693383.3822898604</v>
      </c>
      <c r="P57" s="45">
        <f t="shared" si="6"/>
        <v>5816030.0293739159</v>
      </c>
      <c r="Q57" s="45">
        <f t="shared" si="7"/>
        <v>6203765.3646655101</v>
      </c>
      <c r="R57" s="45">
        <f t="shared" si="8"/>
        <v>21713178.776329286</v>
      </c>
      <c r="S57" s="153">
        <f t="shared" si="22"/>
        <v>-0.42332821950823474</v>
      </c>
      <c r="T57">
        <f>VLOOKUP($A57,'[2]All month (2)'!$E:$Y,8,FALSE)</f>
        <v>51167755</v>
      </c>
      <c r="U57">
        <f>VLOOKUP($A57,'[2]All month (2)'!$E:$Y,14,FALSE)</f>
        <v>3180086.13</v>
      </c>
      <c r="V57">
        <f>VLOOKUP($A57,'[2]All month (2)'!$E:$Y,20,FALSE)</f>
        <v>4985740.28</v>
      </c>
      <c r="W57">
        <f t="shared" si="23"/>
        <v>59333581.410000004</v>
      </c>
      <c r="X57" s="152">
        <f t="shared" si="10"/>
        <v>-0.63404907877902383</v>
      </c>
    </row>
    <row r="58" spans="1:24" ht="16.2" customHeight="1" x14ac:dyDescent="0.3">
      <c r="A58" s="52" t="s">
        <v>281</v>
      </c>
      <c r="B58" s="189">
        <f>VLOOKUP($A58,'Growth Analysis'!A:G,2,FALSE)</f>
        <v>0</v>
      </c>
      <c r="C58" s="189">
        <f>VLOOKUP(A58,'Growth Analysis'!A:G,4,FALSE)</f>
        <v>1</v>
      </c>
      <c r="D58" s="50">
        <f t="shared" si="0"/>
        <v>1</v>
      </c>
      <c r="E58" s="49">
        <f>VLOOKUP($A58,'Growth Analysis'!$A:$G,5,FALSE)</f>
        <v>0</v>
      </c>
      <c r="F58" s="49">
        <f>VLOOKUP($A58,'Growth Analysis'!$A:$G,6,FALSE)</f>
        <v>5831105.4526830493</v>
      </c>
      <c r="G58" s="50">
        <f t="shared" si="1"/>
        <v>1</v>
      </c>
      <c r="H58" s="159">
        <f t="shared" si="2"/>
        <v>3.2671269707862422E-3</v>
      </c>
      <c r="I58" s="158">
        <f t="shared" si="3"/>
        <v>0</v>
      </c>
      <c r="J58" s="157">
        <v>0</v>
      </c>
      <c r="K58" s="162">
        <f>VLOOKUP($A58,[1]Notes!$A:$G,3,FALSE)</f>
        <v>6477244.1582654435</v>
      </c>
      <c r="L58" s="161">
        <f>VLOOKUP($A58,[1]Notes!$A:$G,5,FALSE)</f>
        <v>3886346.4949592664</v>
      </c>
      <c r="M58" s="161">
        <f>VLOOKUP($A58,[1]Notes!$A:$G,7,FALSE)</f>
        <v>4145436.2612898843</v>
      </c>
      <c r="N58" s="154">
        <f t="shared" si="4"/>
        <v>14509026.914514594</v>
      </c>
      <c r="O58" s="45">
        <f t="shared" si="14"/>
        <v>4410621.4105614265</v>
      </c>
      <c r="P58" s="45">
        <f t="shared" si="6"/>
        <v>2646372.846336856</v>
      </c>
      <c r="Q58" s="45">
        <f t="shared" si="7"/>
        <v>2822797.7027593134</v>
      </c>
      <c r="R58" s="45">
        <f t="shared" si="8"/>
        <v>9879791.9596575946</v>
      </c>
      <c r="S58" s="153">
        <f t="shared" si="22"/>
        <v>-0.31905895427252862</v>
      </c>
      <c r="T58">
        <f>VLOOKUP($A58,'[2]All month (2)'!$E:$Y,8,FALSE)</f>
        <v>0</v>
      </c>
      <c r="U58">
        <f>VLOOKUP($A58,'[2]All month (2)'!$E:$Y,14,FALSE)</f>
        <v>2057702.79</v>
      </c>
      <c r="V58">
        <f>VLOOKUP($A58,'[2]All month (2)'!$E:$Y,20,FALSE)</f>
        <v>3226067.24</v>
      </c>
      <c r="W58">
        <f t="shared" si="23"/>
        <v>5283770.03</v>
      </c>
      <c r="X58" s="152">
        <f t="shared" si="10"/>
        <v>0.8698376166189038</v>
      </c>
    </row>
    <row r="59" spans="1:24" ht="16.2" customHeight="1" x14ac:dyDescent="0.3">
      <c r="A59" s="52" t="s">
        <v>280</v>
      </c>
      <c r="B59" s="189">
        <f>VLOOKUP($A59,'Growth Analysis'!A:G,2,FALSE)</f>
        <v>0</v>
      </c>
      <c r="C59" s="189">
        <f>VLOOKUP(A59,'Growth Analysis'!A:G,4,FALSE)</f>
        <v>1</v>
      </c>
      <c r="D59" s="50">
        <f t="shared" si="0"/>
        <v>1</v>
      </c>
      <c r="E59" s="49">
        <f>VLOOKUP($A59,'Growth Analysis'!$A:$G,5,FALSE)</f>
        <v>0</v>
      </c>
      <c r="F59" s="49">
        <f>VLOOKUP($A59,'Growth Analysis'!$A:$G,6,FALSE)</f>
        <v>7398771.6759234304</v>
      </c>
      <c r="G59" s="50">
        <f t="shared" si="1"/>
        <v>1</v>
      </c>
      <c r="H59" s="159">
        <f t="shared" si="2"/>
        <v>4.1454792216073268E-3</v>
      </c>
      <c r="I59" s="158">
        <f t="shared" si="3"/>
        <v>0</v>
      </c>
      <c r="J59" s="157">
        <v>0</v>
      </c>
      <c r="K59" s="162">
        <f>VLOOKUP($A59,[1]Notes!$A:$G,3,FALSE)</f>
        <v>7785149.2286844244</v>
      </c>
      <c r="L59" s="161">
        <f>VLOOKUP($A59,[1]Notes!$A:$G,5,FALSE)</f>
        <v>4671089.5372106545</v>
      </c>
      <c r="M59" s="161">
        <f>VLOOKUP($A59,[1]Notes!$A:$G,7,FALSE)</f>
        <v>4982495.5063580321</v>
      </c>
      <c r="N59" s="154">
        <f t="shared" si="4"/>
        <v>17438734.272253111</v>
      </c>
      <c r="O59" s="45">
        <f t="shared" si="14"/>
        <v>5596396.949169891</v>
      </c>
      <c r="P59" s="45">
        <f t="shared" si="6"/>
        <v>3357838.1695019347</v>
      </c>
      <c r="Q59" s="45">
        <f t="shared" si="7"/>
        <v>3581694.0474687302</v>
      </c>
      <c r="R59" s="45">
        <f t="shared" si="8"/>
        <v>12535929.166140556</v>
      </c>
      <c r="S59" s="153">
        <f t="shared" si="22"/>
        <v>-0.28114455037676911</v>
      </c>
      <c r="T59">
        <f>VLOOKUP($A59,'[2]All month (2)'!$E:$Y,8,FALSE)</f>
        <v>0</v>
      </c>
      <c r="U59">
        <f>VLOOKUP($A59,'[2]All month (2)'!$E:$Y,14,FALSE)</f>
        <v>2431830.5699999998</v>
      </c>
      <c r="V59">
        <f>VLOOKUP($A59,'[2]All month (2)'!$E:$Y,20,FALSE)</f>
        <v>3812624.92</v>
      </c>
      <c r="W59">
        <f t="shared" si="23"/>
        <v>6244455.4900000002</v>
      </c>
      <c r="X59" s="152">
        <f t="shared" si="10"/>
        <v>1.0075295894439238</v>
      </c>
    </row>
    <row r="60" spans="1:24" ht="16.2" customHeight="1" x14ac:dyDescent="0.3">
      <c r="A60" s="52" t="s">
        <v>279</v>
      </c>
      <c r="B60" s="189">
        <f>VLOOKUP($A60,'Growth Analysis'!A:G,2,FALSE)</f>
        <v>0</v>
      </c>
      <c r="C60" s="189">
        <f>VLOOKUP(A60,'Growth Analysis'!A:G,4,FALSE)</f>
        <v>1</v>
      </c>
      <c r="D60" s="50">
        <f t="shared" si="0"/>
        <v>1</v>
      </c>
      <c r="E60" s="49">
        <f>VLOOKUP($A60,'Growth Analysis'!$A:$G,5,FALSE)</f>
        <v>0</v>
      </c>
      <c r="F60" s="49">
        <f>VLOOKUP($A60,'Growth Analysis'!$A:$G,6,FALSE)</f>
        <v>8376671.0115159852</v>
      </c>
      <c r="G60" s="50">
        <f t="shared" si="1"/>
        <v>1</v>
      </c>
      <c r="H60" s="159">
        <f t="shared" si="2"/>
        <v>4.6933892739899861E-3</v>
      </c>
      <c r="I60" s="158">
        <f t="shared" si="3"/>
        <v>0</v>
      </c>
      <c r="J60" s="157">
        <v>0</v>
      </c>
      <c r="K60" s="162">
        <f>VLOOKUP($A60,[1]Notes!$A:$G,3,FALSE)</f>
        <v>7758085.9766527759</v>
      </c>
      <c r="L60" s="161">
        <f>VLOOKUP($A60,[1]Notes!$A:$G,5,FALSE)</f>
        <v>4654851.5859916657</v>
      </c>
      <c r="M60" s="161">
        <f>VLOOKUP($A60,[1]Notes!$A:$G,7,FALSE)</f>
        <v>4965175.0250577759</v>
      </c>
      <c r="N60" s="154">
        <f t="shared" si="4"/>
        <v>17378112.587702215</v>
      </c>
      <c r="O60" s="45">
        <f t="shared" si="14"/>
        <v>6336075.5198864816</v>
      </c>
      <c r="P60" s="45">
        <f t="shared" si="6"/>
        <v>3801645.3119318886</v>
      </c>
      <c r="Q60" s="45">
        <f t="shared" si="7"/>
        <v>4055088.332727348</v>
      </c>
      <c r="R60" s="45">
        <f t="shared" si="8"/>
        <v>14192809.164545719</v>
      </c>
      <c r="S60" s="153">
        <f t="shared" si="22"/>
        <v>-0.18329398011902664</v>
      </c>
      <c r="T60">
        <f>VLOOKUP($A60,'[2]All month (2)'!$E:$Y,8,FALSE)</f>
        <v>0</v>
      </c>
      <c r="U60">
        <f>VLOOKUP($A60,'[2]All month (2)'!$E:$Y,14,FALSE)</f>
        <v>2993022.24</v>
      </c>
      <c r="V60">
        <f>VLOOKUP($A60,'[2]All month (2)'!$E:$Y,20,FALSE)</f>
        <v>4692461.4400000004</v>
      </c>
      <c r="W60">
        <f t="shared" si="23"/>
        <v>7685483.6800000006</v>
      </c>
      <c r="X60" s="152">
        <f t="shared" si="10"/>
        <v>0.8467034419030498</v>
      </c>
    </row>
    <row r="61" spans="1:24" ht="16.2" customHeight="1" thickBot="1" x14ac:dyDescent="0.35">
      <c r="A61" s="160" t="s">
        <v>278</v>
      </c>
      <c r="B61" s="189">
        <f>VLOOKUP($A61,'Growth Analysis'!A:G,2,FALSE)</f>
        <v>0</v>
      </c>
      <c r="C61" s="189">
        <f>VLOOKUP(A61,'Growth Analysis'!A:G,4,FALSE)</f>
        <v>1</v>
      </c>
      <c r="D61" s="50">
        <f t="shared" si="0"/>
        <v>1</v>
      </c>
      <c r="E61" s="49">
        <f>VLOOKUP($A61,'Growth Analysis'!$A:$G,5,FALSE)</f>
        <v>0</v>
      </c>
      <c r="F61" s="49">
        <f>VLOOKUP($A61,'Growth Analysis'!$A:$G,6,FALSE)</f>
        <v>5114954.4892369546</v>
      </c>
      <c r="G61" s="50">
        <f t="shared" si="1"/>
        <v>1</v>
      </c>
      <c r="H61" s="159">
        <f t="shared" si="2"/>
        <v>2.8658726722976592E-3</v>
      </c>
      <c r="I61" s="158">
        <f t="shared" si="3"/>
        <v>0</v>
      </c>
      <c r="J61" s="157">
        <v>0</v>
      </c>
      <c r="K61" s="156">
        <f>VLOOKUP($A61,[1]Notes!$A:$G,3,FALSE)</f>
        <v>5603062.0942492271</v>
      </c>
      <c r="L61" s="155">
        <f>VLOOKUP($A61,[1]Notes!$A:$G,5,FALSE)</f>
        <v>3361837.2565495363</v>
      </c>
      <c r="M61" s="155">
        <f>VLOOKUP($A61,[1]Notes!$A:$G,7,FALSE)</f>
        <v>3585959.7403195053</v>
      </c>
      <c r="N61" s="154">
        <f t="shared" si="4"/>
        <v>12550859.091118269</v>
      </c>
      <c r="O61" s="45">
        <f t="shared" si="14"/>
        <v>3868928.10760184</v>
      </c>
      <c r="P61" s="45">
        <f t="shared" si="6"/>
        <v>2321356.8645611038</v>
      </c>
      <c r="Q61" s="45">
        <f t="shared" si="7"/>
        <v>2476113.9888651776</v>
      </c>
      <c r="R61" s="45">
        <f t="shared" si="8"/>
        <v>8666398.9610281214</v>
      </c>
      <c r="S61" s="153">
        <f t="shared" si="22"/>
        <v>-0.3094975492824249</v>
      </c>
      <c r="X61" s="152">
        <f t="shared" si="10"/>
        <v>1</v>
      </c>
    </row>
    <row r="62" spans="1:24" ht="16.2" thickBot="1" x14ac:dyDescent="0.35">
      <c r="A62" s="43" t="s">
        <v>277</v>
      </c>
      <c r="B62" s="42">
        <f>SUM(B54:B61)</f>
        <v>2775.5458170000002</v>
      </c>
      <c r="C62" s="40">
        <f>SUM(C54:C61)</f>
        <v>4.1239085095065002</v>
      </c>
      <c r="D62" s="41">
        <f t="shared" si="0"/>
        <v>-0.99851419908680739</v>
      </c>
      <c r="E62" s="40">
        <f>SUM(E54:E61)</f>
        <v>70551930.689999998</v>
      </c>
      <c r="F62" s="40">
        <f>SUM(F54:F61)</f>
        <v>60734212.349999994</v>
      </c>
      <c r="G62" s="151">
        <f t="shared" si="1"/>
        <v>-0.13915591315478434</v>
      </c>
      <c r="H62" s="150">
        <f t="shared" si="2"/>
        <v>3.4028947826152331E-2</v>
      </c>
      <c r="I62" s="150">
        <f t="shared" si="3"/>
        <v>4.3854398258405321E-2</v>
      </c>
      <c r="J62" s="42">
        <f>SUM(J54:J61)</f>
        <v>2721.1233499999998</v>
      </c>
      <c r="K62" s="149">
        <f>SUM(K54:K61)</f>
        <v>69000000.000000015</v>
      </c>
      <c r="L62" s="149">
        <f>SUM(L54:L61)</f>
        <v>41400000</v>
      </c>
      <c r="M62" s="149">
        <f>SUM(M54:M61)</f>
        <v>44160000</v>
      </c>
      <c r="N62" s="36">
        <f t="shared" si="4"/>
        <v>154560000</v>
      </c>
      <c r="O62" s="36">
        <f t="shared" si="14"/>
        <v>45939079.56530565</v>
      </c>
      <c r="P62" s="36">
        <f t="shared" si="6"/>
        <v>27563447.739183389</v>
      </c>
      <c r="Q62" s="36">
        <f t="shared" si="7"/>
        <v>29401010.921795614</v>
      </c>
      <c r="R62" s="148">
        <f t="shared" si="8"/>
        <v>102903538.22628465</v>
      </c>
      <c r="S62" s="41"/>
      <c r="T62" s="42">
        <f>SUM(T54:T61)</f>
        <v>66299460</v>
      </c>
      <c r="U62" s="42">
        <f>SUM(U54:U61)</f>
        <v>20111438.979999997</v>
      </c>
      <c r="V62" s="42">
        <f>SUM(V54:V61)</f>
        <v>35518567.880000003</v>
      </c>
      <c r="W62" s="147">
        <f>SUM(W54:W61)</f>
        <v>121929466.86</v>
      </c>
      <c r="X62" s="146">
        <f t="shared" si="10"/>
        <v>-0.15604044800393502</v>
      </c>
    </row>
    <row r="63" spans="1:24" ht="16.2" customHeight="1" thickBot="1" x14ac:dyDescent="0.35">
      <c r="A63" s="35" t="s">
        <v>276</v>
      </c>
      <c r="B63" s="34">
        <f>B62+B53+B44</f>
        <v>5362.6914630000001</v>
      </c>
      <c r="C63" s="32">
        <f>C62+C53+C44</f>
        <v>7.9728950839449624</v>
      </c>
      <c r="D63" s="33">
        <f t="shared" si="0"/>
        <v>-0.99851326612038849</v>
      </c>
      <c r="E63" s="32">
        <f>E62+E53+E44</f>
        <v>136718773.005</v>
      </c>
      <c r="F63" s="32">
        <f>F62+F53+F44</f>
        <v>121156895.61499999</v>
      </c>
      <c r="G63" s="145">
        <f t="shared" si="1"/>
        <v>-0.11382399832853153</v>
      </c>
      <c r="H63" s="144">
        <f t="shared" si="2"/>
        <v>6.7883348118557091E-2</v>
      </c>
      <c r="I63" s="144">
        <f t="shared" si="3"/>
        <v>8.4983067963179282E-2</v>
      </c>
      <c r="J63" s="34">
        <f>J62+J53+J44</f>
        <v>5257.5406500000008</v>
      </c>
      <c r="K63" s="167">
        <f>K62+K53+K44</f>
        <v>142084800</v>
      </c>
      <c r="L63" s="167">
        <f>L62+L53+L44</f>
        <v>85250880</v>
      </c>
      <c r="M63" s="167">
        <f>M62+M53+M44</f>
        <v>90934272</v>
      </c>
      <c r="N63" s="28">
        <f t="shared" si="4"/>
        <v>318269952</v>
      </c>
      <c r="O63" s="28">
        <f t="shared" si="14"/>
        <v>91642519.960052073</v>
      </c>
      <c r="P63" s="28">
        <f t="shared" si="6"/>
        <v>54985511.976031244</v>
      </c>
      <c r="Q63" s="28">
        <f t="shared" si="7"/>
        <v>58651212.77443333</v>
      </c>
      <c r="R63" s="143">
        <f t="shared" si="8"/>
        <v>205279244.71051663</v>
      </c>
      <c r="S63" s="142"/>
      <c r="T63" s="34">
        <f>T62+T53+T44</f>
        <v>132668194.50999999</v>
      </c>
      <c r="U63" s="34">
        <f>U62+U53+U44</f>
        <v>69134372</v>
      </c>
      <c r="V63" s="34">
        <f>V62+V53+V44</f>
        <v>91422268</v>
      </c>
      <c r="W63" s="141">
        <f>W62+W53+W44</f>
        <v>293224834.50999999</v>
      </c>
      <c r="X63" s="140">
        <f t="shared" si="10"/>
        <v>-0.29992544781019942</v>
      </c>
    </row>
    <row r="64" spans="1:24" ht="16.2" customHeight="1" x14ac:dyDescent="0.3">
      <c r="A64" s="99" t="s">
        <v>275</v>
      </c>
      <c r="B64" s="189">
        <f>VLOOKUP($A64,'Growth Analysis'!A:G,2,FALSE)</f>
        <v>625.97349000000008</v>
      </c>
      <c r="C64" s="189">
        <f>VLOOKUP(A64,'Growth Analysis'!A:G,4,FALSE)</f>
        <v>-0.5628018248823925</v>
      </c>
      <c r="D64" s="50">
        <f t="shared" si="0"/>
        <v>-1.0008990825232589</v>
      </c>
      <c r="E64" s="49">
        <f>VLOOKUP($A64,'Growth Analysis'!$A:$G,5,FALSE)</f>
        <v>19590468.84</v>
      </c>
      <c r="F64" s="49">
        <f>VLOOKUP($A64,'Growth Analysis'!$A:$G,6,FALSE)</f>
        <v>13999018.154979145</v>
      </c>
      <c r="G64" s="50">
        <f t="shared" si="1"/>
        <v>-0.28541688974815033</v>
      </c>
      <c r="H64" s="159">
        <f t="shared" si="2"/>
        <v>7.8435504467877504E-3</v>
      </c>
      <c r="I64" s="158">
        <f t="shared" si="3"/>
        <v>1.2177246096257607E-2</v>
      </c>
      <c r="J64" s="157">
        <v>613.69950000000006</v>
      </c>
      <c r="K64" s="164">
        <f>VLOOKUP($A64,[1]Notes!$A:$G,3,FALSE)</f>
        <v>8323809.5238095233</v>
      </c>
      <c r="L64" s="163">
        <f>VLOOKUP($A64,[1]Notes!$A:$G,5,FALSE)</f>
        <v>4994285.7142857136</v>
      </c>
      <c r="M64" s="163">
        <f>VLOOKUP($A64,[1]Notes!$A:$G,7,FALSE)</f>
        <v>5327238.0952380951</v>
      </c>
      <c r="N64" s="154">
        <f t="shared" si="4"/>
        <v>18645333.333333332</v>
      </c>
      <c r="O64" s="45">
        <f t="shared" si="14"/>
        <v>10588793.103163462</v>
      </c>
      <c r="P64" s="45">
        <f t="shared" si="6"/>
        <v>6353275.8618980777</v>
      </c>
      <c r="Q64" s="45">
        <f t="shared" si="7"/>
        <v>6776827.5860246159</v>
      </c>
      <c r="R64" s="45">
        <f t="shared" si="8"/>
        <v>23718896.551086154</v>
      </c>
      <c r="S64" s="153">
        <f>N64/R64-1</f>
        <v>-0.21390384695279974</v>
      </c>
      <c r="T64">
        <f>VLOOKUP($A64,'[2]All month (2)'!$E:$Y,8,FALSE)</f>
        <v>17850001</v>
      </c>
      <c r="U64">
        <f>VLOOKUP($A64,'[2]All month (2)'!$E:$Y,14,FALSE)</f>
        <v>3319047.6</v>
      </c>
      <c r="V64">
        <f>VLOOKUP($A64,'[2]All month (2)'!$E:$Y,20,FALSE)</f>
        <v>6502768.7999999998</v>
      </c>
      <c r="W64">
        <f t="shared" ref="W64:W70" si="24">SUM(T64:V64)</f>
        <v>27671817.400000002</v>
      </c>
      <c r="X64" s="152">
        <f t="shared" si="10"/>
        <v>-0.14285006263859806</v>
      </c>
    </row>
    <row r="65" spans="1:24" ht="16.2" customHeight="1" x14ac:dyDescent="0.3">
      <c r="A65" s="55" t="s">
        <v>274</v>
      </c>
      <c r="B65" s="189">
        <f>VLOOKUP($A65,'Growth Analysis'!A:G,2,FALSE)</f>
        <v>0</v>
      </c>
      <c r="C65" s="189">
        <f>VLOOKUP(A65,'Growth Analysis'!A:G,4,FALSE)</f>
        <v>1</v>
      </c>
      <c r="D65" s="50">
        <f t="shared" si="0"/>
        <v>1</v>
      </c>
      <c r="E65" s="49">
        <f>VLOOKUP($A65,'Growth Analysis'!$A:$G,5,FALSE)</f>
        <v>0</v>
      </c>
      <c r="F65" s="49">
        <f>VLOOKUP($A65,'Growth Analysis'!$A:$G,6,FALSE)</f>
        <v>6997169.2950208578</v>
      </c>
      <c r="G65" s="50">
        <f t="shared" si="1"/>
        <v>1</v>
      </c>
      <c r="H65" s="159">
        <f t="shared" si="2"/>
        <v>3.9204642598945289E-3</v>
      </c>
      <c r="I65" s="158">
        <f t="shared" si="3"/>
        <v>0</v>
      </c>
      <c r="J65" s="157">
        <v>0</v>
      </c>
      <c r="K65" s="162">
        <f>VLOOKUP($A65,[1]Notes!$A:$G,3,FALSE)</f>
        <v>3942857.1428571427</v>
      </c>
      <c r="L65" s="161">
        <f>VLOOKUP($A65,[1]Notes!$A:$G,5,FALSE)</f>
        <v>2365714.2857142859</v>
      </c>
      <c r="M65" s="161">
        <f>VLOOKUP($A65,[1]Notes!$A:$G,7,FALSE)</f>
        <v>2523428.5714285714</v>
      </c>
      <c r="N65" s="154">
        <f t="shared" si="4"/>
        <v>8832000</v>
      </c>
      <c r="O65" s="45">
        <f t="shared" si="14"/>
        <v>5292626.750857614</v>
      </c>
      <c r="P65" s="45">
        <f t="shared" si="6"/>
        <v>3175576.0505145686</v>
      </c>
      <c r="Q65" s="45">
        <f t="shared" si="7"/>
        <v>3387281.1205488727</v>
      </c>
      <c r="R65" s="45">
        <f t="shared" si="8"/>
        <v>11855483.921921054</v>
      </c>
      <c r="S65" s="153">
        <f>R65/N65-1</f>
        <v>0.34233287159432213</v>
      </c>
      <c r="T65">
        <f>VLOOKUP($A65,'[2]All month (2)'!$E:$Y,8,FALSE)</f>
        <v>0</v>
      </c>
      <c r="U65">
        <f>VLOOKUP($A65,'[2]All month (2)'!$E:$Y,14,FALSE)</f>
        <v>1709812.4</v>
      </c>
      <c r="V65">
        <f>VLOOKUP($A65,'[2]All month (2)'!$E:$Y,20,FALSE)</f>
        <v>3349911.2</v>
      </c>
      <c r="W65">
        <f t="shared" si="24"/>
        <v>5059723.5999999996</v>
      </c>
      <c r="X65" s="152">
        <f t="shared" si="10"/>
        <v>1.3431090034090112</v>
      </c>
    </row>
    <row r="66" spans="1:24" ht="16.2" customHeight="1" x14ac:dyDescent="0.3">
      <c r="A66" s="55" t="s">
        <v>273</v>
      </c>
      <c r="B66" s="189">
        <f>VLOOKUP($A66,'Growth Analysis'!A:G,2,FALSE)</f>
        <v>209.4315</v>
      </c>
      <c r="C66" s="189">
        <f>VLOOKUP(A66,'Growth Analysis'!A:G,4,FALSE)</f>
        <v>-9.4527506607172213E-2</v>
      </c>
      <c r="D66" s="50">
        <f t="shared" si="0"/>
        <v>-1.0004513528605161</v>
      </c>
      <c r="E66" s="49">
        <f>VLOOKUP($A66,'Growth Analysis'!$A:$G,5,FALSE)</f>
        <v>5480215.2000000002</v>
      </c>
      <c r="F66" s="49">
        <f>VLOOKUP($A66,'Growth Analysis'!$A:$G,6,FALSE)</f>
        <v>8884300.9500000011</v>
      </c>
      <c r="G66" s="50">
        <f t="shared" si="1"/>
        <v>0.62115913805720635</v>
      </c>
      <c r="H66" s="159">
        <f t="shared" si="2"/>
        <v>4.9778107231744752E-3</v>
      </c>
      <c r="I66" s="158">
        <f t="shared" si="3"/>
        <v>3.4064488040527982E-3</v>
      </c>
      <c r="J66" s="157">
        <v>205.32499999999999</v>
      </c>
      <c r="K66" s="162">
        <f>VLOOKUP($A66,[1]Notes!$A:$G,3,FALSE)</f>
        <v>5549206.3492063489</v>
      </c>
      <c r="L66" s="161">
        <f>VLOOKUP($A66,[1]Notes!$A:$G,5,FALSE)</f>
        <v>3329523.8095238092</v>
      </c>
      <c r="M66" s="161">
        <f>VLOOKUP($A66,[1]Notes!$A:$G,7,FALSE)</f>
        <v>3551492.0634920634</v>
      </c>
      <c r="N66" s="154">
        <f t="shared" si="4"/>
        <v>12430222.222222222</v>
      </c>
      <c r="O66" s="45">
        <f t="shared" si="14"/>
        <v>6720044.4762855414</v>
      </c>
      <c r="P66" s="45">
        <f t="shared" si="6"/>
        <v>4032026.6857713251</v>
      </c>
      <c r="Q66" s="45">
        <f t="shared" si="7"/>
        <v>4300828.4648227468</v>
      </c>
      <c r="R66" s="45">
        <f t="shared" si="8"/>
        <v>15052899.626879614</v>
      </c>
      <c r="S66" s="153">
        <f>R66/N66-1</f>
        <v>0.21099199658463719</v>
      </c>
      <c r="T66">
        <f>VLOOKUP($A66,'[2]All month (2)'!$E:$Y,8,FALSE)</f>
        <v>5001600</v>
      </c>
      <c r="U66">
        <f>VLOOKUP($A66,'[2]All month (2)'!$E:$Y,14,FALSE)</f>
        <v>2847932</v>
      </c>
      <c r="V66">
        <f>VLOOKUP($A66,'[2]All month (2)'!$E:$Y,20,FALSE)</f>
        <v>2325893</v>
      </c>
      <c r="W66">
        <f t="shared" si="24"/>
        <v>10175425</v>
      </c>
      <c r="X66" s="152">
        <f t="shared" si="10"/>
        <v>0.47933866417172882</v>
      </c>
    </row>
    <row r="67" spans="1:24" ht="16.2" customHeight="1" x14ac:dyDescent="0.3">
      <c r="A67" s="55" t="s">
        <v>272</v>
      </c>
      <c r="B67" s="189">
        <f>VLOOKUP($A67,'Growth Analysis'!A:G,2,FALSE)</f>
        <v>135.44044500000001</v>
      </c>
      <c r="C67" s="189">
        <f>VLOOKUP(A67,'Growth Analysis'!A:G,4,FALSE)</f>
        <v>0.22369136117354024</v>
      </c>
      <c r="D67" s="50">
        <f t="shared" si="0"/>
        <v>-0.99834841534097485</v>
      </c>
      <c r="E67" s="49">
        <f>VLOOKUP($A67,'Growth Analysis'!$A:$G,5,FALSE)</f>
        <v>3119160</v>
      </c>
      <c r="F67" s="49">
        <f>VLOOKUP($A67,'Growth Analysis'!$A:$G,6,FALSE)</f>
        <v>7416675</v>
      </c>
      <c r="G67" s="50">
        <f t="shared" si="1"/>
        <v>1.3777795945062132</v>
      </c>
      <c r="H67" s="159">
        <f t="shared" si="2"/>
        <v>4.1555103269323677E-3</v>
      </c>
      <c r="I67" s="158">
        <f t="shared" si="3"/>
        <v>1.9388397104641666E-3</v>
      </c>
      <c r="J67" s="157">
        <v>132.78475</v>
      </c>
      <c r="K67" s="162">
        <f>VLOOKUP($A67,[1]Notes!$A:$G,3,FALSE)</f>
        <v>4380952.3809523825</v>
      </c>
      <c r="L67" s="161">
        <f>VLOOKUP($A67,[1]Notes!$A:$G,5,FALSE)</f>
        <v>2628571.4285714291</v>
      </c>
      <c r="M67" s="161">
        <f>VLOOKUP($A67,[1]Notes!$A:$G,7,FALSE)</f>
        <v>2803809.5238095247</v>
      </c>
      <c r="N67" s="154">
        <f t="shared" si="4"/>
        <v>9813333.3333333358</v>
      </c>
      <c r="O67" s="45">
        <f t="shared" si="14"/>
        <v>5609938.9413586967</v>
      </c>
      <c r="P67" s="45">
        <f t="shared" si="6"/>
        <v>3365963.3648152179</v>
      </c>
      <c r="Q67" s="45">
        <f t="shared" si="7"/>
        <v>3590360.9224695656</v>
      </c>
      <c r="R67" s="45">
        <f t="shared" si="8"/>
        <v>12566263.228643481</v>
      </c>
      <c r="S67" s="153">
        <f>R67/N67-1</f>
        <v>0.28052954096231097</v>
      </c>
      <c r="T67">
        <f>VLOOKUP($A67,'[2]All month (2)'!$E:$Y,8,FALSE)</f>
        <v>2961960</v>
      </c>
      <c r="U67">
        <f>VLOOKUP($A67,'[2]All month (2)'!$E:$Y,14,FALSE)</f>
        <v>1786400</v>
      </c>
      <c r="V67">
        <f>VLOOKUP($A67,'[2]All month (2)'!$E:$Y,20,FALSE)</f>
        <v>2551000</v>
      </c>
      <c r="W67">
        <f t="shared" si="24"/>
        <v>7299360</v>
      </c>
      <c r="X67" s="152">
        <f t="shared" si="10"/>
        <v>0.72155685274373105</v>
      </c>
    </row>
    <row r="68" spans="1:24" ht="16.2" customHeight="1" x14ac:dyDescent="0.3">
      <c r="A68" s="55" t="s">
        <v>271</v>
      </c>
      <c r="B68" s="189">
        <f>VLOOKUP($A68,'Growth Analysis'!A:G,2,FALSE)</f>
        <v>372.48375300000004</v>
      </c>
      <c r="C68" s="189">
        <f>VLOOKUP(A68,'Growth Analysis'!A:G,4,FALSE)</f>
        <v>-0.3868020063683153</v>
      </c>
      <c r="D68" s="50">
        <f t="shared" si="0"/>
        <v>-1.0010384399406766</v>
      </c>
      <c r="E68" s="49">
        <f>VLOOKUP($A68,'Growth Analysis'!$A:$G,5,FALSE)</f>
        <v>9816480</v>
      </c>
      <c r="F68" s="49">
        <f>VLOOKUP($A68,'Growth Analysis'!$A:$G,6,FALSE)</f>
        <v>10339340.550000001</v>
      </c>
      <c r="G68" s="50">
        <f t="shared" si="1"/>
        <v>5.3263547626033032E-2</v>
      </c>
      <c r="H68" s="159">
        <f t="shared" si="2"/>
        <v>5.7930590769038138E-3</v>
      </c>
      <c r="I68" s="158">
        <f t="shared" si="3"/>
        <v>6.1018290953260756E-3</v>
      </c>
      <c r="J68" s="157">
        <v>365.18015000000003</v>
      </c>
      <c r="K68" s="162">
        <f>VLOOKUP($A68,[1]Notes!$A:$G,3,FALSE)</f>
        <v>7009523.8095238097</v>
      </c>
      <c r="L68" s="161">
        <f>VLOOKUP($A68,[1]Notes!$A:$G,5,FALSE)</f>
        <v>4205714.2857142864</v>
      </c>
      <c r="M68" s="161">
        <f>VLOOKUP($A68,[1]Notes!$A:$G,7,FALSE)</f>
        <v>4486095.2380952379</v>
      </c>
      <c r="N68" s="154">
        <f t="shared" si="4"/>
        <v>15701333.333333336</v>
      </c>
      <c r="O68" s="45">
        <f t="shared" si="14"/>
        <v>7820629.7538201483</v>
      </c>
      <c r="P68" s="45">
        <f t="shared" si="6"/>
        <v>4692377.8522920888</v>
      </c>
      <c r="Q68" s="45">
        <f t="shared" si="7"/>
        <v>5005203.042444895</v>
      </c>
      <c r="R68" s="45">
        <f t="shared" si="8"/>
        <v>17518210.648557134</v>
      </c>
      <c r="S68" s="153">
        <f>R68/N68-1</f>
        <v>0.11571484259662435</v>
      </c>
      <c r="T68">
        <f>VLOOKUP($A68,'[2]All month (2)'!$E:$Y,8,FALSE)</f>
        <v>6298000</v>
      </c>
      <c r="U68">
        <f>VLOOKUP($A68,'[2]All month (2)'!$E:$Y,14,FALSE)</f>
        <v>4000000</v>
      </c>
      <c r="V68">
        <f>VLOOKUP($A68,'[2]All month (2)'!$E:$Y,20,FALSE)</f>
        <v>3705000</v>
      </c>
      <c r="W68">
        <f t="shared" si="24"/>
        <v>14003000</v>
      </c>
      <c r="X68" s="152">
        <f t="shared" si="10"/>
        <v>0.25103268217932828</v>
      </c>
    </row>
    <row r="69" spans="1:24" ht="16.2" customHeight="1" x14ac:dyDescent="0.3">
      <c r="A69" s="55" t="s">
        <v>270</v>
      </c>
      <c r="B69" s="189">
        <f>VLOOKUP($A69,'Growth Analysis'!A:G,2,FALSE)</f>
        <v>1313.5503900000001</v>
      </c>
      <c r="C69" s="189">
        <f>VLOOKUP(A69,'Growth Analysis'!A:G,4,FALSE)</f>
        <v>-0.69250999936896229</v>
      </c>
      <c r="D69" s="50">
        <f t="shared" ref="D69:D132" si="25">IFERROR((C69-B69)/B69,100%)</f>
        <v>-1.0005272047457341</v>
      </c>
      <c r="E69" s="49">
        <f>VLOOKUP($A69,'Growth Analysis'!$A:$G,5,FALSE)</f>
        <v>63328602.300000004</v>
      </c>
      <c r="F69" s="49">
        <f>VLOOKUP($A69,'Growth Analysis'!$A:$G,6,FALSE)</f>
        <v>13351232.988534482</v>
      </c>
      <c r="G69" s="50">
        <f t="shared" ref="G69:G132" si="26">IFERROR((F69-E69)/E69,100%)</f>
        <v>-0.78917530936042024</v>
      </c>
      <c r="H69" s="159">
        <f t="shared" ref="H69:H132" si="27">F69/$F$3</f>
        <v>7.480601018803594E-3</v>
      </c>
      <c r="I69" s="158">
        <f t="shared" ref="I69:I132" si="28">E69/$E$3</f>
        <v>3.936444714199732E-2</v>
      </c>
      <c r="J69" s="157">
        <v>1287.7945</v>
      </c>
      <c r="K69" s="162">
        <f>VLOOKUP($A69,[1]Notes!$A:$G,3,FALSE)</f>
        <v>7301587.3015873022</v>
      </c>
      <c r="L69" s="161">
        <f>VLOOKUP($A69,[1]Notes!$A:$G,5,FALSE)</f>
        <v>4380952.3809523815</v>
      </c>
      <c r="M69" s="161">
        <f>VLOOKUP($A69,[1]Notes!$A:$G,7,FALSE)</f>
        <v>4673015.8730158741</v>
      </c>
      <c r="N69" s="154">
        <f t="shared" ref="N69:N132" si="29">SUM(K69:M69)</f>
        <v>16355555.555555556</v>
      </c>
      <c r="O69" s="45">
        <f t="shared" si="14"/>
        <v>10098811.375384852</v>
      </c>
      <c r="P69" s="45">
        <f t="shared" ref="P69:P132" si="30">$P$3*H69</f>
        <v>6059286.8252309114</v>
      </c>
      <c r="Q69" s="45">
        <f t="shared" ref="Q69:Q132" si="31">$Q$3*H69</f>
        <v>6463239.2802463053</v>
      </c>
      <c r="R69" s="45">
        <f t="shared" ref="R69:R132" si="32">SUM(O69:Q69)</f>
        <v>22621337.48086207</v>
      </c>
      <c r="S69" s="153">
        <f>N69/R69-1</f>
        <v>-0.27698547579723976</v>
      </c>
      <c r="T69">
        <f>VLOOKUP($A69,'[2]All month (2)'!$E:$Y,8,FALSE)</f>
        <v>34345602</v>
      </c>
      <c r="U69">
        <f>VLOOKUP($A69,'[2]All month (2)'!$E:$Y,14,FALSE)</f>
        <v>4932434.4000000004</v>
      </c>
      <c r="V69">
        <f>VLOOKUP($A69,'[2]All month (2)'!$E:$Y,20,FALSE)</f>
        <v>5537549.4000000004</v>
      </c>
      <c r="W69">
        <f t="shared" si="24"/>
        <v>44815585.799999997</v>
      </c>
      <c r="X69" s="152">
        <f t="shared" ref="X69:X132" si="33">IFERROR((R69-W69)/W69,100%)</f>
        <v>-0.49523503760912413</v>
      </c>
    </row>
    <row r="70" spans="1:24" ht="16.2" customHeight="1" x14ac:dyDescent="0.3">
      <c r="A70" s="55" t="s">
        <v>269</v>
      </c>
      <c r="B70" s="189">
        <f>VLOOKUP($A70,'Growth Analysis'!A:G,2,FALSE)</f>
        <v>0</v>
      </c>
      <c r="C70" s="189">
        <f>VLOOKUP(A70,'Growth Analysis'!A:G,4,FALSE)</f>
        <v>1</v>
      </c>
      <c r="D70" s="50">
        <f t="shared" si="25"/>
        <v>1</v>
      </c>
      <c r="E70" s="49">
        <f>VLOOKUP($A70,'Growth Analysis'!$A:$G,5,FALSE)</f>
        <v>0</v>
      </c>
      <c r="F70" s="49">
        <f>VLOOKUP($A70,'Growth Analysis'!$A:$G,6,FALSE)</f>
        <v>18125747.861465517</v>
      </c>
      <c r="G70" s="50">
        <f t="shared" si="26"/>
        <v>1</v>
      </c>
      <c r="H70" s="159">
        <f t="shared" si="27"/>
        <v>1.0155727791994694E-2</v>
      </c>
      <c r="I70" s="158">
        <f t="shared" si="28"/>
        <v>0</v>
      </c>
      <c r="J70" s="157">
        <v>0</v>
      </c>
      <c r="K70" s="162">
        <f>VLOOKUP($A70,[1]Notes!$A:$G,3,FALSE)</f>
        <v>10222222.222222222</v>
      </c>
      <c r="L70" s="161">
        <f>VLOOKUP($A70,[1]Notes!$A:$G,5,FALSE)</f>
        <v>6133333.333333333</v>
      </c>
      <c r="M70" s="161">
        <f>VLOOKUP($A70,[1]Notes!$A:$G,7,FALSE)</f>
        <v>6542222.222222222</v>
      </c>
      <c r="N70" s="154">
        <f t="shared" si="29"/>
        <v>22897777.777777776</v>
      </c>
      <c r="O70" s="45">
        <f t="shared" si="14"/>
        <v>13710232.519192837</v>
      </c>
      <c r="P70" s="45">
        <f t="shared" si="30"/>
        <v>8226139.5115157021</v>
      </c>
      <c r="Q70" s="45">
        <f t="shared" si="31"/>
        <v>8774548.8122834153</v>
      </c>
      <c r="R70" s="45">
        <f t="shared" si="32"/>
        <v>30710920.842991956</v>
      </c>
      <c r="S70" s="153">
        <f>R70/N70-1</f>
        <v>0.34121839861669079</v>
      </c>
      <c r="T70">
        <f>VLOOKUP($A70,'[2]All month (2)'!$E:$Y,8,FALSE)</f>
        <v>0</v>
      </c>
      <c r="U70">
        <f>VLOOKUP($A70,'[2]All month (2)'!$E:$Y,14,FALSE)</f>
        <v>6238078.7999999998</v>
      </c>
      <c r="V70">
        <f>VLOOKUP($A70,'[2]All month (2)'!$E:$Y,20,FALSE)</f>
        <v>7003371.2999999998</v>
      </c>
      <c r="W70">
        <f t="shared" si="24"/>
        <v>13241450.1</v>
      </c>
      <c r="X70" s="152">
        <f t="shared" si="33"/>
        <v>1.3193019352912077</v>
      </c>
    </row>
    <row r="71" spans="1:24" ht="15" customHeight="1" x14ac:dyDescent="0.3">
      <c r="A71" s="180" t="s">
        <v>268</v>
      </c>
      <c r="B71" s="189">
        <f>VLOOKUP($A71,'Growth Analysis'!A:G,2,FALSE)</f>
        <v>0</v>
      </c>
      <c r="C71" s="189">
        <f>VLOOKUP(A71,'Growth Analysis'!A:G,4,FALSE)</f>
        <v>1</v>
      </c>
      <c r="D71" s="50">
        <f t="shared" si="25"/>
        <v>1</v>
      </c>
      <c r="E71" s="49">
        <f>VLOOKUP($A71,'Growth Analysis'!$A:$G,5,FALSE)</f>
        <v>0</v>
      </c>
      <c r="F71" s="49">
        <f>VLOOKUP($A71,'Growth Analysis'!$A:$G,6,FALSE)</f>
        <v>4277708.4000000004</v>
      </c>
      <c r="G71" s="50">
        <f t="shared" si="26"/>
        <v>1</v>
      </c>
      <c r="H71" s="159">
        <f t="shared" si="27"/>
        <v>2.3967696348842762E-3</v>
      </c>
      <c r="I71" s="158">
        <f t="shared" si="28"/>
        <v>0</v>
      </c>
      <c r="J71" s="157">
        <v>0</v>
      </c>
      <c r="K71" s="162">
        <f>VLOOKUP($A71,[1]Notes!$A:$G,3,FALSE)</f>
        <v>3796825.3968253974</v>
      </c>
      <c r="L71" s="161">
        <f>VLOOKUP($A71,[1]Notes!$A:$G,5,FALSE)</f>
        <v>2278095.2380952388</v>
      </c>
      <c r="M71" s="161">
        <f>VLOOKUP($A71,[1]Notes!$A:$G,7,FALSE)</f>
        <v>2429968.2539682542</v>
      </c>
      <c r="N71" s="154">
        <f t="shared" si="29"/>
        <v>8504888.8888888899</v>
      </c>
      <c r="O71" s="45">
        <f t="shared" si="14"/>
        <v>3235639.0070937728</v>
      </c>
      <c r="P71" s="45">
        <f t="shared" si="30"/>
        <v>1941383.4042562637</v>
      </c>
      <c r="Q71" s="45">
        <f t="shared" si="31"/>
        <v>2070808.9645400147</v>
      </c>
      <c r="R71" s="45">
        <f t="shared" si="32"/>
        <v>7247831.375890051</v>
      </c>
      <c r="S71" s="153">
        <f>R71/N71-1</f>
        <v>-0.14780410766342955</v>
      </c>
      <c r="X71" s="152">
        <f t="shared" si="33"/>
        <v>1</v>
      </c>
    </row>
    <row r="72" spans="1:24" ht="15" customHeight="1" thickBot="1" x14ac:dyDescent="0.35">
      <c r="A72" s="97" t="s">
        <v>267</v>
      </c>
      <c r="B72" s="189">
        <f>VLOOKUP($A72,'Growth Analysis'!A:G,2,FALSE)</f>
        <v>0</v>
      </c>
      <c r="C72" s="189">
        <f>VLOOKUP(A72,'Growth Analysis'!A:G,4,FALSE)</f>
        <v>1</v>
      </c>
      <c r="D72" s="50">
        <f t="shared" si="25"/>
        <v>1</v>
      </c>
      <c r="E72" s="49">
        <f>VLOOKUP($A72,'Growth Analysis'!$A:$G,5,FALSE)</f>
        <v>0</v>
      </c>
      <c r="F72" s="49">
        <f>VLOOKUP($A72,'Growth Analysis'!$A:$G,6,FALSE)</f>
        <v>6005223</v>
      </c>
      <c r="G72" s="50">
        <f t="shared" si="26"/>
        <v>1</v>
      </c>
      <c r="H72" s="159">
        <f t="shared" si="27"/>
        <v>3.3646837959101319E-3</v>
      </c>
      <c r="I72" s="158">
        <f t="shared" si="28"/>
        <v>0</v>
      </c>
      <c r="J72" s="157">
        <v>0</v>
      </c>
      <c r="K72" s="156">
        <f>VLOOKUP($A72,[1]Notes!$A:$G,3,FALSE)</f>
        <v>4673015.8730158731</v>
      </c>
      <c r="L72" s="155">
        <f>VLOOKUP($A72,[1]Notes!$A:$G,5,FALSE)</f>
        <v>2803809.5238095238</v>
      </c>
      <c r="M72" s="155">
        <f>VLOOKUP($A72,[1]Notes!$A:$G,7,FALSE)</f>
        <v>2990730.158730159</v>
      </c>
      <c r="N72" s="154">
        <f t="shared" si="29"/>
        <v>10467555.555555556</v>
      </c>
      <c r="O72" s="45">
        <f t="shared" si="14"/>
        <v>4542323.1244786782</v>
      </c>
      <c r="P72" s="45">
        <f t="shared" si="30"/>
        <v>2725393.8746872069</v>
      </c>
      <c r="Q72" s="45">
        <f t="shared" si="31"/>
        <v>2907086.799666354</v>
      </c>
      <c r="R72" s="45">
        <f t="shared" si="32"/>
        <v>10174803.79883224</v>
      </c>
      <c r="S72" s="153">
        <f>R72/N72-1</f>
        <v>-2.7967537900282835E-2</v>
      </c>
      <c r="T72">
        <f>VLOOKUP($A72,'[2]All month (2)'!$E:$Y,8,FALSE)</f>
        <v>0</v>
      </c>
      <c r="U72">
        <f>VLOOKUP($A72,'[2]All month (2)'!$E:$Y,14,FALSE)</f>
        <v>3336646.8</v>
      </c>
      <c r="V72">
        <f>VLOOKUP($A72,'[2]All month (2)'!$E:$Y,20,FALSE)</f>
        <v>3745989.3</v>
      </c>
      <c r="W72">
        <f>SUM(T72:V72)</f>
        <v>7082636.0999999996</v>
      </c>
      <c r="X72" s="152">
        <f t="shared" si="33"/>
        <v>0.4365842964644534</v>
      </c>
    </row>
    <row r="73" spans="1:24" ht="16.2" thickBot="1" x14ac:dyDescent="0.35">
      <c r="A73" s="56" t="s">
        <v>266</v>
      </c>
      <c r="B73" s="42">
        <f>SUM(B64:B72)</f>
        <v>2656.879578</v>
      </c>
      <c r="C73" s="40">
        <f>SUM(C64:C72)</f>
        <v>2.4870500239466979</v>
      </c>
      <c r="D73" s="41">
        <f t="shared" si="25"/>
        <v>-0.99906392068178762</v>
      </c>
      <c r="E73" s="40">
        <f>SUM(E64:E72)</f>
        <v>101334926.34</v>
      </c>
      <c r="F73" s="40">
        <f>SUM(F64:F72)</f>
        <v>89396416.200000003</v>
      </c>
      <c r="G73" s="151">
        <f t="shared" si="26"/>
        <v>-0.11781239273756204</v>
      </c>
      <c r="H73" s="150">
        <f t="shared" si="27"/>
        <v>5.008817707528563E-2</v>
      </c>
      <c r="I73" s="150">
        <f t="shared" si="28"/>
        <v>6.2988810848097973E-2</v>
      </c>
      <c r="J73" s="42">
        <f>SUM(J64:J72)</f>
        <v>2604.7838999999999</v>
      </c>
      <c r="K73" s="165">
        <f>SUM(K64:K72)</f>
        <v>55200000</v>
      </c>
      <c r="L73" s="165">
        <f>SUM(L64:L72)</f>
        <v>33120000</v>
      </c>
      <c r="M73" s="165">
        <f>SUM(M64:M72)</f>
        <v>35328000</v>
      </c>
      <c r="N73" s="36">
        <f t="shared" si="29"/>
        <v>123648000</v>
      </c>
      <c r="O73" s="36">
        <f t="shared" si="14"/>
        <v>67619039.051635593</v>
      </c>
      <c r="P73" s="36">
        <f t="shared" si="30"/>
        <v>40571423.43098136</v>
      </c>
      <c r="Q73" s="36">
        <f t="shared" si="31"/>
        <v>43276184.993046783</v>
      </c>
      <c r="R73" s="148">
        <f t="shared" si="32"/>
        <v>151466647.47566375</v>
      </c>
      <c r="S73" s="41"/>
      <c r="T73" s="42">
        <f>SUM(T64:T72)</f>
        <v>66457163</v>
      </c>
      <c r="U73" s="42">
        <f>SUM(U64:U72)</f>
        <v>28170352</v>
      </c>
      <c r="V73" s="42">
        <f>SUM(V64:V72)</f>
        <v>34721483</v>
      </c>
      <c r="W73" s="147">
        <f>SUM(W64:W72)</f>
        <v>129348997.99999999</v>
      </c>
      <c r="X73" s="146">
        <f t="shared" si="33"/>
        <v>0.1709920433683125</v>
      </c>
    </row>
    <row r="74" spans="1:24" ht="16.2" customHeight="1" x14ac:dyDescent="0.3">
      <c r="A74" s="64" t="s">
        <v>265</v>
      </c>
      <c r="B74" s="189">
        <f>VLOOKUP($A74,'Growth Analysis'!A:G,2,FALSE)</f>
        <v>333.18187800000004</v>
      </c>
      <c r="C74" s="189">
        <f>VLOOKUP(A74,'Growth Analysis'!A:G,4,FALSE)</f>
        <v>-0.37779943721909148</v>
      </c>
      <c r="D74" s="50">
        <f t="shared" si="25"/>
        <v>-1.0011339135234092</v>
      </c>
      <c r="E74" s="49">
        <f>VLOOKUP($A74,'Growth Analysis'!$A:$G,5,FALSE)</f>
        <v>12309859.800000001</v>
      </c>
      <c r="F74" s="49">
        <f>VLOOKUP($A74,'Growth Analysis'!$A:$G,6,FALSE)</f>
        <v>8555381.9723076914</v>
      </c>
      <c r="G74" s="50">
        <f t="shared" si="26"/>
        <v>-0.30499761075201759</v>
      </c>
      <c r="H74" s="159">
        <f t="shared" si="27"/>
        <v>4.7935197560599087E-3</v>
      </c>
      <c r="I74" s="158">
        <f t="shared" si="28"/>
        <v>7.6516898814060468E-3</v>
      </c>
      <c r="J74" s="157">
        <v>326.64890000000003</v>
      </c>
      <c r="K74" s="164">
        <f>VLOOKUP($A74,[1]Notes!$A:$G,3,FALSE)</f>
        <v>5404482.1192052988</v>
      </c>
      <c r="L74" s="163">
        <f>VLOOKUP($A74,[1]Notes!$A:$G,5,FALSE)</f>
        <v>3242689.2715231795</v>
      </c>
      <c r="M74" s="163">
        <f>VLOOKUP($A74,[1]Notes!$A:$G,7,FALSE)</f>
        <v>3458868.5562913921</v>
      </c>
      <c r="N74" s="154">
        <f t="shared" si="29"/>
        <v>12106039.947019869</v>
      </c>
      <c r="O74" s="45">
        <f t="shared" si="14"/>
        <v>6471251.6706808768</v>
      </c>
      <c r="P74" s="45">
        <f t="shared" si="30"/>
        <v>3882751.0024085259</v>
      </c>
      <c r="Q74" s="45">
        <f t="shared" si="31"/>
        <v>4141601.0692357612</v>
      </c>
      <c r="R74" s="45">
        <f t="shared" si="32"/>
        <v>14495603.742325164</v>
      </c>
      <c r="S74" s="153">
        <f t="shared" ref="S74:S80" si="34">R74/N74-1</f>
        <v>0.19738608213444153</v>
      </c>
      <c r="T74">
        <f>VLOOKUP($A74,'[2]All month (2)'!$E:$Y,8,FALSE)</f>
        <v>6806050</v>
      </c>
      <c r="U74">
        <f>VLOOKUP($A74,'[2]All month (2)'!$E:$Y,14,FALSE)</f>
        <v>1904000</v>
      </c>
      <c r="V74">
        <f>VLOOKUP($A74,'[2]All month (2)'!$E:$Y,20,FALSE)</f>
        <v>4714310</v>
      </c>
      <c r="W74">
        <f t="shared" ref="W74:W81" si="35">SUM(T74:V74)</f>
        <v>13424360</v>
      </c>
      <c r="X74" s="152">
        <f t="shared" si="33"/>
        <v>7.9798496339875E-2</v>
      </c>
    </row>
    <row r="75" spans="1:24" ht="16.2" customHeight="1" x14ac:dyDescent="0.3">
      <c r="A75" s="86" t="s">
        <v>264</v>
      </c>
      <c r="B75" s="189">
        <f>VLOOKUP($A75,'Growth Analysis'!A:G,2,FALSE)</f>
        <v>0</v>
      </c>
      <c r="C75" s="189">
        <f>VLOOKUP(A75,'Growth Analysis'!A:G,4,FALSE)</f>
        <v>1</v>
      </c>
      <c r="D75" s="50">
        <f t="shared" si="25"/>
        <v>1</v>
      </c>
      <c r="E75" s="49">
        <f>VLOOKUP($A75,'Growth Analysis'!$A:$G,5,FALSE)</f>
        <v>0</v>
      </c>
      <c r="F75" s="49">
        <f>VLOOKUP($A75,'Growth Analysis'!$A:$G,6,FALSE)</f>
        <v>4552286.7276923079</v>
      </c>
      <c r="G75" s="50">
        <f t="shared" si="26"/>
        <v>1</v>
      </c>
      <c r="H75" s="159">
        <f t="shared" si="27"/>
        <v>2.5506139217482959E-3</v>
      </c>
      <c r="I75" s="158">
        <f t="shared" si="28"/>
        <v>0</v>
      </c>
      <c r="J75" s="157">
        <v>0</v>
      </c>
      <c r="K75" s="162">
        <f>VLOOKUP($A75,[1]Notes!$A:$G,3,FALSE)</f>
        <v>3377801.3245033114</v>
      </c>
      <c r="L75" s="161">
        <f>VLOOKUP($A75,[1]Notes!$A:$G,5,FALSE)</f>
        <v>2026680.7947019867</v>
      </c>
      <c r="M75" s="161">
        <f>VLOOKUP($A75,[1]Notes!$A:$G,7,FALSE)</f>
        <v>2161792.8476821193</v>
      </c>
      <c r="N75" s="154">
        <f t="shared" si="29"/>
        <v>7566274.9668874172</v>
      </c>
      <c r="O75" s="45">
        <f t="shared" si="14"/>
        <v>3443328.7943601995</v>
      </c>
      <c r="P75" s="45">
        <f t="shared" si="30"/>
        <v>2065997.2766161198</v>
      </c>
      <c r="Q75" s="45">
        <f t="shared" si="31"/>
        <v>2203730.4283905276</v>
      </c>
      <c r="R75" s="45">
        <f t="shared" si="32"/>
        <v>7713056.4993668459</v>
      </c>
      <c r="S75" s="153">
        <f t="shared" si="34"/>
        <v>1.9399444656953868E-2</v>
      </c>
      <c r="T75">
        <f>VLOOKUP($A75,'[2]All month (2)'!$E:$Y,8,FALSE)</f>
        <v>0</v>
      </c>
      <c r="U75">
        <f>VLOOKUP($A75,'[2]All month (2)'!$E:$Y,14,FALSE)</f>
        <v>2812800</v>
      </c>
      <c r="V75">
        <f>VLOOKUP($A75,'[2]All month (2)'!$E:$Y,20,FALSE)</f>
        <v>3160950</v>
      </c>
      <c r="W75">
        <f t="shared" si="35"/>
        <v>5973750</v>
      </c>
      <c r="X75" s="152">
        <f t="shared" si="33"/>
        <v>0.29115823383416545</v>
      </c>
    </row>
    <row r="76" spans="1:24" ht="16.2" customHeight="1" x14ac:dyDescent="0.3">
      <c r="A76" s="96" t="s">
        <v>263</v>
      </c>
      <c r="B76" s="189">
        <f>VLOOKUP($A76,'Growth Analysis'!A:G,2,FALSE)</f>
        <v>406.45342499999998</v>
      </c>
      <c r="C76" s="189">
        <f>VLOOKUP(A76,'Growth Analysis'!A:G,4,FALSE)</f>
        <v>-0.37644294669186257</v>
      </c>
      <c r="D76" s="50">
        <f t="shared" si="25"/>
        <v>-1.0009261650254069</v>
      </c>
      <c r="E76" s="49">
        <f>VLOOKUP($A76,'Growth Analysis'!$A:$G,5,FALSE)</f>
        <v>13853538</v>
      </c>
      <c r="F76" s="49">
        <f>VLOOKUP($A76,'Growth Analysis'!$A:$G,6,FALSE)</f>
        <v>12390643.65</v>
      </c>
      <c r="G76" s="50">
        <f t="shared" si="26"/>
        <v>-0.10559716586477762</v>
      </c>
      <c r="H76" s="159">
        <f t="shared" si="27"/>
        <v>6.9423896348315079E-3</v>
      </c>
      <c r="I76" s="158">
        <f t="shared" si="28"/>
        <v>8.6112253314431873E-3</v>
      </c>
      <c r="J76" s="157">
        <v>398.48374999999999</v>
      </c>
      <c r="K76" s="162">
        <f>VLOOKUP($A76,[1]Notes!$A:$G,3,FALSE)</f>
        <v>8059200</v>
      </c>
      <c r="L76" s="161">
        <f>VLOOKUP($A76,[1]Notes!$A:$G,5,FALSE)</f>
        <v>4835520</v>
      </c>
      <c r="M76" s="161">
        <f>VLOOKUP($A76,[1]Notes!$A:$G,7,FALSE)</f>
        <v>5157888</v>
      </c>
      <c r="N76" s="154">
        <f t="shared" si="29"/>
        <v>18052608</v>
      </c>
      <c r="O76" s="45">
        <f t="shared" si="14"/>
        <v>9372226.0070225354</v>
      </c>
      <c r="P76" s="45">
        <f t="shared" si="30"/>
        <v>5623335.6042135218</v>
      </c>
      <c r="Q76" s="45">
        <f t="shared" si="31"/>
        <v>5998224.6444944227</v>
      </c>
      <c r="R76" s="45">
        <f t="shared" si="32"/>
        <v>20993786.25573048</v>
      </c>
      <c r="S76" s="153">
        <f t="shared" si="34"/>
        <v>0.16292262346418207</v>
      </c>
      <c r="T76">
        <f>VLOOKUP($A76,'[2]All month (2)'!$E:$Y,8,FALSE)</f>
        <v>9691000</v>
      </c>
      <c r="U76">
        <f>VLOOKUP($A76,'[2]All month (2)'!$E:$Y,14,FALSE)</f>
        <v>2812800</v>
      </c>
      <c r="V76">
        <f>VLOOKUP($A76,'[2]All month (2)'!$E:$Y,20,FALSE)</f>
        <v>3160950</v>
      </c>
      <c r="W76">
        <f t="shared" si="35"/>
        <v>15664750</v>
      </c>
      <c r="X76" s="152">
        <f t="shared" si="33"/>
        <v>0.34019286970621809</v>
      </c>
    </row>
    <row r="77" spans="1:24" ht="16.2" customHeight="1" x14ac:dyDescent="0.3">
      <c r="A77" s="55" t="s">
        <v>262</v>
      </c>
      <c r="B77" s="189">
        <f>VLOOKUP($A77,'Growth Analysis'!A:G,2,FALSE)</f>
        <v>429.21854999999999</v>
      </c>
      <c r="C77" s="189">
        <f>VLOOKUP(A77,'Growth Analysis'!A:G,4,FALSE)</f>
        <v>-0.32439309764221508</v>
      </c>
      <c r="D77" s="50">
        <f t="shared" si="25"/>
        <v>-1.0007557760437944</v>
      </c>
      <c r="E77" s="49">
        <f>VLOOKUP($A77,'Growth Analysis'!$A:$G,5,FALSE)</f>
        <v>21142670.16</v>
      </c>
      <c r="F77" s="49">
        <f>VLOOKUP($A77,'Growth Analysis'!$A:$G,6,FALSE)</f>
        <v>17229093</v>
      </c>
      <c r="G77" s="50">
        <f t="shared" si="26"/>
        <v>-0.18510325944563666</v>
      </c>
      <c r="H77" s="159">
        <f t="shared" si="27"/>
        <v>9.6533384414415058E-3</v>
      </c>
      <c r="I77" s="158">
        <f t="shared" si="28"/>
        <v>1.3142079435313923E-2</v>
      </c>
      <c r="J77" s="157">
        <v>420.80250000000001</v>
      </c>
      <c r="K77" s="162">
        <f>VLOOKUP($A77,[1]Notes!$A:$G,3,FALSE)</f>
        <v>8782283.4437086079</v>
      </c>
      <c r="L77" s="161">
        <f>VLOOKUP($A77,[1]Notes!$A:$G,5,FALSE)</f>
        <v>5269370.0662251646</v>
      </c>
      <c r="M77" s="161">
        <f>VLOOKUP($A77,[1]Notes!$A:$G,7,FALSE)</f>
        <v>5620661.4039735086</v>
      </c>
      <c r="N77" s="154">
        <f t="shared" si="29"/>
        <v>19672314.913907282</v>
      </c>
      <c r="O77" s="45">
        <f t="shared" si="14"/>
        <v>13032006.895946033</v>
      </c>
      <c r="P77" s="45">
        <f t="shared" si="30"/>
        <v>7819204.1375676198</v>
      </c>
      <c r="Q77" s="45">
        <f t="shared" si="31"/>
        <v>8340484.4134054612</v>
      </c>
      <c r="R77" s="45">
        <f t="shared" si="32"/>
        <v>29191695.446919113</v>
      </c>
      <c r="S77" s="153">
        <f t="shared" si="34"/>
        <v>0.4838973234554178</v>
      </c>
      <c r="T77">
        <f>VLOOKUP($A77,'[2]All month (2)'!$E:$Y,8,FALSE)</f>
        <v>11258080</v>
      </c>
      <c r="U77">
        <f>VLOOKUP($A77,'[2]All month (2)'!$E:$Y,14,FALSE)</f>
        <v>6093740</v>
      </c>
      <c r="V77">
        <f>VLOOKUP($A77,'[2]All month (2)'!$E:$Y,20,FALSE)</f>
        <v>7819682</v>
      </c>
      <c r="W77">
        <f t="shared" si="35"/>
        <v>25171502</v>
      </c>
      <c r="X77" s="152">
        <f t="shared" si="33"/>
        <v>0.15971210009315748</v>
      </c>
    </row>
    <row r="78" spans="1:24" ht="16.2" customHeight="1" x14ac:dyDescent="0.3">
      <c r="A78" s="55" t="s">
        <v>261</v>
      </c>
      <c r="B78" s="189">
        <f>VLOOKUP($A78,'Growth Analysis'!A:G,2,FALSE)</f>
        <v>577.92460500000004</v>
      </c>
      <c r="C78" s="189">
        <f>VLOOKUP(A78,'Growth Analysis'!A:G,4,FALSE)</f>
        <v>-0.56013159363581688</v>
      </c>
      <c r="D78" s="50">
        <f t="shared" si="25"/>
        <v>-1.0009692122273213</v>
      </c>
      <c r="E78" s="49">
        <f>VLOOKUP($A78,'Growth Analysis'!$A:$G,5,FALSE)</f>
        <v>15961776</v>
      </c>
      <c r="F78" s="49">
        <f>VLOOKUP($A78,'Growth Analysis'!$A:$G,6,FALSE)</f>
        <v>12504519.300000001</v>
      </c>
      <c r="G78" s="50">
        <f t="shared" si="26"/>
        <v>-0.21659599157386994</v>
      </c>
      <c r="H78" s="159">
        <f t="shared" si="27"/>
        <v>7.0061933527456859E-3</v>
      </c>
      <c r="I78" s="158">
        <f t="shared" si="28"/>
        <v>9.9216856968972044E-3</v>
      </c>
      <c r="J78" s="157">
        <v>566.59275000000002</v>
      </c>
      <c r="K78" s="162">
        <f>VLOOKUP($A78,[1]Notes!$A:$G,3,FALSE)</f>
        <v>9825600</v>
      </c>
      <c r="L78" s="161">
        <f>VLOOKUP($A78,[1]Notes!$A:$G,5,FALSE)</f>
        <v>5895360</v>
      </c>
      <c r="M78" s="161">
        <f>VLOOKUP($A78,[1]Notes!$A:$G,7,FALSE)</f>
        <v>6288384</v>
      </c>
      <c r="N78" s="154">
        <f t="shared" si="29"/>
        <v>22009344</v>
      </c>
      <c r="O78" s="45">
        <f t="shared" si="14"/>
        <v>9458361.0262066759</v>
      </c>
      <c r="P78" s="45">
        <f t="shared" si="30"/>
        <v>5675016.6157240057</v>
      </c>
      <c r="Q78" s="45">
        <f t="shared" si="31"/>
        <v>6053351.056772273</v>
      </c>
      <c r="R78" s="45">
        <f t="shared" si="32"/>
        <v>21186728.698702954</v>
      </c>
      <c r="S78" s="153">
        <f t="shared" si="34"/>
        <v>-3.7375730112494288E-2</v>
      </c>
      <c r="T78">
        <f>VLOOKUP($A78,'[2]All month (2)'!$E:$Y,8,FALSE)</f>
        <v>13710475</v>
      </c>
      <c r="U78">
        <f>VLOOKUP($A78,'[2]All month (2)'!$E:$Y,14,FALSE)</f>
        <v>2745300</v>
      </c>
      <c r="V78">
        <f>VLOOKUP($A78,'[2]All month (2)'!$E:$Y,20,FALSE)</f>
        <v>4230000</v>
      </c>
      <c r="W78">
        <f t="shared" si="35"/>
        <v>20685775</v>
      </c>
      <c r="X78" s="152">
        <f t="shared" si="33"/>
        <v>2.4217303857503706E-2</v>
      </c>
    </row>
    <row r="79" spans="1:24" ht="16.2" customHeight="1" x14ac:dyDescent="0.3">
      <c r="A79" s="55" t="s">
        <v>260</v>
      </c>
      <c r="B79" s="189">
        <f>VLOOKUP($A79,'Growth Analysis'!A:G,2,FALSE)</f>
        <v>49.158900000000003</v>
      </c>
      <c r="C79" s="189">
        <f>VLOOKUP(A79,'Growth Analysis'!A:G,4,FALSE)</f>
        <v>1.8310906061771119</v>
      </c>
      <c r="D79" s="50">
        <f t="shared" si="25"/>
        <v>-0.96275159521109888</v>
      </c>
      <c r="E79" s="49">
        <f>VLOOKUP($A79,'Growth Analysis'!$A:$G,5,FALSE)</f>
        <v>1455467.58</v>
      </c>
      <c r="F79" s="49">
        <f>VLOOKUP($A79,'Growth Analysis'!$A:$G,6,FALSE)</f>
        <v>9454324.9500000011</v>
      </c>
      <c r="G79" s="50">
        <f t="shared" si="26"/>
        <v>5.4957303617851805</v>
      </c>
      <c r="H79" s="159">
        <f t="shared" si="27"/>
        <v>5.2971911218840451E-3</v>
      </c>
      <c r="I79" s="158">
        <f t="shared" si="28"/>
        <v>9.0470458116838554E-4</v>
      </c>
      <c r="J79" s="157">
        <v>48.195</v>
      </c>
      <c r="K79" s="162">
        <f>VLOOKUP($A79,[1]Notes!$A:$G,3,FALSE)</f>
        <v>7768943.0463576214</v>
      </c>
      <c r="L79" s="161">
        <f>VLOOKUP($A79,[1]Notes!$A:$G,5,FALSE)</f>
        <v>4661365.8278145725</v>
      </c>
      <c r="M79" s="161">
        <f>VLOOKUP($A79,[1]Notes!$A:$G,7,FALSE)</f>
        <v>4972123.5496688774</v>
      </c>
      <c r="N79" s="154">
        <f t="shared" si="29"/>
        <v>17402432.42384107</v>
      </c>
      <c r="O79" s="45">
        <f t="shared" si="14"/>
        <v>7151208.0145434607</v>
      </c>
      <c r="P79" s="45">
        <f t="shared" si="30"/>
        <v>4290724.808726077</v>
      </c>
      <c r="Q79" s="45">
        <f t="shared" si="31"/>
        <v>4576773.1293078149</v>
      </c>
      <c r="R79" s="45">
        <f t="shared" si="32"/>
        <v>16018705.952577353</v>
      </c>
      <c r="S79" s="153">
        <f t="shared" si="34"/>
        <v>-7.9513394309638774E-2</v>
      </c>
      <c r="T79">
        <f>VLOOKUP($A79,'[2]All month (2)'!$E:$Y,8,FALSE)</f>
        <v>0</v>
      </c>
      <c r="U79">
        <f>VLOOKUP($A79,'[2]All month (2)'!$E:$Y,14,FALSE)</f>
        <v>1830200</v>
      </c>
      <c r="V79">
        <f>VLOOKUP($A79,'[2]All month (2)'!$E:$Y,20,FALSE)</f>
        <v>2820000</v>
      </c>
      <c r="W79">
        <f t="shared" si="35"/>
        <v>4650200</v>
      </c>
      <c r="X79" s="152">
        <f t="shared" si="33"/>
        <v>2.4447348399159936</v>
      </c>
    </row>
    <row r="80" spans="1:24" ht="16.2" customHeight="1" x14ac:dyDescent="0.3">
      <c r="A80" s="55" t="s">
        <v>259</v>
      </c>
      <c r="B80" s="189">
        <f>VLOOKUP($A80,'Growth Analysis'!A:G,2,FALSE)</f>
        <v>0</v>
      </c>
      <c r="C80" s="189">
        <f>VLOOKUP(A80,'Growth Analysis'!A:G,4,FALSE)</f>
        <v>1</v>
      </c>
      <c r="D80" s="50">
        <f t="shared" si="25"/>
        <v>1</v>
      </c>
      <c r="E80" s="49">
        <f>VLOOKUP($A80,'Growth Analysis'!$A:$G,5,FALSE)</f>
        <v>0</v>
      </c>
      <c r="F80" s="49">
        <f>VLOOKUP($A80,'Growth Analysis'!$A:$G,6,FALSE)</f>
        <v>4626520.9565217393</v>
      </c>
      <c r="G80" s="50">
        <f t="shared" si="26"/>
        <v>1</v>
      </c>
      <c r="H80" s="159">
        <f t="shared" si="27"/>
        <v>2.5922068329264939E-3</v>
      </c>
      <c r="I80" s="158">
        <f t="shared" si="28"/>
        <v>0</v>
      </c>
      <c r="J80" s="157">
        <v>0</v>
      </c>
      <c r="K80" s="162">
        <f>VLOOKUP($A80,[1]Notes!$A:$G,3,FALSE)</f>
        <v>3377801.3245033114</v>
      </c>
      <c r="L80" s="161">
        <f>VLOOKUP($A80,[1]Notes!$A:$G,5,FALSE)</f>
        <v>2026680.7947019867</v>
      </c>
      <c r="M80" s="161">
        <f>VLOOKUP($A80,[1]Notes!$A:$G,7,FALSE)</f>
        <v>2161792.8476821193</v>
      </c>
      <c r="N80" s="154">
        <f t="shared" si="29"/>
        <v>7566274.9668874172</v>
      </c>
      <c r="O80" s="45">
        <f t="shared" si="14"/>
        <v>3499479.224450767</v>
      </c>
      <c r="P80" s="45">
        <f t="shared" si="30"/>
        <v>2099687.53467046</v>
      </c>
      <c r="Q80" s="45">
        <f t="shared" si="31"/>
        <v>2239666.7036484908</v>
      </c>
      <c r="R80" s="45">
        <f t="shared" si="32"/>
        <v>7838833.4627697179</v>
      </c>
      <c r="S80" s="153">
        <f t="shared" si="34"/>
        <v>3.602281136690233E-2</v>
      </c>
      <c r="T80">
        <f>VLOOKUP($A80,'[2]All month (2)'!$E:$Y,8,FALSE)</f>
        <v>0</v>
      </c>
      <c r="U80">
        <f>VLOOKUP($A80,'[2]All month (2)'!$E:$Y,14,FALSE)</f>
        <v>1464520</v>
      </c>
      <c r="V80">
        <f>VLOOKUP($A80,'[2]All month (2)'!$E:$Y,20,FALSE)</f>
        <v>2369390</v>
      </c>
      <c r="W80">
        <f t="shared" si="35"/>
        <v>3833910</v>
      </c>
      <c r="X80" s="152">
        <f t="shared" si="33"/>
        <v>1.0446054974607433</v>
      </c>
    </row>
    <row r="81" spans="1:24" ht="16.2" customHeight="1" thickBot="1" x14ac:dyDescent="0.35">
      <c r="A81" s="93" t="s">
        <v>258</v>
      </c>
      <c r="B81" s="189">
        <f>VLOOKUP($A81,'Growth Analysis'!A:G,2,FALSE)</f>
        <v>319.63995</v>
      </c>
      <c r="C81" s="189">
        <f>VLOOKUP(A81,'Growth Analysis'!A:G,4,FALSE)</f>
        <v>-0.60156126588682046</v>
      </c>
      <c r="D81" s="50">
        <f t="shared" si="25"/>
        <v>-1.0018819964960162</v>
      </c>
      <c r="E81" s="49">
        <f>VLOOKUP($A81,'Growth Analysis'!$A:$G,5,FALSE)</f>
        <v>10013238</v>
      </c>
      <c r="F81" s="49">
        <f>VLOOKUP($A81,'Growth Analysis'!$A:$G,6,FALSE)</f>
        <v>6697107.4434782611</v>
      </c>
      <c r="G81" s="50">
        <f t="shared" si="26"/>
        <v>-0.33117464665493207</v>
      </c>
      <c r="H81" s="159">
        <f t="shared" si="27"/>
        <v>3.7523417356092243E-3</v>
      </c>
      <c r="I81" s="158">
        <f t="shared" si="28"/>
        <v>6.2241319665322682E-3</v>
      </c>
      <c r="J81" s="157">
        <v>313.3725</v>
      </c>
      <c r="K81" s="156">
        <f>VLOOKUP($A81,[1]Notes!$A:$G,3,FALSE)</f>
        <v>4391141.7218543049</v>
      </c>
      <c r="L81" s="155">
        <f>VLOOKUP($A81,[1]Notes!$A:$G,5,FALSE)</f>
        <v>2634685.0331125832</v>
      </c>
      <c r="M81" s="155">
        <f>VLOOKUP($A81,[1]Notes!$A:$G,7,FALSE)</f>
        <v>2810330.7019867557</v>
      </c>
      <c r="N81" s="154">
        <f t="shared" si="29"/>
        <v>9836157.4569536448</v>
      </c>
      <c r="O81" s="45">
        <f t="shared" si="14"/>
        <v>5065661.3430724526</v>
      </c>
      <c r="P81" s="45">
        <f t="shared" si="30"/>
        <v>3039396.8058434715</v>
      </c>
      <c r="Q81" s="45">
        <f t="shared" si="31"/>
        <v>3242023.2595663699</v>
      </c>
      <c r="R81" s="45">
        <f t="shared" si="32"/>
        <v>11347081.408482295</v>
      </c>
      <c r="S81" s="153">
        <f>N81/R81-1</f>
        <v>-0.13315529316632801</v>
      </c>
      <c r="T81">
        <f>VLOOKUP($A81,'[2]All month (2)'!$E:$Y,8,FALSE)</f>
        <v>13620200</v>
      </c>
      <c r="U81">
        <f>VLOOKUP($A81,'[2]All month (2)'!$E:$Y,14,FALSE)</f>
        <v>2107480</v>
      </c>
      <c r="V81">
        <f>VLOOKUP($A81,'[2]All month (2)'!$E:$Y,20,FALSE)</f>
        <v>3409610</v>
      </c>
      <c r="W81">
        <f t="shared" si="35"/>
        <v>19137290</v>
      </c>
      <c r="X81" s="152">
        <f t="shared" si="33"/>
        <v>-0.40706957941890964</v>
      </c>
    </row>
    <row r="82" spans="1:24" ht="16.2" thickBot="1" x14ac:dyDescent="0.35">
      <c r="A82" s="87" t="s">
        <v>257</v>
      </c>
      <c r="B82" s="42">
        <f>SUM(B74:B81)</f>
        <v>2115.5773079999999</v>
      </c>
      <c r="C82" s="40">
        <f>SUM(C74:C81)</f>
        <v>1.5907622651013056</v>
      </c>
      <c r="D82" s="41">
        <f t="shared" si="25"/>
        <v>-0.9992480717867952</v>
      </c>
      <c r="E82" s="40">
        <f>SUM(E74:E81)</f>
        <v>74736549.539999992</v>
      </c>
      <c r="F82" s="40">
        <f>SUM(F74:F81)</f>
        <v>76009878</v>
      </c>
      <c r="G82" s="151">
        <f t="shared" si="26"/>
        <v>1.7037560174202396E-2</v>
      </c>
      <c r="H82" s="150">
        <f t="shared" si="27"/>
        <v>4.2587794797246663E-2</v>
      </c>
      <c r="I82" s="150">
        <f t="shared" si="28"/>
        <v>4.6455516892761006E-2</v>
      </c>
      <c r="J82" s="42">
        <f>SUM(J74:J81)</f>
        <v>2074.0954000000002</v>
      </c>
      <c r="K82" s="165">
        <f>SUM(K74:K81)</f>
        <v>50987252.980132461</v>
      </c>
      <c r="L82" s="165">
        <f>SUM(L74:L81)</f>
        <v>30592351.78807947</v>
      </c>
      <c r="M82" s="165">
        <f>SUM(M74:M81)</f>
        <v>32631841.907284774</v>
      </c>
      <c r="N82" s="36">
        <f t="shared" si="29"/>
        <v>114211446.6754967</v>
      </c>
      <c r="O82" s="36">
        <f t="shared" si="14"/>
        <v>57493522.976282991</v>
      </c>
      <c r="P82" s="36">
        <f t="shared" si="30"/>
        <v>34496113.785769798</v>
      </c>
      <c r="Q82" s="36">
        <f t="shared" si="31"/>
        <v>36795854.704821117</v>
      </c>
      <c r="R82" s="148">
        <f t="shared" si="32"/>
        <v>128785491.46687391</v>
      </c>
      <c r="S82" s="41"/>
      <c r="T82" s="42">
        <f>SUM(T74:T81)</f>
        <v>55085805</v>
      </c>
      <c r="U82" s="42">
        <f>SUM(U74:U81)</f>
        <v>21770840</v>
      </c>
      <c r="V82" s="42">
        <f>SUM(V74:V81)</f>
        <v>31684892</v>
      </c>
      <c r="W82" s="147">
        <f>SUM(W74:W81)</f>
        <v>108541537</v>
      </c>
      <c r="X82" s="146">
        <f t="shared" si="33"/>
        <v>0.18650882442243208</v>
      </c>
    </row>
    <row r="83" spans="1:24" ht="16.2" customHeight="1" x14ac:dyDescent="0.3">
      <c r="A83" s="91" t="s">
        <v>256</v>
      </c>
      <c r="B83" s="189">
        <f>VLOOKUP($A83,'Growth Analysis'!A:G,2,FALSE)</f>
        <v>332.97466499999996</v>
      </c>
      <c r="C83" s="189">
        <f>VLOOKUP(A83,'Growth Analysis'!A:G,4,FALSE)</f>
        <v>-0.64788617025862916</v>
      </c>
      <c r="D83" s="50">
        <f t="shared" si="25"/>
        <v>-1.0019457521498178</v>
      </c>
      <c r="E83" s="49">
        <f>VLOOKUP($A83,'Growth Analysis'!$A:$G,5,FALSE)</f>
        <v>8812800</v>
      </c>
      <c r="F83" s="49">
        <f>VLOOKUP($A83,'Growth Analysis'!$A:$G,6,FALSE)</f>
        <v>7660299.01232816</v>
      </c>
      <c r="G83" s="50">
        <f t="shared" si="26"/>
        <v>-0.13077580197801381</v>
      </c>
      <c r="H83" s="159">
        <f t="shared" si="27"/>
        <v>4.2920111307451778E-3</v>
      </c>
      <c r="I83" s="158">
        <f t="shared" si="28"/>
        <v>5.4779513075246568E-3</v>
      </c>
      <c r="J83" s="157">
        <v>326.44574999999998</v>
      </c>
      <c r="K83" s="164">
        <f>VLOOKUP($A83,[1]Notes!$A:$G,3,FALSE)</f>
        <v>5997037.0370370382</v>
      </c>
      <c r="L83" s="163">
        <f>VLOOKUP($A83,[1]Notes!$A:$G,5,FALSE)</f>
        <v>3598222.2222222229</v>
      </c>
      <c r="M83" s="163">
        <f>VLOOKUP($A83,[1]Notes!$A:$G,7,FALSE)</f>
        <v>3838103.7037037048</v>
      </c>
      <c r="N83" s="154">
        <f t="shared" si="29"/>
        <v>13433362.962962966</v>
      </c>
      <c r="O83" s="45">
        <f t="shared" si="14"/>
        <v>5794215.02650599</v>
      </c>
      <c r="P83" s="45">
        <f t="shared" si="30"/>
        <v>3476529.015903594</v>
      </c>
      <c r="Q83" s="45">
        <f t="shared" si="31"/>
        <v>3708297.6169638336</v>
      </c>
      <c r="R83" s="45">
        <f t="shared" si="32"/>
        <v>12979041.659373417</v>
      </c>
      <c r="S83" s="153">
        <f t="shared" ref="S83:S88" si="36">R83/N83-1</f>
        <v>-3.3820369839045905E-2</v>
      </c>
      <c r="T83">
        <f>VLOOKUP($A83,'[2]All month (2)'!$E:$Y,8,FALSE)</f>
        <v>10224000</v>
      </c>
      <c r="U83">
        <f>VLOOKUP($A83,'[2]All month (2)'!$E:$Y,14,FALSE)</f>
        <v>495000</v>
      </c>
      <c r="V83">
        <f>VLOOKUP($A83,'[2]All month (2)'!$E:$Y,20,FALSE)</f>
        <v>1590000</v>
      </c>
      <c r="W83">
        <f t="shared" ref="W83:W88" si="37">SUM(T83:V83)</f>
        <v>12309000</v>
      </c>
      <c r="X83" s="152">
        <f t="shared" si="33"/>
        <v>5.443510109459887E-2</v>
      </c>
    </row>
    <row r="84" spans="1:24" ht="16.2" customHeight="1" x14ac:dyDescent="0.3">
      <c r="A84" s="86" t="s">
        <v>255</v>
      </c>
      <c r="B84" s="189">
        <f>VLOOKUP($A84,'Growth Analysis'!A:G,2,FALSE)</f>
        <v>0</v>
      </c>
      <c r="C84" s="189">
        <f>VLOOKUP(A84,'Growth Analysis'!A:G,4,FALSE)</f>
        <v>1</v>
      </c>
      <c r="D84" s="50">
        <f t="shared" si="25"/>
        <v>1</v>
      </c>
      <c r="E84" s="49">
        <f>VLOOKUP($A84,'Growth Analysis'!$A:$G,5,FALSE)</f>
        <v>0</v>
      </c>
      <c r="F84" s="49">
        <f>VLOOKUP($A84,'Growth Analysis'!$A:$G,6,FALSE)</f>
        <v>3655561.6793569839</v>
      </c>
      <c r="G84" s="50">
        <f t="shared" si="26"/>
        <v>1</v>
      </c>
      <c r="H84" s="159">
        <f t="shared" si="27"/>
        <v>2.0481852459904443E-3</v>
      </c>
      <c r="I84" s="158">
        <f t="shared" si="28"/>
        <v>0</v>
      </c>
      <c r="J84" s="157">
        <v>0</v>
      </c>
      <c r="K84" s="162">
        <f>VLOOKUP($A84,[1]Notes!$A:$G,3,FALSE)</f>
        <v>2623703.7037037034</v>
      </c>
      <c r="L84" s="161">
        <f>VLOOKUP($A84,[1]Notes!$A:$G,5,FALSE)</f>
        <v>1574222.222222222</v>
      </c>
      <c r="M84" s="161">
        <f>VLOOKUP($A84,[1]Notes!$A:$G,7,FALSE)</f>
        <v>1679170.3703703703</v>
      </c>
      <c r="N84" s="154">
        <f t="shared" si="29"/>
        <v>5877096.2962962957</v>
      </c>
      <c r="O84" s="45">
        <f t="shared" si="14"/>
        <v>2765050.0820870996</v>
      </c>
      <c r="P84" s="45">
        <f t="shared" si="30"/>
        <v>1659030.0492522598</v>
      </c>
      <c r="Q84" s="45">
        <f t="shared" si="31"/>
        <v>1769632.0525357439</v>
      </c>
      <c r="R84" s="45">
        <f t="shared" si="32"/>
        <v>6193712.1838751025</v>
      </c>
      <c r="S84" s="153">
        <f t="shared" si="36"/>
        <v>5.38728432573643E-2</v>
      </c>
      <c r="T84">
        <f>VLOOKUP($A84,'[2]All month (2)'!$E:$Y,8,FALSE)</f>
        <v>0</v>
      </c>
      <c r="U84">
        <f>VLOOKUP($A84,'[2]All month (2)'!$E:$Y,14,FALSE)</f>
        <v>180000</v>
      </c>
      <c r="V84">
        <f>VLOOKUP($A84,'[2]All month (2)'!$E:$Y,20,FALSE)</f>
        <v>570000</v>
      </c>
      <c r="W84">
        <f t="shared" si="37"/>
        <v>750000</v>
      </c>
      <c r="X84" s="152">
        <f t="shared" si="33"/>
        <v>7.2582829118334704</v>
      </c>
    </row>
    <row r="85" spans="1:24" ht="16.2" customHeight="1" x14ac:dyDescent="0.3">
      <c r="A85" s="86" t="s">
        <v>254</v>
      </c>
      <c r="B85" s="189">
        <f>VLOOKUP($A85,'Growth Analysis'!A:G,2,FALSE)</f>
        <v>0</v>
      </c>
      <c r="C85" s="189">
        <f>VLOOKUP(A85,'Growth Analysis'!A:G,4,FALSE)</f>
        <v>1</v>
      </c>
      <c r="D85" s="50">
        <f t="shared" si="25"/>
        <v>1</v>
      </c>
      <c r="E85" s="49">
        <f>VLOOKUP($A85,'Growth Analysis'!$A:$G,5,FALSE)</f>
        <v>0</v>
      </c>
      <c r="F85" s="49">
        <f>VLOOKUP($A85,'Growth Analysis'!$A:$G,6,FALSE)</f>
        <v>5082055.4583148556</v>
      </c>
      <c r="G85" s="50">
        <f t="shared" si="26"/>
        <v>1</v>
      </c>
      <c r="H85" s="159">
        <f t="shared" si="27"/>
        <v>2.8474395789313124E-3</v>
      </c>
      <c r="I85" s="158">
        <f t="shared" si="28"/>
        <v>0</v>
      </c>
      <c r="J85" s="157">
        <v>0</v>
      </c>
      <c r="K85" s="162">
        <f>VLOOKUP($A85,[1]Notes!$A:$G,3,FALSE)</f>
        <v>3748148.1481481483</v>
      </c>
      <c r="L85" s="161">
        <f>VLOOKUP($A85,[1]Notes!$A:$G,5,FALSE)</f>
        <v>2248888.8888888895</v>
      </c>
      <c r="M85" s="161">
        <f>VLOOKUP($A85,[1]Notes!$A:$G,7,FALSE)</f>
        <v>2398814.8148148148</v>
      </c>
      <c r="N85" s="154">
        <f t="shared" si="29"/>
        <v>8395851.8518518526</v>
      </c>
      <c r="O85" s="45">
        <f t="shared" ref="O85:O148" si="38">$O$3*H85</f>
        <v>3844043.4315572716</v>
      </c>
      <c r="P85" s="45">
        <f t="shared" si="30"/>
        <v>2306426.0589343631</v>
      </c>
      <c r="Q85" s="45">
        <f t="shared" si="31"/>
        <v>2460187.796196654</v>
      </c>
      <c r="R85" s="45">
        <f t="shared" si="32"/>
        <v>8610657.2866882887</v>
      </c>
      <c r="S85" s="153">
        <f t="shared" si="36"/>
        <v>2.5584710000457811E-2</v>
      </c>
      <c r="T85">
        <f>VLOOKUP($A85,'[2]All month (2)'!$E:$Y,8,FALSE)</f>
        <v>0</v>
      </c>
      <c r="U85">
        <f>VLOOKUP($A85,'[2]All month (2)'!$E:$Y,14,FALSE)</f>
        <v>255000</v>
      </c>
      <c r="V85">
        <f>VLOOKUP($A85,'[2]All month (2)'!$E:$Y,20,FALSE)</f>
        <v>840000</v>
      </c>
      <c r="W85">
        <f t="shared" si="37"/>
        <v>1095000</v>
      </c>
      <c r="X85" s="152">
        <f t="shared" si="33"/>
        <v>6.8636139604459254</v>
      </c>
    </row>
    <row r="86" spans="1:24" ht="16.2" customHeight="1" x14ac:dyDescent="0.3">
      <c r="A86" s="95" t="s">
        <v>253</v>
      </c>
      <c r="B86" s="189">
        <f>VLOOKUP($A86,'Growth Analysis'!A:G,2,FALSE)</f>
        <v>0</v>
      </c>
      <c r="C86" s="189">
        <f>VLOOKUP(A86,'Growth Analysis'!A:G,4,FALSE)</f>
        <v>1</v>
      </c>
      <c r="D86" s="50">
        <f t="shared" si="25"/>
        <v>1</v>
      </c>
      <c r="E86" s="49">
        <f>VLOOKUP($A86,'Growth Analysis'!$A:$G,5,FALSE)</f>
        <v>0</v>
      </c>
      <c r="F86" s="49">
        <f>VLOOKUP($A86,'Growth Analysis'!$A:$G,6,FALSE)</f>
        <v>6540330.1302791322</v>
      </c>
      <c r="G86" s="50">
        <f t="shared" si="26"/>
        <v>1</v>
      </c>
      <c r="H86" s="159">
        <f t="shared" si="27"/>
        <v>3.6645005205057325E-3</v>
      </c>
      <c r="I86" s="158">
        <f t="shared" si="28"/>
        <v>0</v>
      </c>
      <c r="J86" s="157">
        <v>0</v>
      </c>
      <c r="K86" s="162">
        <f>VLOOKUP($A86,[1]Notes!$A:$G,3,FALSE)</f>
        <v>4872592.5925925933</v>
      </c>
      <c r="L86" s="161">
        <f>VLOOKUP($A86,[1]Notes!$A:$G,5,FALSE)</f>
        <v>2923555.555555556</v>
      </c>
      <c r="M86" s="161">
        <f>VLOOKUP($A86,[1]Notes!$A:$G,7,FALSE)</f>
        <v>3118459.2592592603</v>
      </c>
      <c r="N86" s="154">
        <f t="shared" si="29"/>
        <v>10914607.40740741</v>
      </c>
      <c r="O86" s="45">
        <f t="shared" si="38"/>
        <v>4947075.7026827391</v>
      </c>
      <c r="P86" s="45">
        <f t="shared" si="30"/>
        <v>2968245.4216096434</v>
      </c>
      <c r="Q86" s="45">
        <f t="shared" si="31"/>
        <v>3166128.4497169531</v>
      </c>
      <c r="R86" s="45">
        <f t="shared" si="32"/>
        <v>11081449.574009337</v>
      </c>
      <c r="S86" s="153">
        <f t="shared" si="36"/>
        <v>1.5286135393994593E-2</v>
      </c>
      <c r="T86">
        <f>VLOOKUP($A86,'[2]All month (2)'!$E:$Y,8,FALSE)</f>
        <v>0</v>
      </c>
      <c r="U86">
        <f>VLOOKUP($A86,'[2]All month (2)'!$E:$Y,14,FALSE)</f>
        <v>2528577.42</v>
      </c>
      <c r="V86">
        <f>VLOOKUP($A86,'[2]All month (2)'!$E:$Y,20,FALSE)</f>
        <v>1503659.5</v>
      </c>
      <c r="W86">
        <f t="shared" si="37"/>
        <v>4032236.92</v>
      </c>
      <c r="X86" s="152">
        <f t="shared" si="33"/>
        <v>1.7482139055483219</v>
      </c>
    </row>
    <row r="87" spans="1:24" ht="16.2" customHeight="1" x14ac:dyDescent="0.3">
      <c r="A87" s="94" t="s">
        <v>252</v>
      </c>
      <c r="B87" s="189">
        <f>VLOOKUP($A87,'Growth Analysis'!A:G,2,FALSE)</f>
        <v>509.13886500000001</v>
      </c>
      <c r="C87" s="189">
        <f>VLOOKUP(A87,'Growth Analysis'!A:G,4,FALSE)</f>
        <v>-0.83422356855432744</v>
      </c>
      <c r="D87" s="50">
        <f t="shared" si="25"/>
        <v>-1.00163849909308</v>
      </c>
      <c r="E87" s="49">
        <f>VLOOKUP($A87,'Growth Analysis'!$A:$G,5,FALSE)</f>
        <v>17260822.5</v>
      </c>
      <c r="F87" s="49">
        <f>VLOOKUP($A87,'Growth Analysis'!$A:$G,6,FALSE)</f>
        <v>7677378.2082486972</v>
      </c>
      <c r="G87" s="50">
        <f t="shared" si="26"/>
        <v>-0.55521365171047343</v>
      </c>
      <c r="H87" s="159">
        <f t="shared" si="27"/>
        <v>4.3015804829176123E-3</v>
      </c>
      <c r="I87" s="158">
        <f t="shared" si="28"/>
        <v>1.072916044648988E-2</v>
      </c>
      <c r="J87" s="157">
        <v>499.15575000000001</v>
      </c>
      <c r="K87" s="162">
        <f>VLOOKUP($A87,[1]Notes!$A:$G,3,FALSE)</f>
        <v>5997037.0370370382</v>
      </c>
      <c r="L87" s="161">
        <f>VLOOKUP($A87,[1]Notes!$A:$G,5,FALSE)</f>
        <v>3598222.2222222229</v>
      </c>
      <c r="M87" s="161">
        <f>VLOOKUP($A87,[1]Notes!$A:$G,7,FALSE)</f>
        <v>3838103.7037037048</v>
      </c>
      <c r="N87" s="154">
        <f t="shared" si="29"/>
        <v>13433362.962962966</v>
      </c>
      <c r="O87" s="45">
        <f t="shared" si="38"/>
        <v>5807133.6519387765</v>
      </c>
      <c r="P87" s="45">
        <f t="shared" si="30"/>
        <v>3484280.1911632661</v>
      </c>
      <c r="Q87" s="45">
        <f t="shared" si="31"/>
        <v>3716565.5372408172</v>
      </c>
      <c r="R87" s="45">
        <f t="shared" si="32"/>
        <v>13007979.38034286</v>
      </c>
      <c r="S87" s="153">
        <f t="shared" si="36"/>
        <v>-3.1666201813568828E-2</v>
      </c>
      <c r="T87">
        <f>VLOOKUP($A87,'[2]All month (2)'!$E:$Y,8,FALSE)</f>
        <v>10572760</v>
      </c>
      <c r="U87">
        <f>VLOOKUP($A87,'[2]All month (2)'!$E:$Y,14,FALSE)</f>
        <v>3638684.58</v>
      </c>
      <c r="V87">
        <f>VLOOKUP($A87,'[2]All month (2)'!$E:$Y,20,FALSE)</f>
        <v>2222801</v>
      </c>
      <c r="W87">
        <f t="shared" si="37"/>
        <v>16434245.58</v>
      </c>
      <c r="X87" s="152">
        <f t="shared" si="33"/>
        <v>-0.20848332726795848</v>
      </c>
    </row>
    <row r="88" spans="1:24" ht="16.2" customHeight="1" thickBot="1" x14ac:dyDescent="0.35">
      <c r="A88" s="93" t="s">
        <v>251</v>
      </c>
      <c r="B88" s="189">
        <f>VLOOKUP($A88,'Growth Analysis'!A:G,2,FALSE)</f>
        <v>0</v>
      </c>
      <c r="C88" s="189">
        <f>VLOOKUP(A88,'Growth Analysis'!A:G,4,FALSE)</f>
        <v>1</v>
      </c>
      <c r="D88" s="50">
        <f t="shared" si="25"/>
        <v>1</v>
      </c>
      <c r="E88" s="49">
        <f>VLOOKUP($A88,'Growth Analysis'!$A:$G,5,FALSE)</f>
        <v>0</v>
      </c>
      <c r="F88" s="49">
        <f>VLOOKUP($A88,'Growth Analysis'!$A:$G,6,FALSE)</f>
        <v>8651300.8574999999</v>
      </c>
      <c r="G88" s="50">
        <f t="shared" si="26"/>
        <v>1</v>
      </c>
      <c r="H88" s="159">
        <f t="shared" si="27"/>
        <v>4.8472624261869509E-3</v>
      </c>
      <c r="I88" s="158">
        <f t="shared" si="28"/>
        <v>0</v>
      </c>
      <c r="J88" s="157">
        <v>0</v>
      </c>
      <c r="K88" s="156">
        <f>VLOOKUP($A88,[1]Notes!$A:$G,3,FALSE)</f>
        <v>7121481.4814814823</v>
      </c>
      <c r="L88" s="155">
        <f>VLOOKUP($A88,[1]Notes!$A:$G,5,FALSE)</f>
        <v>4272888.888888889</v>
      </c>
      <c r="M88" s="155">
        <f>VLOOKUP($A88,[1]Notes!$A:$G,7,FALSE)</f>
        <v>4557748.1481481483</v>
      </c>
      <c r="N88" s="154">
        <f t="shared" si="29"/>
        <v>15952118.518518519</v>
      </c>
      <c r="O88" s="45">
        <f t="shared" si="38"/>
        <v>6543804.275352384</v>
      </c>
      <c r="P88" s="45">
        <f t="shared" si="30"/>
        <v>3926282.5652114302</v>
      </c>
      <c r="Q88" s="45">
        <f t="shared" si="31"/>
        <v>4188034.7362255254</v>
      </c>
      <c r="R88" s="45">
        <f t="shared" si="32"/>
        <v>14658121.57678934</v>
      </c>
      <c r="S88" s="153">
        <f t="shared" si="36"/>
        <v>-8.1117560669261679E-2</v>
      </c>
      <c r="T88">
        <f>VLOOKUP($A88,'[2]All month (2)'!$E:$Y,8,FALSE)</f>
        <v>0</v>
      </c>
      <c r="U88">
        <f>VLOOKUP($A88,'[2]All month (2)'!$E:$Y,14,FALSE)</f>
        <v>570000</v>
      </c>
      <c r="V88">
        <f>VLOOKUP($A88,'[2]All month (2)'!$E:$Y,20,FALSE)</f>
        <v>2811189.5</v>
      </c>
      <c r="W88">
        <f t="shared" si="37"/>
        <v>3381189.5</v>
      </c>
      <c r="X88" s="152">
        <f t="shared" si="33"/>
        <v>3.3351967042336255</v>
      </c>
    </row>
    <row r="89" spans="1:24" ht="16.2" thickBot="1" x14ac:dyDescent="0.35">
      <c r="A89" s="87" t="s">
        <v>250</v>
      </c>
      <c r="B89" s="42">
        <f>SUM(B83:B88)</f>
        <v>842.11352999999997</v>
      </c>
      <c r="C89" s="40">
        <f>SUM(C83:C88)</f>
        <v>2.5178902611870435</v>
      </c>
      <c r="D89" s="41">
        <f t="shared" si="25"/>
        <v>-0.99701003466695626</v>
      </c>
      <c r="E89" s="40">
        <f>SUM(E83:E88)</f>
        <v>26073622.5</v>
      </c>
      <c r="F89" s="40">
        <f>SUM(F83:F88)</f>
        <v>39266925.346027829</v>
      </c>
      <c r="G89" s="151">
        <f t="shared" si="26"/>
        <v>0.50600191231685698</v>
      </c>
      <c r="H89" s="150">
        <f t="shared" si="27"/>
        <v>2.2000979385277231E-2</v>
      </c>
      <c r="I89" s="150">
        <f t="shared" si="28"/>
        <v>1.6207111754014535E-2</v>
      </c>
      <c r="J89" s="42">
        <f>SUM(J83:J88)</f>
        <v>825.60149999999999</v>
      </c>
      <c r="K89" s="149">
        <f>SUM(K83:K88)</f>
        <v>30360000.000000004</v>
      </c>
      <c r="L89" s="149">
        <f>SUM(L83:L88)</f>
        <v>18216000</v>
      </c>
      <c r="M89" s="149">
        <f>SUM(M83:M88)</f>
        <v>19430400.000000004</v>
      </c>
      <c r="N89" s="36">
        <f t="shared" si="29"/>
        <v>68006400</v>
      </c>
      <c r="O89" s="36">
        <f t="shared" si="38"/>
        <v>29701322.170124263</v>
      </c>
      <c r="P89" s="36">
        <f t="shared" si="30"/>
        <v>17820793.302074555</v>
      </c>
      <c r="Q89" s="36">
        <f t="shared" si="31"/>
        <v>19008846.188879527</v>
      </c>
      <c r="R89" s="148">
        <f t="shared" si="32"/>
        <v>66530961.661078341</v>
      </c>
      <c r="S89" s="41"/>
      <c r="T89" s="42">
        <f>SUM(T83:T88)</f>
        <v>20796760</v>
      </c>
      <c r="U89" s="42">
        <f>SUM(U83:U88)</f>
        <v>7667262</v>
      </c>
      <c r="V89" s="42">
        <f>SUM(V83:V88)</f>
        <v>9537650</v>
      </c>
      <c r="W89" s="147">
        <f>SUM(W83:W88)</f>
        <v>38001672</v>
      </c>
      <c r="X89" s="146">
        <f t="shared" si="33"/>
        <v>0.75073774809377702</v>
      </c>
    </row>
    <row r="90" spans="1:24" ht="16.2" customHeight="1" thickBot="1" x14ac:dyDescent="0.35">
      <c r="A90" s="92" t="s">
        <v>249</v>
      </c>
      <c r="B90" s="34">
        <f>B89+B82+B73</f>
        <v>5614.5704160000005</v>
      </c>
      <c r="C90" s="32">
        <f>C89+C82+C73</f>
        <v>6.595702550235047</v>
      </c>
      <c r="D90" s="33">
        <f t="shared" si="25"/>
        <v>-0.99882525250169829</v>
      </c>
      <c r="E90" s="32">
        <f>E89+E82+E73</f>
        <v>202145098.38</v>
      </c>
      <c r="F90" s="32">
        <f>F89+F82+F73</f>
        <v>204673219.54602784</v>
      </c>
      <c r="G90" s="145">
        <f t="shared" si="26"/>
        <v>1.2506467810935422E-2</v>
      </c>
      <c r="H90" s="144">
        <f t="shared" si="27"/>
        <v>0.11467695125780954</v>
      </c>
      <c r="I90" s="144">
        <f t="shared" si="28"/>
        <v>0.12565143949487351</v>
      </c>
      <c r="J90" s="34">
        <f>J89+J82+J73</f>
        <v>5504.4807999999994</v>
      </c>
      <c r="K90" s="167">
        <f>K89+K82+K73</f>
        <v>136547252.98013246</v>
      </c>
      <c r="L90" s="167">
        <f>L89+L82+L73</f>
        <v>81928351.78807947</v>
      </c>
      <c r="M90" s="167">
        <f>M89+M82+M73</f>
        <v>87390241.907284781</v>
      </c>
      <c r="N90" s="28">
        <f t="shared" si="29"/>
        <v>305865846.6754967</v>
      </c>
      <c r="O90" s="28">
        <f t="shared" si="38"/>
        <v>154813884.19804287</v>
      </c>
      <c r="P90" s="28">
        <f t="shared" si="30"/>
        <v>92888330.518825725</v>
      </c>
      <c r="Q90" s="28">
        <f t="shared" si="31"/>
        <v>99080885.886747435</v>
      </c>
      <c r="R90" s="143">
        <f t="shared" si="32"/>
        <v>346783100.603616</v>
      </c>
      <c r="S90" s="142"/>
      <c r="T90" s="34">
        <f>T89+T82+T73</f>
        <v>142339728</v>
      </c>
      <c r="U90" s="34">
        <f>U89+U82+U73</f>
        <v>57608454</v>
      </c>
      <c r="V90" s="34">
        <f>V89+V82+V73</f>
        <v>75944025</v>
      </c>
      <c r="W90" s="141">
        <f>W89+W82+W73</f>
        <v>275892207</v>
      </c>
      <c r="X90" s="140">
        <f t="shared" si="33"/>
        <v>0.25695141727441401</v>
      </c>
    </row>
    <row r="91" spans="1:24" ht="16.2" customHeight="1" x14ac:dyDescent="0.3">
      <c r="A91" s="91" t="s">
        <v>248</v>
      </c>
      <c r="B91" s="189">
        <f>VLOOKUP($A91,'Growth Analysis'!A:G,2,FALSE)</f>
        <v>0</v>
      </c>
      <c r="C91" s="189">
        <f>VLOOKUP(A91,'Growth Analysis'!A:G,4,FALSE)</f>
        <v>1</v>
      </c>
      <c r="D91" s="50">
        <f t="shared" si="25"/>
        <v>1</v>
      </c>
      <c r="E91" s="49">
        <f>VLOOKUP($A91,'Growth Analysis'!$A:$G,5,FALSE)</f>
        <v>0</v>
      </c>
      <c r="F91" s="49">
        <f>VLOOKUP($A91,'Growth Analysis'!$A:$G,6,FALSE)</f>
        <v>0</v>
      </c>
      <c r="G91" s="50">
        <f t="shared" si="26"/>
        <v>1</v>
      </c>
      <c r="H91" s="159">
        <f t="shared" si="27"/>
        <v>0</v>
      </c>
      <c r="I91" s="158">
        <f t="shared" si="28"/>
        <v>0</v>
      </c>
      <c r="J91" s="157">
        <v>0</v>
      </c>
      <c r="K91" s="164">
        <f>VLOOKUP($A91,[1]Notes!$A:$G,3,FALSE)</f>
        <v>5233940.7744874721</v>
      </c>
      <c r="L91" s="163">
        <f>VLOOKUP($A91,[1]Notes!$A:$G,5,FALSE)</f>
        <v>3140364.4646924827</v>
      </c>
      <c r="M91" s="163">
        <f>VLOOKUP($A91,[1]Notes!$A:$G,7,FALSE)</f>
        <v>3349722.095671982</v>
      </c>
      <c r="N91" s="154">
        <f t="shared" si="29"/>
        <v>11724027.334851937</v>
      </c>
      <c r="O91" s="45">
        <f t="shared" si="38"/>
        <v>0</v>
      </c>
      <c r="P91" s="45">
        <f t="shared" si="30"/>
        <v>0</v>
      </c>
      <c r="Q91" s="45">
        <f t="shared" si="31"/>
        <v>0</v>
      </c>
      <c r="R91" s="45">
        <f t="shared" si="32"/>
        <v>0</v>
      </c>
      <c r="S91" s="153">
        <f t="shared" ref="S91:S96" si="39">R91/N91-1</f>
        <v>-1</v>
      </c>
      <c r="T91">
        <f>VLOOKUP($A91,'[2]All month (2)'!$E:$Y,8,FALSE)</f>
        <v>0</v>
      </c>
      <c r="U91">
        <f>VLOOKUP($A91,'[2]All month (2)'!$E:$Y,14,FALSE)</f>
        <v>3601581.75</v>
      </c>
      <c r="V91">
        <f>VLOOKUP($A91,'[2]All month (2)'!$E:$Y,20,FALSE)</f>
        <v>3135673.8</v>
      </c>
      <c r="W91">
        <f t="shared" ref="W91:W96" si="40">SUM(T91:V91)</f>
        <v>6737255.5499999998</v>
      </c>
      <c r="X91" s="152">
        <f t="shared" si="33"/>
        <v>-1</v>
      </c>
    </row>
    <row r="92" spans="1:24" ht="16.2" customHeight="1" x14ac:dyDescent="0.3">
      <c r="A92" s="86" t="s">
        <v>247</v>
      </c>
      <c r="B92" s="189">
        <f>VLOOKUP($A92,'Growth Analysis'!A:G,2,FALSE)</f>
        <v>493.99033500000002</v>
      </c>
      <c r="C92" s="189">
        <f>VLOOKUP(A92,'Growth Analysis'!A:G,4,FALSE)</f>
        <v>-0.69151395441775199</v>
      </c>
      <c r="D92" s="50">
        <f t="shared" si="25"/>
        <v>-1.0013998532064756</v>
      </c>
      <c r="E92" s="49">
        <f>VLOOKUP($A92,'Growth Analysis'!$A:$G,5,FALSE)</f>
        <v>14177056.5</v>
      </c>
      <c r="F92" s="49">
        <f>VLOOKUP($A92,'Growth Analysis'!$A:$G,6,FALSE)</f>
        <v>7702810.5</v>
      </c>
      <c r="G92" s="50">
        <f t="shared" si="26"/>
        <v>-0.45667067772495651</v>
      </c>
      <c r="H92" s="159">
        <f t="shared" si="27"/>
        <v>4.3158300153577009E-3</v>
      </c>
      <c r="I92" s="158">
        <f t="shared" si="28"/>
        <v>8.8123213043557018E-3</v>
      </c>
      <c r="J92" s="157">
        <v>484.30425000000002</v>
      </c>
      <c r="K92" s="162">
        <f>VLOOKUP($A92,[1]Notes!$A:$G,3,FALSE)</f>
        <v>5233940.7744874721</v>
      </c>
      <c r="L92" s="161">
        <f>VLOOKUP($A92,[1]Notes!$A:$G,5,FALSE)</f>
        <v>3140364.4646924827</v>
      </c>
      <c r="M92" s="161">
        <f>VLOOKUP($A92,[1]Notes!$A:$G,7,FALSE)</f>
        <v>3349722.095671982</v>
      </c>
      <c r="N92" s="154">
        <f t="shared" si="29"/>
        <v>11724027.334851937</v>
      </c>
      <c r="O92" s="45">
        <f t="shared" si="38"/>
        <v>5826370.5207328964</v>
      </c>
      <c r="P92" s="45">
        <f t="shared" si="30"/>
        <v>3495822.3124397378</v>
      </c>
      <c r="Q92" s="45">
        <f t="shared" si="31"/>
        <v>3728877.1332690534</v>
      </c>
      <c r="R92" s="45">
        <f t="shared" si="32"/>
        <v>13051069.966441687</v>
      </c>
      <c r="S92" s="153">
        <f t="shared" si="39"/>
        <v>0.11318999808579933</v>
      </c>
      <c r="T92">
        <f>VLOOKUP($A92,'[2]All month (2)'!$E:$Y,8,FALSE)</f>
        <v>6856640</v>
      </c>
      <c r="U92">
        <f>VLOOKUP($A92,'[2]All month (2)'!$E:$Y,14,FALSE)</f>
        <v>3460343.25</v>
      </c>
      <c r="V92">
        <f>VLOOKUP($A92,'[2]All month (2)'!$E:$Y,20,FALSE)</f>
        <v>3012706.2</v>
      </c>
      <c r="W92">
        <f t="shared" si="40"/>
        <v>13329689.449999999</v>
      </c>
      <c r="X92" s="152">
        <f t="shared" si="33"/>
        <v>-2.0902173648037394E-2</v>
      </c>
    </row>
    <row r="93" spans="1:24" ht="16.2" customHeight="1" x14ac:dyDescent="0.3">
      <c r="A93" s="55" t="s">
        <v>246</v>
      </c>
      <c r="B93" s="189">
        <f>VLOOKUP($A93,'Growth Analysis'!A:G,2,FALSE)</f>
        <v>0</v>
      </c>
      <c r="C93" s="189">
        <f>VLOOKUP(A93,'Growth Analysis'!A:G,4,FALSE)</f>
        <v>1</v>
      </c>
      <c r="D93" s="50">
        <f t="shared" si="25"/>
        <v>1</v>
      </c>
      <c r="E93" s="49">
        <f>VLOOKUP($A93,'Growth Analysis'!$A:$G,5,FALSE)</f>
        <v>0</v>
      </c>
      <c r="F93" s="49">
        <f>VLOOKUP($A93,'Growth Analysis'!$A:$G,6,FALSE)</f>
        <v>6958018.5846561892</v>
      </c>
      <c r="G93" s="50">
        <f t="shared" si="26"/>
        <v>1</v>
      </c>
      <c r="H93" s="159">
        <f t="shared" si="27"/>
        <v>3.8985283949379114E-3</v>
      </c>
      <c r="I93" s="158">
        <f t="shared" si="28"/>
        <v>0</v>
      </c>
      <c r="J93" s="157">
        <v>0</v>
      </c>
      <c r="K93" s="162">
        <f>VLOOKUP($A93,[1]Notes!$A:$G,3,FALSE)</f>
        <v>11929612.756264236</v>
      </c>
      <c r="L93" s="161">
        <f>VLOOKUP($A93,[1]Notes!$A:$G,5,FALSE)</f>
        <v>7157767.6537585417</v>
      </c>
      <c r="M93" s="161">
        <f>VLOOKUP($A93,[1]Notes!$A:$G,7,FALSE)</f>
        <v>7634952.1640091119</v>
      </c>
      <c r="N93" s="154">
        <f t="shared" si="29"/>
        <v>26722332.574031889</v>
      </c>
      <c r="O93" s="45">
        <f t="shared" si="38"/>
        <v>5263013.3331661802</v>
      </c>
      <c r="P93" s="45">
        <f t="shared" si="30"/>
        <v>3157807.9998997082</v>
      </c>
      <c r="Q93" s="45">
        <f t="shared" si="31"/>
        <v>3368328.5332263554</v>
      </c>
      <c r="R93" s="45">
        <f t="shared" si="32"/>
        <v>11789149.866292244</v>
      </c>
      <c r="S93" s="153">
        <f t="shared" si="39"/>
        <v>-0.55882781438965212</v>
      </c>
      <c r="T93">
        <f>VLOOKUP($A93,'[2]All month (2)'!$E:$Y,8,FALSE)</f>
        <v>0</v>
      </c>
      <c r="U93">
        <f>VLOOKUP($A93,'[2]All month (2)'!$E:$Y,14,FALSE)</f>
        <v>6451608.5999999996</v>
      </c>
      <c r="V93">
        <f>VLOOKUP($A93,'[2]All month (2)'!$E:$Y,20,FALSE)</f>
        <v>5827230</v>
      </c>
      <c r="W93">
        <f t="shared" si="40"/>
        <v>12278838.6</v>
      </c>
      <c r="X93" s="152">
        <f t="shared" si="33"/>
        <v>-3.9880704491689942E-2</v>
      </c>
    </row>
    <row r="94" spans="1:24" ht="16.2" customHeight="1" x14ac:dyDescent="0.3">
      <c r="A94" s="90" t="s">
        <v>245</v>
      </c>
      <c r="B94" s="189">
        <f>VLOOKUP($A94,'Growth Analysis'!A:G,2,FALSE)</f>
        <v>0</v>
      </c>
      <c r="C94" s="189">
        <f>VLOOKUP(A94,'Growth Analysis'!A:G,4,FALSE)</f>
        <v>1</v>
      </c>
      <c r="D94" s="50">
        <f t="shared" si="25"/>
        <v>1</v>
      </c>
      <c r="E94" s="49">
        <f>VLOOKUP($A94,'Growth Analysis'!$A:$G,5,FALSE)</f>
        <v>0</v>
      </c>
      <c r="F94" s="49">
        <f>VLOOKUP($A94,'Growth Analysis'!$A:$G,6,FALSE)</f>
        <v>2826531.123070823</v>
      </c>
      <c r="G94" s="50">
        <f t="shared" si="26"/>
        <v>1</v>
      </c>
      <c r="H94" s="159">
        <f t="shared" si="27"/>
        <v>1.5836853133400816E-3</v>
      </c>
      <c r="I94" s="158">
        <f t="shared" si="28"/>
        <v>0</v>
      </c>
      <c r="J94" s="157">
        <v>0</v>
      </c>
      <c r="K94" s="162">
        <f>VLOOKUP($A94,[1]Notes!$A:$G,3,FALSE)</f>
        <v>3772209.5671981783</v>
      </c>
      <c r="L94" s="161">
        <f>VLOOKUP($A94,[1]Notes!$A:$G,5,FALSE)</f>
        <v>2263325.740318907</v>
      </c>
      <c r="M94" s="161">
        <f>VLOOKUP($A94,[1]Notes!$A:$G,7,FALSE)</f>
        <v>2414214.1230068346</v>
      </c>
      <c r="N94" s="154">
        <f t="shared" si="29"/>
        <v>8449749.4305239208</v>
      </c>
      <c r="O94" s="45">
        <f t="shared" si="38"/>
        <v>2137975.1730091101</v>
      </c>
      <c r="P94" s="45">
        <f t="shared" si="30"/>
        <v>1282785.1038054661</v>
      </c>
      <c r="Q94" s="45">
        <f t="shared" si="31"/>
        <v>1368304.1107258305</v>
      </c>
      <c r="R94" s="45">
        <f t="shared" si="32"/>
        <v>4789064.3875404065</v>
      </c>
      <c r="S94" s="153">
        <f t="shared" si="39"/>
        <v>-0.43323001150301987</v>
      </c>
      <c r="T94">
        <f>VLOOKUP($A94,'[2]All month (2)'!$E:$Y,8,FALSE)</f>
        <v>0</v>
      </c>
      <c r="U94">
        <f>VLOOKUP($A94,'[2]All month (2)'!$E:$Y,14,FALSE)</f>
        <v>1433690.8</v>
      </c>
      <c r="V94">
        <f>VLOOKUP($A94,'[2]All month (2)'!$E:$Y,20,FALSE)</f>
        <v>1294940</v>
      </c>
      <c r="W94">
        <f t="shared" si="40"/>
        <v>2728630.8</v>
      </c>
      <c r="X94" s="152">
        <f t="shared" si="33"/>
        <v>0.75511629771986999</v>
      </c>
    </row>
    <row r="95" spans="1:24" ht="16.2" customHeight="1" x14ac:dyDescent="0.3">
      <c r="A95" s="90" t="s">
        <v>244</v>
      </c>
      <c r="B95" s="189">
        <f>VLOOKUP($A95,'Growth Analysis'!A:G,2,FALSE)</f>
        <v>0</v>
      </c>
      <c r="C95" s="189">
        <f>VLOOKUP(A95,'Growth Analysis'!A:G,4,FALSE)</f>
        <v>1</v>
      </c>
      <c r="D95" s="50">
        <f t="shared" si="25"/>
        <v>1</v>
      </c>
      <c r="E95" s="49">
        <f>VLOOKUP($A95,'Growth Analysis'!$A:$G,5,FALSE)</f>
        <v>0</v>
      </c>
      <c r="F95" s="49">
        <f>VLOOKUP($A95,'Growth Analysis'!$A:$G,6,FALSE)</f>
        <v>3921811.9332607663</v>
      </c>
      <c r="G95" s="50">
        <f t="shared" si="26"/>
        <v>1</v>
      </c>
      <c r="H95" s="159">
        <f t="shared" si="27"/>
        <v>2.197363372259363E-3</v>
      </c>
      <c r="I95" s="158">
        <f t="shared" si="28"/>
        <v>0</v>
      </c>
      <c r="J95" s="157">
        <v>0</v>
      </c>
      <c r="K95" s="162">
        <f>VLOOKUP($A95,[1]Notes!$A:$G,3,FALSE)</f>
        <v>5233940.7744874721</v>
      </c>
      <c r="L95" s="161">
        <f>VLOOKUP($A95,[1]Notes!$A:$G,5,FALSE)</f>
        <v>3140364.4646924827</v>
      </c>
      <c r="M95" s="161">
        <f>VLOOKUP($A95,[1]Notes!$A:$G,7,FALSE)</f>
        <v>3349722.095671982</v>
      </c>
      <c r="N95" s="154">
        <f t="shared" si="29"/>
        <v>11724027.334851937</v>
      </c>
      <c r="O95" s="45">
        <f t="shared" si="38"/>
        <v>2966440.5525501398</v>
      </c>
      <c r="P95" s="45">
        <f t="shared" si="30"/>
        <v>1779864.3315300841</v>
      </c>
      <c r="Q95" s="45">
        <f t="shared" si="31"/>
        <v>1898521.9536320895</v>
      </c>
      <c r="R95" s="45">
        <f t="shared" si="32"/>
        <v>6644826.837712313</v>
      </c>
      <c r="S95" s="153">
        <f t="shared" si="39"/>
        <v>-0.43323001150301987</v>
      </c>
      <c r="T95">
        <f>VLOOKUP($A95,'[2]All month (2)'!$E:$Y,8,FALSE)</f>
        <v>0</v>
      </c>
      <c r="U95">
        <f>VLOOKUP($A95,'[2]All month (2)'!$E:$Y,14,FALSE)</f>
        <v>2293905.2799999998</v>
      </c>
      <c r="V95">
        <f>VLOOKUP($A95,'[2]All month (2)'!$E:$Y,20,FALSE)</f>
        <v>2071904</v>
      </c>
      <c r="W95">
        <f t="shared" si="40"/>
        <v>4365809.2799999993</v>
      </c>
      <c r="X95" s="152">
        <f t="shared" si="33"/>
        <v>0.52201491442894965</v>
      </c>
    </row>
    <row r="96" spans="1:24" ht="16.2" customHeight="1" thickBot="1" x14ac:dyDescent="0.35">
      <c r="A96" s="88" t="s">
        <v>243</v>
      </c>
      <c r="B96" s="189">
        <f>VLOOKUP($A96,'Growth Analysis'!A:G,2,FALSE)</f>
        <v>928.09198200000003</v>
      </c>
      <c r="C96" s="189">
        <f>VLOOKUP(A96,'Growth Analysis'!A:G,4,FALSE)</f>
        <v>-0.77545035024340947</v>
      </c>
      <c r="D96" s="50">
        <f t="shared" si="25"/>
        <v>-1.0008355317848694</v>
      </c>
      <c r="E96" s="49">
        <f>VLOOKUP($A96,'Growth Analysis'!$A:$G,5,FALSE)</f>
        <v>34598145</v>
      </c>
      <c r="F96" s="49">
        <f>VLOOKUP($A96,'Growth Analysis'!$A:$G,6,FALSE)</f>
        <v>7490307.47613768</v>
      </c>
      <c r="G96" s="50">
        <f t="shared" si="26"/>
        <v>-0.78350551810978075</v>
      </c>
      <c r="H96" s="159">
        <f t="shared" si="27"/>
        <v>4.1967660803512155E-3</v>
      </c>
      <c r="I96" s="158">
        <f t="shared" si="28"/>
        <v>2.1505872553635355E-2</v>
      </c>
      <c r="J96" s="157">
        <v>909.89409999999998</v>
      </c>
      <c r="K96" s="156">
        <f>VLOOKUP($A96,[1]Notes!$A:$G,3,FALSE)</f>
        <v>9996355.353075169</v>
      </c>
      <c r="L96" s="155">
        <f>VLOOKUP($A96,[1]Notes!$A:$G,5,FALSE)</f>
        <v>5997813.2118451027</v>
      </c>
      <c r="M96" s="155">
        <f>VLOOKUP($A96,[1]Notes!$A:$G,7,FALSE)</f>
        <v>6397667.4259681087</v>
      </c>
      <c r="N96" s="154">
        <f t="shared" si="29"/>
        <v>22391835.99088838</v>
      </c>
      <c r="O96" s="45">
        <f t="shared" si="38"/>
        <v>5665634.2084741406</v>
      </c>
      <c r="P96" s="45">
        <f t="shared" si="30"/>
        <v>3399380.5250844844</v>
      </c>
      <c r="Q96" s="45">
        <f t="shared" si="31"/>
        <v>3626005.8934234502</v>
      </c>
      <c r="R96" s="45">
        <f t="shared" si="32"/>
        <v>12691020.626982074</v>
      </c>
      <c r="S96" s="153">
        <f t="shared" si="39"/>
        <v>-0.43323001150301976</v>
      </c>
      <c r="T96">
        <f>VLOOKUP($A96,'[2]All month (2)'!$E:$Y,8,FALSE)</f>
        <v>18898920</v>
      </c>
      <c r="U96">
        <f>VLOOKUP($A96,'[2]All month (2)'!$E:$Y,14,FALSE)</f>
        <v>4157703.32</v>
      </c>
      <c r="V96">
        <f>VLOOKUP($A96,'[2]All month (2)'!$E:$Y,20,FALSE)</f>
        <v>3755326</v>
      </c>
      <c r="W96">
        <f t="shared" si="40"/>
        <v>26811949.32</v>
      </c>
      <c r="X96" s="152">
        <f t="shared" si="33"/>
        <v>-0.52666549994127487</v>
      </c>
    </row>
    <row r="97" spans="1:24" ht="16.2" thickBot="1" x14ac:dyDescent="0.35">
      <c r="A97" s="87" t="s">
        <v>242</v>
      </c>
      <c r="B97" s="42">
        <f>SUM(B91:B96)</f>
        <v>1422.0823170000001</v>
      </c>
      <c r="C97" s="40">
        <f>SUM(C91:C96)</f>
        <v>2.5330356953388384</v>
      </c>
      <c r="D97" s="41">
        <f t="shared" si="25"/>
        <v>-0.99821878405697184</v>
      </c>
      <c r="E97" s="40">
        <f>SUM(E91:E96)</f>
        <v>48775201.5</v>
      </c>
      <c r="F97" s="40">
        <f>SUM(F91:F96)</f>
        <v>28899479.617125459</v>
      </c>
      <c r="G97" s="151">
        <f t="shared" si="26"/>
        <v>-0.40749645868453338</v>
      </c>
      <c r="H97" s="150">
        <f t="shared" si="27"/>
        <v>1.6192173176246272E-2</v>
      </c>
      <c r="I97" s="150">
        <f t="shared" si="28"/>
        <v>3.0318193857991057E-2</v>
      </c>
      <c r="J97" s="42">
        <f>SUM(J91:J96)</f>
        <v>1394.1983500000001</v>
      </c>
      <c r="K97" s="165">
        <f>SUM(K91:K96)</f>
        <v>41400000</v>
      </c>
      <c r="L97" s="165">
        <f>SUM(L91:L96)</f>
        <v>24840000</v>
      </c>
      <c r="M97" s="165">
        <f>SUM(M91:M96)</f>
        <v>26496000</v>
      </c>
      <c r="N97" s="36">
        <f t="shared" si="29"/>
        <v>92736000</v>
      </c>
      <c r="O97" s="36">
        <f t="shared" si="38"/>
        <v>21859433.787932467</v>
      </c>
      <c r="P97" s="36">
        <f t="shared" si="30"/>
        <v>13115660.27275948</v>
      </c>
      <c r="Q97" s="36">
        <f t="shared" si="31"/>
        <v>13990037.62427678</v>
      </c>
      <c r="R97" s="148">
        <f t="shared" si="32"/>
        <v>48965131.684968725</v>
      </c>
      <c r="S97" s="41"/>
      <c r="T97" s="42">
        <f>SUM(T91:T96)</f>
        <v>25755560</v>
      </c>
      <c r="U97" s="42">
        <f>SUM(U91:U96)</f>
        <v>21398833</v>
      </c>
      <c r="V97" s="42">
        <f>SUM(V91:V96)</f>
        <v>19097780</v>
      </c>
      <c r="W97" s="147">
        <f>SUM(W91:W96)</f>
        <v>66252173</v>
      </c>
      <c r="X97" s="146">
        <f t="shared" si="33"/>
        <v>-0.26092791424413014</v>
      </c>
    </row>
    <row r="98" spans="1:24" ht="16.2" customHeight="1" x14ac:dyDescent="0.3">
      <c r="A98" s="89" t="s">
        <v>241</v>
      </c>
      <c r="B98" s="189">
        <f>VLOOKUP($A98,'Growth Analysis'!A:G,2,FALSE)</f>
        <v>197.31645</v>
      </c>
      <c r="C98" s="189">
        <f>VLOOKUP(A98,'Growth Analysis'!A:G,4,FALSE)</f>
        <v>-0.55074655458275268</v>
      </c>
      <c r="D98" s="50">
        <f t="shared" si="25"/>
        <v>-1.0027911841845054</v>
      </c>
      <c r="E98" s="49">
        <f>VLOOKUP($A98,'Growth Analysis'!$A:$G,5,FALSE)</f>
        <v>4499046.5999999996</v>
      </c>
      <c r="F98" s="49">
        <f>VLOOKUP($A98,'Growth Analysis'!$A:$G,6,FALSE)</f>
        <v>2334574.2000000002</v>
      </c>
      <c r="G98" s="50">
        <f t="shared" si="26"/>
        <v>-0.48109579482906439</v>
      </c>
      <c r="H98" s="159">
        <f t="shared" si="27"/>
        <v>1.3080453433769003E-3</v>
      </c>
      <c r="I98" s="158">
        <f t="shared" si="28"/>
        <v>2.7965638849269652E-3</v>
      </c>
      <c r="J98" s="157">
        <v>193.44749999999999</v>
      </c>
      <c r="K98" s="164">
        <f>VLOOKUP($A98,[1]Notes!$A:$G,3,FALSE)</f>
        <v>7494827.5862068972</v>
      </c>
      <c r="L98" s="163">
        <f>VLOOKUP($A98,[1]Notes!$A:$G,5,FALSE)</f>
        <v>4496896.5517241377</v>
      </c>
      <c r="M98" s="163">
        <f>VLOOKUP($A98,[1]Notes!$A:$G,7,FALSE)</f>
        <v>4796689.6551724132</v>
      </c>
      <c r="N98" s="154">
        <f t="shared" si="29"/>
        <v>16788413.793103449</v>
      </c>
      <c r="O98" s="45">
        <f t="shared" si="38"/>
        <v>1765861.2135588154</v>
      </c>
      <c r="P98" s="45">
        <f t="shared" si="30"/>
        <v>1059516.7281352894</v>
      </c>
      <c r="Q98" s="45">
        <f t="shared" si="31"/>
        <v>1130151.1766776419</v>
      </c>
      <c r="R98" s="45">
        <f t="shared" si="32"/>
        <v>3955529.118371747</v>
      </c>
      <c r="S98" s="153">
        <f>R98/N98-1</f>
        <v>-0.76438934808739067</v>
      </c>
      <c r="T98">
        <f>VLOOKUP($A98,'[2]All month (2)'!$E:$Y,8,FALSE)</f>
        <v>3321250</v>
      </c>
      <c r="U98">
        <f>VLOOKUP($A98,'[2]All month (2)'!$E:$Y,14,FALSE)</f>
        <v>3800640</v>
      </c>
      <c r="V98">
        <f>VLOOKUP($A98,'[2]All month (2)'!$E:$Y,20,FALSE)</f>
        <v>6516450</v>
      </c>
      <c r="W98">
        <f t="shared" ref="W98:W104" si="41">SUM(T98:V98)</f>
        <v>13638340</v>
      </c>
      <c r="X98" s="152">
        <f t="shared" si="33"/>
        <v>-0.70996989968194457</v>
      </c>
    </row>
    <row r="99" spans="1:24" ht="16.2" customHeight="1" x14ac:dyDescent="0.3">
      <c r="A99" s="86" t="s">
        <v>240</v>
      </c>
      <c r="B99" s="189">
        <f>VLOOKUP($A99,'Growth Analysis'!A:G,2,FALSE)</f>
        <v>160.41468599999999</v>
      </c>
      <c r="C99" s="189">
        <f>VLOOKUP(A99,'Growth Analysis'!A:G,4,FALSE)</f>
        <v>-0.20866768395507121</v>
      </c>
      <c r="D99" s="50">
        <f t="shared" si="25"/>
        <v>-1.0013008016233318</v>
      </c>
      <c r="E99" s="49">
        <f>VLOOKUP($A99,'Growth Analysis'!$A:$G,5,FALSE)</f>
        <v>7312915.5</v>
      </c>
      <c r="F99" s="49">
        <f>VLOOKUP($A99,'Growth Analysis'!$A:$G,6,FALSE)</f>
        <v>8622802.6500000004</v>
      </c>
      <c r="G99" s="50">
        <f t="shared" si="26"/>
        <v>0.17911968899408182</v>
      </c>
      <c r="H99" s="159">
        <f t="shared" si="27"/>
        <v>4.8312950829279685E-3</v>
      </c>
      <c r="I99" s="158">
        <f t="shared" si="28"/>
        <v>4.5456375981574896E-3</v>
      </c>
      <c r="J99" s="157">
        <v>157.26929999999999</v>
      </c>
      <c r="K99" s="162">
        <f>VLOOKUP($A99,[1]Notes!$A:$G,3,FALSE)</f>
        <v>6424137.9310344839</v>
      </c>
      <c r="L99" s="161">
        <f>VLOOKUP($A99,[1]Notes!$A:$G,5,FALSE)</f>
        <v>3854482.7586206906</v>
      </c>
      <c r="M99" s="161">
        <f>VLOOKUP($A99,[1]Notes!$A:$G,7,FALSE)</f>
        <v>4111448.2758620703</v>
      </c>
      <c r="N99" s="154">
        <f t="shared" si="29"/>
        <v>14390068.965517243</v>
      </c>
      <c r="O99" s="45">
        <f t="shared" si="38"/>
        <v>6522248.3619527575</v>
      </c>
      <c r="P99" s="45">
        <f t="shared" si="30"/>
        <v>3913349.0171716544</v>
      </c>
      <c r="Q99" s="45">
        <f t="shared" si="31"/>
        <v>4174238.951649765</v>
      </c>
      <c r="R99" s="45">
        <f t="shared" si="32"/>
        <v>14609836.330774177</v>
      </c>
      <c r="S99" s="153">
        <f>R99/N99-1</f>
        <v>1.5272155108051244E-2</v>
      </c>
      <c r="T99">
        <f>VLOOKUP($A99,'[2]All month (2)'!$E:$Y,8,FALSE)</f>
        <v>5804170</v>
      </c>
      <c r="U99">
        <f>VLOOKUP($A99,'[2]All month (2)'!$E:$Y,14,FALSE)</f>
        <v>1192410</v>
      </c>
      <c r="V99">
        <f>VLOOKUP($A99,'[2]All month (2)'!$E:$Y,20,FALSE)</f>
        <v>3186280</v>
      </c>
      <c r="W99">
        <f t="shared" si="41"/>
        <v>10182860</v>
      </c>
      <c r="X99" s="152">
        <f t="shared" si="33"/>
        <v>0.43474783418157342</v>
      </c>
    </row>
    <row r="100" spans="1:24" ht="16.2" customHeight="1" x14ac:dyDescent="0.3">
      <c r="A100" s="55" t="s">
        <v>239</v>
      </c>
      <c r="B100" s="189">
        <f>VLOOKUP($A100,'Growth Analysis'!A:G,2,FALSE)</f>
        <v>260.02400999999998</v>
      </c>
      <c r="C100" s="189">
        <f>VLOOKUP(A100,'Growth Analysis'!A:G,4,FALSE)</f>
        <v>-0.46279186872012312</v>
      </c>
      <c r="D100" s="50">
        <f t="shared" si="25"/>
        <v>-1.0017798043677586</v>
      </c>
      <c r="E100" s="49">
        <f>VLOOKUP($A100,'Growth Analysis'!$A:$G,5,FALSE)</f>
        <v>11546568.300000001</v>
      </c>
      <c r="F100" s="49">
        <f>VLOOKUP($A100,'Growth Analysis'!$A:$G,6,FALSE)</f>
        <v>11038747.65</v>
      </c>
      <c r="G100" s="50">
        <f t="shared" si="26"/>
        <v>-4.3980223110965388E-2</v>
      </c>
      <c r="H100" s="159">
        <f t="shared" si="27"/>
        <v>6.1849319076237551E-3</v>
      </c>
      <c r="I100" s="158">
        <f t="shared" si="28"/>
        <v>7.1772352619380621E-3</v>
      </c>
      <c r="J100" s="157">
        <v>254.9255</v>
      </c>
      <c r="K100" s="162">
        <f>VLOOKUP($A100,[1]Notes!$A:$G,3,FALSE)</f>
        <v>7494827.5862068972</v>
      </c>
      <c r="L100" s="161">
        <f>VLOOKUP($A100,[1]Notes!$A:$G,5,FALSE)</f>
        <v>4496896.5517241377</v>
      </c>
      <c r="M100" s="161">
        <f>VLOOKUP($A100,[1]Notes!$A:$G,7,FALSE)</f>
        <v>4796689.6551724132</v>
      </c>
      <c r="N100" s="154">
        <f t="shared" si="29"/>
        <v>16788413.793103449</v>
      </c>
      <c r="O100" s="45">
        <f t="shared" si="38"/>
        <v>8349658.0752920695</v>
      </c>
      <c r="P100" s="45">
        <f t="shared" si="30"/>
        <v>5009794.8451752421</v>
      </c>
      <c r="Q100" s="45">
        <f t="shared" si="31"/>
        <v>5343781.1681869244</v>
      </c>
      <c r="R100" s="45">
        <f t="shared" si="32"/>
        <v>18703234.088654235</v>
      </c>
      <c r="S100" s="153">
        <f>R100/N100-1</f>
        <v>0.11405605789496209</v>
      </c>
      <c r="T100">
        <f>VLOOKUP($A100,'[2]All month (2)'!$E:$Y,8,FALSE)</f>
        <v>7261960</v>
      </c>
      <c r="U100">
        <f>VLOOKUP($A100,'[2]All month (2)'!$E:$Y,14,FALSE)</f>
        <v>6394000</v>
      </c>
      <c r="V100">
        <f>VLOOKUP($A100,'[2]All month (2)'!$E:$Y,20,FALSE)</f>
        <v>7207000</v>
      </c>
      <c r="W100">
        <f t="shared" si="41"/>
        <v>20862960</v>
      </c>
      <c r="X100" s="152">
        <f t="shared" si="33"/>
        <v>-0.10351963054838648</v>
      </c>
    </row>
    <row r="101" spans="1:24" ht="16.2" customHeight="1" x14ac:dyDescent="0.3">
      <c r="A101" s="55" t="s">
        <v>238</v>
      </c>
      <c r="B101" s="189">
        <f>VLOOKUP($A101,'Growth Analysis'!A:G,2,FALSE)</f>
        <v>0</v>
      </c>
      <c r="C101" s="189">
        <f>VLOOKUP(A101,'Growth Analysis'!A:G,4,FALSE)</f>
        <v>1</v>
      </c>
      <c r="D101" s="50">
        <f t="shared" si="25"/>
        <v>1</v>
      </c>
      <c r="E101" s="49">
        <f>VLOOKUP($A101,'Growth Analysis'!$A:$G,5,FALSE)</f>
        <v>0</v>
      </c>
      <c r="F101" s="49">
        <f>VLOOKUP($A101,'Growth Analysis'!$A:$G,6,FALSE)</f>
        <v>11936610</v>
      </c>
      <c r="G101" s="50">
        <f t="shared" si="26"/>
        <v>1</v>
      </c>
      <c r="H101" s="159">
        <f t="shared" si="27"/>
        <v>6.6879978054268487E-3</v>
      </c>
      <c r="I101" s="158">
        <f t="shared" si="28"/>
        <v>0</v>
      </c>
      <c r="J101" s="157">
        <v>0</v>
      </c>
      <c r="K101" s="162">
        <f>VLOOKUP($A101,[1]Notes!$A:$G,3,FALSE)</f>
        <v>4282758.6206896557</v>
      </c>
      <c r="L101" s="161">
        <f>VLOOKUP($A101,[1]Notes!$A:$G,5,FALSE)</f>
        <v>2569655.1724137934</v>
      </c>
      <c r="M101" s="161">
        <f>VLOOKUP($A101,[1]Notes!$A:$G,7,FALSE)</f>
        <v>2740965.5172413797</v>
      </c>
      <c r="N101" s="154">
        <f t="shared" si="29"/>
        <v>9593379.3103448283</v>
      </c>
      <c r="O101" s="45">
        <f t="shared" si="38"/>
        <v>9028797.0373262465</v>
      </c>
      <c r="P101" s="45">
        <f t="shared" si="30"/>
        <v>5417278.2223957479</v>
      </c>
      <c r="Q101" s="45">
        <f t="shared" si="31"/>
        <v>5778430.1038887976</v>
      </c>
      <c r="R101" s="45">
        <f t="shared" si="32"/>
        <v>20224505.363610793</v>
      </c>
      <c r="S101" s="153">
        <f>R101/N101-1</f>
        <v>1.1081732212758544</v>
      </c>
      <c r="T101">
        <f>VLOOKUP($A101,'[2]All month (2)'!$E:$Y,8,FALSE)</f>
        <v>0</v>
      </c>
      <c r="U101">
        <f>VLOOKUP($A101,'[2]All month (2)'!$E:$Y,14,FALSE)</f>
        <v>4558035.75</v>
      </c>
      <c r="V101">
        <f>VLOOKUP($A101,'[2]All month (2)'!$E:$Y,20,FALSE)</f>
        <v>7468818.4199999999</v>
      </c>
      <c r="W101">
        <f t="shared" si="41"/>
        <v>12026854.17</v>
      </c>
      <c r="X101" s="152">
        <f t="shared" si="33"/>
        <v>0.68161225518632795</v>
      </c>
    </row>
    <row r="102" spans="1:24" ht="16.2" customHeight="1" x14ac:dyDescent="0.3">
      <c r="A102" s="86" t="s">
        <v>237</v>
      </c>
      <c r="B102" s="189">
        <f>VLOOKUP($A102,'Growth Analysis'!A:G,2,FALSE)</f>
        <v>666.96703500000001</v>
      </c>
      <c r="C102" s="189">
        <f>VLOOKUP(A102,'Growth Analysis'!A:G,4,FALSE)</f>
        <v>-0.73271574433959841</v>
      </c>
      <c r="D102" s="50">
        <f t="shared" si="25"/>
        <v>-1.0010985786491524</v>
      </c>
      <c r="E102" s="49">
        <f>VLOOKUP($A102,'Growth Analysis'!$A:$G,5,FALSE)</f>
        <v>18569953.740000002</v>
      </c>
      <c r="F102" s="49">
        <f>VLOOKUP($A102,'Growth Analysis'!$A:$G,6,FALSE)</f>
        <v>8392889.4000000004</v>
      </c>
      <c r="G102" s="50">
        <f t="shared" si="26"/>
        <v>-0.54803929414635155</v>
      </c>
      <c r="H102" s="159">
        <f t="shared" si="27"/>
        <v>4.7024763218694639E-3</v>
      </c>
      <c r="I102" s="158">
        <f t="shared" si="28"/>
        <v>1.1542903773001248E-2</v>
      </c>
      <c r="J102" s="157">
        <v>653.88924999999995</v>
      </c>
      <c r="K102" s="162">
        <f>VLOOKUP($A102,[1]Notes!$A:$G,3,FALSE)</f>
        <v>6067241.3793103471</v>
      </c>
      <c r="L102" s="161">
        <f>VLOOKUP($A102,[1]Notes!$A:$G,5,FALSE)</f>
        <v>3640344.827586208</v>
      </c>
      <c r="M102" s="161">
        <f>VLOOKUP($A102,[1]Notes!$A:$G,7,FALSE)</f>
        <v>3883034.4827586217</v>
      </c>
      <c r="N102" s="154">
        <f t="shared" si="29"/>
        <v>13590620.689655177</v>
      </c>
      <c r="O102" s="45">
        <f t="shared" si="38"/>
        <v>6348343.0345237767</v>
      </c>
      <c r="P102" s="45">
        <f t="shared" si="30"/>
        <v>3809005.8207142656</v>
      </c>
      <c r="Q102" s="45">
        <f t="shared" si="31"/>
        <v>4062939.5420952169</v>
      </c>
      <c r="R102" s="45">
        <f t="shared" si="32"/>
        <v>14220288.397333261</v>
      </c>
      <c r="S102" s="153">
        <f>N102/R102-1</f>
        <v>-4.4279531475336698E-2</v>
      </c>
      <c r="T102">
        <f>VLOOKUP($A102,'[2]All month (2)'!$E:$Y,8,FALSE)</f>
        <v>20327215</v>
      </c>
      <c r="U102">
        <f>VLOOKUP($A102,'[2]All month (2)'!$E:$Y,14,FALSE)</f>
        <v>4379289.25</v>
      </c>
      <c r="V102">
        <f>VLOOKUP($A102,'[2]All month (2)'!$E:$Y,20,FALSE)</f>
        <v>7175923.5800000001</v>
      </c>
      <c r="W102">
        <f t="shared" si="41"/>
        <v>31882427.829999998</v>
      </c>
      <c r="X102" s="152">
        <f t="shared" si="33"/>
        <v>-0.55397724184754282</v>
      </c>
    </row>
    <row r="103" spans="1:24" ht="16.2" customHeight="1" x14ac:dyDescent="0.3">
      <c r="A103" s="86" t="s">
        <v>236</v>
      </c>
      <c r="B103" s="189">
        <f>VLOOKUP($A103,'Growth Analysis'!A:G,2,FALSE)</f>
        <v>665.96513999999991</v>
      </c>
      <c r="C103" s="189">
        <f>VLOOKUP(A103,'Growth Analysis'!A:G,4,FALSE)</f>
        <v>-0.88597940351652638</v>
      </c>
      <c r="D103" s="50">
        <f t="shared" si="25"/>
        <v>-1.0013303690393112</v>
      </c>
      <c r="E103" s="49">
        <f>VLOOKUP($A103,'Growth Analysis'!$A:$G,5,FALSE)</f>
        <v>16829503.260000002</v>
      </c>
      <c r="F103" s="49">
        <f>VLOOKUP($A103,'Growth Analysis'!$A:$G,6,FALSE)</f>
        <v>3241893.3540000003</v>
      </c>
      <c r="G103" s="50">
        <f t="shared" si="26"/>
        <v>-0.80736844671433283</v>
      </c>
      <c r="H103" s="159">
        <f t="shared" si="27"/>
        <v>1.8164098212959867E-3</v>
      </c>
      <c r="I103" s="158">
        <f t="shared" si="28"/>
        <v>1.0461056575447925E-2</v>
      </c>
      <c r="J103" s="157">
        <v>652.90699999999993</v>
      </c>
      <c r="K103" s="162">
        <f>VLOOKUP($A103,[1]Notes!$A:$G,3,FALSE)</f>
        <v>4282758.6206896557</v>
      </c>
      <c r="L103" s="161">
        <f>VLOOKUP($A103,[1]Notes!$A:$G,5,FALSE)</f>
        <v>2569655.1724137934</v>
      </c>
      <c r="M103" s="161">
        <f>VLOOKUP($A103,[1]Notes!$A:$G,7,FALSE)</f>
        <v>2740965.5172413797</v>
      </c>
      <c r="N103" s="154">
        <f t="shared" si="29"/>
        <v>9593379.3103448283</v>
      </c>
      <c r="O103" s="45">
        <f t="shared" si="38"/>
        <v>2452153.2587495819</v>
      </c>
      <c r="P103" s="45">
        <f t="shared" si="30"/>
        <v>1471291.9552497491</v>
      </c>
      <c r="Q103" s="45">
        <f t="shared" si="31"/>
        <v>1569378.0855997326</v>
      </c>
      <c r="R103" s="45">
        <f t="shared" si="32"/>
        <v>5492823.2995990636</v>
      </c>
      <c r="S103" s="153">
        <f>R103/N103-1</f>
        <v>-0.42743603459148249</v>
      </c>
      <c r="T103">
        <f>VLOOKUP($A103,'[2]All month (2)'!$E:$Y,8,FALSE)</f>
        <v>8409214</v>
      </c>
      <c r="U103">
        <f>VLOOKUP($A103,'[2]All month (2)'!$E:$Y,14,FALSE)</f>
        <v>6467325.4000000004</v>
      </c>
      <c r="V103">
        <f>VLOOKUP($A103,'[2]All month (2)'!$E:$Y,20,FALSE)</f>
        <v>2763017.6</v>
      </c>
      <c r="W103">
        <f t="shared" si="41"/>
        <v>17639557</v>
      </c>
      <c r="X103" s="152">
        <f t="shared" si="33"/>
        <v>-0.6886076390921233</v>
      </c>
    </row>
    <row r="104" spans="1:24" ht="16.2" customHeight="1" thickBot="1" x14ac:dyDescent="0.35">
      <c r="A104" s="88" t="s">
        <v>235</v>
      </c>
      <c r="B104" s="189">
        <f>VLOOKUP($A104,'Growth Analysis'!A:G,2,FALSE)</f>
        <v>0</v>
      </c>
      <c r="C104" s="189">
        <f>VLOOKUP(A104,'Growth Analysis'!A:G,4,FALSE)</f>
        <v>1</v>
      </c>
      <c r="D104" s="50">
        <f t="shared" si="25"/>
        <v>1</v>
      </c>
      <c r="E104" s="49">
        <f>VLOOKUP($A104,'Growth Analysis'!$A:$G,5,FALSE)</f>
        <v>0</v>
      </c>
      <c r="F104" s="49">
        <f>VLOOKUP($A104,'Growth Analysis'!$A:$G,6,FALSE)</f>
        <v>3976361.5500000003</v>
      </c>
      <c r="G104" s="50">
        <f t="shared" si="26"/>
        <v>1</v>
      </c>
      <c r="H104" s="159">
        <f t="shared" si="27"/>
        <v>2.2279271350897538E-3</v>
      </c>
      <c r="I104" s="158">
        <f t="shared" si="28"/>
        <v>0</v>
      </c>
      <c r="J104" s="157">
        <v>0</v>
      </c>
      <c r="K104" s="156">
        <f>VLOOKUP($A104,[1]Notes!$A:$G,3,FALSE)</f>
        <v>5353448.2758620698</v>
      </c>
      <c r="L104" s="155">
        <f>VLOOKUP($A104,[1]Notes!$A:$G,5,FALSE)</f>
        <v>3212068.965517242</v>
      </c>
      <c r="M104" s="155">
        <f>VLOOKUP($A104,[1]Notes!$A:$G,7,FALSE)</f>
        <v>3426206.896551725</v>
      </c>
      <c r="N104" s="154">
        <f t="shared" si="29"/>
        <v>11991724.137931036</v>
      </c>
      <c r="O104" s="45">
        <f t="shared" si="38"/>
        <v>3007701.6323711677</v>
      </c>
      <c r="P104" s="45">
        <f t="shared" si="30"/>
        <v>1804620.9794227006</v>
      </c>
      <c r="Q104" s="45">
        <f t="shared" si="31"/>
        <v>1924929.0447175473</v>
      </c>
      <c r="R104" s="45">
        <f t="shared" si="32"/>
        <v>6737251.6565114157</v>
      </c>
      <c r="S104" s="153">
        <f>R104/N104-1</f>
        <v>-0.4381748963686708</v>
      </c>
      <c r="T104">
        <f>VLOOKUP($A104,'[2]All month (2)'!$E:$Y,8,FALSE)</f>
        <v>0</v>
      </c>
      <c r="U104">
        <f>VLOOKUP($A104,'[2]All month (2)'!$E:$Y,14,FALSE)</f>
        <v>3963844.6</v>
      </c>
      <c r="V104">
        <f>VLOOKUP($A104,'[2]All month (2)'!$E:$Y,20,FALSE)</f>
        <v>1693462.4</v>
      </c>
      <c r="W104">
        <f t="shared" si="41"/>
        <v>5657307</v>
      </c>
      <c r="X104" s="152">
        <f t="shared" si="33"/>
        <v>0.19089376915755424</v>
      </c>
    </row>
    <row r="105" spans="1:24" ht="16.2" thickBot="1" x14ac:dyDescent="0.35">
      <c r="A105" s="87" t="s">
        <v>234</v>
      </c>
      <c r="B105" s="42">
        <f>SUM(B98:B104)</f>
        <v>1950.6873209999999</v>
      </c>
      <c r="C105" s="40">
        <f>SUM(C98:C104)</f>
        <v>-0.84090125511407177</v>
      </c>
      <c r="D105" s="41">
        <f t="shared" si="25"/>
        <v>-1.0004310794693037</v>
      </c>
      <c r="E105" s="40">
        <f>SUM(E98:E104)</f>
        <v>58757987.400000006</v>
      </c>
      <c r="F105" s="40">
        <f>SUM(F98:F104)</f>
        <v>49543878.803999998</v>
      </c>
      <c r="G105" s="151">
        <f t="shared" si="26"/>
        <v>-0.15681457115394676</v>
      </c>
      <c r="H105" s="150">
        <f t="shared" si="27"/>
        <v>2.7759083417610676E-2</v>
      </c>
      <c r="I105" s="150">
        <f t="shared" si="28"/>
        <v>3.6523397093471695E-2</v>
      </c>
      <c r="J105" s="42">
        <f>SUM(J98:J104)</f>
        <v>1912.4385499999999</v>
      </c>
      <c r="K105" s="165">
        <f>SUM(K98:K104)</f>
        <v>41400000.000000007</v>
      </c>
      <c r="L105" s="165">
        <f>SUM(L98:L104)</f>
        <v>24840000</v>
      </c>
      <c r="M105" s="165">
        <f>SUM(M98:M104)</f>
        <v>26496000.000000004</v>
      </c>
      <c r="N105" s="36">
        <f t="shared" si="29"/>
        <v>92736000.000000015</v>
      </c>
      <c r="O105" s="36">
        <f t="shared" si="38"/>
        <v>37474762.613774411</v>
      </c>
      <c r="P105" s="36">
        <f t="shared" si="30"/>
        <v>22484857.568264648</v>
      </c>
      <c r="Q105" s="36">
        <f t="shared" si="31"/>
        <v>23983848.072815623</v>
      </c>
      <c r="R105" s="148">
        <f t="shared" si="32"/>
        <v>83943468.254854679</v>
      </c>
      <c r="S105" s="41"/>
      <c r="T105" s="42">
        <f>SUM(T98:T104)</f>
        <v>45123809</v>
      </c>
      <c r="U105" s="42">
        <f>SUM(U98:U104)</f>
        <v>30755545</v>
      </c>
      <c r="V105" s="42">
        <f>SUM(V98:V104)</f>
        <v>36010952</v>
      </c>
      <c r="W105" s="147">
        <f>SUM(W98:W104)</f>
        <v>111890306</v>
      </c>
      <c r="X105" s="146">
        <f t="shared" si="33"/>
        <v>-0.24976996438945587</v>
      </c>
    </row>
    <row r="106" spans="1:24" ht="16.2" customHeight="1" x14ac:dyDescent="0.3">
      <c r="A106" s="53" t="s">
        <v>233</v>
      </c>
      <c r="B106" s="189">
        <f>VLOOKUP($A106,'Growth Analysis'!A:G,2,FALSE)</f>
        <v>0</v>
      </c>
      <c r="C106" s="189">
        <f>VLOOKUP(A106,'Growth Analysis'!A:G,4,FALSE)</f>
        <v>1</v>
      </c>
      <c r="D106" s="50">
        <f t="shared" si="25"/>
        <v>1</v>
      </c>
      <c r="E106" s="49">
        <f>VLOOKUP($A106,'Growth Analysis'!$A:$G,5,FALSE)</f>
        <v>0</v>
      </c>
      <c r="F106" s="49">
        <f>VLOOKUP($A106,'Growth Analysis'!$A:$G,6,FALSE)</f>
        <v>4261016.7779790824</v>
      </c>
      <c r="G106" s="50">
        <f t="shared" si="26"/>
        <v>1</v>
      </c>
      <c r="H106" s="159">
        <f t="shared" si="27"/>
        <v>2.3874174376151257E-3</v>
      </c>
      <c r="I106" s="158">
        <f t="shared" si="28"/>
        <v>0</v>
      </c>
      <c r="J106" s="157">
        <v>0</v>
      </c>
      <c r="K106" s="164">
        <f>VLOOKUP($A106,[1]Notes!$A:$G,3,FALSE)</f>
        <v>5116527.2453046991</v>
      </c>
      <c r="L106" s="163">
        <f>VLOOKUP($A106,[1]Notes!$A:$G,5,FALSE)</f>
        <v>3069916.3471828196</v>
      </c>
      <c r="M106" s="163">
        <f>VLOOKUP($A106,[1]Notes!$A:$G,7,FALSE)</f>
        <v>3274577.4369950076</v>
      </c>
      <c r="N106" s="154">
        <f t="shared" si="29"/>
        <v>11461021.029482527</v>
      </c>
      <c r="O106" s="45">
        <f t="shared" si="38"/>
        <v>3223013.5407804199</v>
      </c>
      <c r="P106" s="45">
        <f t="shared" si="30"/>
        <v>1933808.1244682518</v>
      </c>
      <c r="Q106" s="45">
        <f t="shared" si="31"/>
        <v>2062728.6660994687</v>
      </c>
      <c r="R106" s="45">
        <f t="shared" si="32"/>
        <v>7219550.3313481398</v>
      </c>
      <c r="S106" s="153">
        <f>R106/N106-1</f>
        <v>-0.37007790904698235</v>
      </c>
      <c r="T106">
        <f>VLOOKUP($A106,'[2]All month (2)'!$E:$Y,8,FALSE)</f>
        <v>0</v>
      </c>
      <c r="U106">
        <f>VLOOKUP($A106,'[2]All month (2)'!$E:$Y,14,FALSE)</f>
        <v>4792853.4000000004</v>
      </c>
      <c r="V106">
        <f>VLOOKUP($A106,'[2]All month (2)'!$E:$Y,20,FALSE)</f>
        <v>1490582.4</v>
      </c>
      <c r="W106">
        <f t="shared" ref="W106:W111" si="42">SUM(T106:V106)</f>
        <v>6283435.8000000007</v>
      </c>
      <c r="X106" s="152">
        <f t="shared" si="33"/>
        <v>0.14898131550069135</v>
      </c>
    </row>
    <row r="107" spans="1:24" ht="16.2" customHeight="1" x14ac:dyDescent="0.3">
      <c r="A107" s="86" t="s">
        <v>232</v>
      </c>
      <c r="B107" s="189">
        <f>VLOOKUP($A107,'Growth Analysis'!A:G,2,FALSE)</f>
        <v>0</v>
      </c>
      <c r="C107" s="189">
        <f>VLOOKUP(A107,'Growth Analysis'!A:G,4,FALSE)</f>
        <v>1</v>
      </c>
      <c r="D107" s="50">
        <f t="shared" si="25"/>
        <v>1</v>
      </c>
      <c r="E107" s="49">
        <f>VLOOKUP($A107,'Growth Analysis'!$A:$G,5,FALSE)</f>
        <v>0</v>
      </c>
      <c r="F107" s="49">
        <f>VLOOKUP($A107,'Growth Analysis'!$A:$G,6,FALSE)</f>
        <v>6164877.3720209189</v>
      </c>
      <c r="G107" s="50">
        <f t="shared" si="26"/>
        <v>1</v>
      </c>
      <c r="H107" s="159">
        <f t="shared" si="27"/>
        <v>3.4541370066376925E-3</v>
      </c>
      <c r="I107" s="158">
        <f t="shared" si="28"/>
        <v>0</v>
      </c>
      <c r="J107" s="157">
        <v>0</v>
      </c>
      <c r="K107" s="162">
        <f>VLOOKUP($A107,[1]Notes!$A:$G,3,FALSE)</f>
        <v>8314356.7736201361</v>
      </c>
      <c r="L107" s="161">
        <f>VLOOKUP($A107,[1]Notes!$A:$G,5,FALSE)</f>
        <v>4988614.0641720816</v>
      </c>
      <c r="M107" s="161">
        <f>VLOOKUP($A107,[1]Notes!$A:$G,7,FALSE)</f>
        <v>5321188.3351168865</v>
      </c>
      <c r="N107" s="154">
        <f t="shared" si="29"/>
        <v>18624159.172909103</v>
      </c>
      <c r="O107" s="45">
        <f t="shared" si="38"/>
        <v>4663084.9589608852</v>
      </c>
      <c r="P107" s="45">
        <f t="shared" si="30"/>
        <v>2797850.975376531</v>
      </c>
      <c r="Q107" s="45">
        <f t="shared" si="31"/>
        <v>2984374.3737349664</v>
      </c>
      <c r="R107" s="45">
        <f t="shared" si="32"/>
        <v>10445310.308072383</v>
      </c>
      <c r="S107" s="153">
        <f>R107/N107-1</f>
        <v>-0.43915265053864871</v>
      </c>
      <c r="T107">
        <f>VLOOKUP($A107,'[2]All month (2)'!$E:$Y,8,FALSE)</f>
        <v>0</v>
      </c>
      <c r="U107">
        <f>VLOOKUP($A107,'[2]All month (2)'!$E:$Y,14,FALSE)</f>
        <v>9825349.4700000007</v>
      </c>
      <c r="V107">
        <f>VLOOKUP($A107,'[2]All month (2)'!$E:$Y,20,FALSE)</f>
        <v>3055693.92</v>
      </c>
      <c r="W107">
        <f t="shared" si="42"/>
        <v>12881043.390000001</v>
      </c>
      <c r="X107" s="152">
        <f t="shared" si="33"/>
        <v>-0.18909439306900883</v>
      </c>
    </row>
    <row r="108" spans="1:24" ht="16.2" customHeight="1" x14ac:dyDescent="0.3">
      <c r="A108" s="86" t="s">
        <v>231</v>
      </c>
      <c r="B108" s="189">
        <f>VLOOKUP($A108,'Growth Analysis'!A:G,2,FALSE)</f>
        <v>0</v>
      </c>
      <c r="C108" s="189">
        <f>VLOOKUP(A108,'Growth Analysis'!A:G,4,FALSE)</f>
        <v>1</v>
      </c>
      <c r="D108" s="50">
        <f t="shared" si="25"/>
        <v>1</v>
      </c>
      <c r="E108" s="49">
        <f>VLOOKUP($A108,'Growth Analysis'!$A:$G,5,FALSE)</f>
        <v>0</v>
      </c>
      <c r="F108" s="49">
        <f>VLOOKUP($A108,'Growth Analysis'!$A:$G,6,FALSE)</f>
        <v>2268289.5011891993</v>
      </c>
      <c r="G108" s="50">
        <f t="shared" si="26"/>
        <v>1</v>
      </c>
      <c r="H108" s="159">
        <f t="shared" si="27"/>
        <v>1.2709064974080688E-3</v>
      </c>
      <c r="I108" s="158">
        <f t="shared" si="28"/>
        <v>0</v>
      </c>
      <c r="J108" s="157">
        <v>0</v>
      </c>
      <c r="K108" s="162">
        <f>VLOOKUP($A108,[1]Notes!$A:$G,3,FALSE)</f>
        <v>7994573.8207885921</v>
      </c>
      <c r="L108" s="161">
        <f>VLOOKUP($A108,[1]Notes!$A:$G,5,FALSE)</f>
        <v>4796744.2924731551</v>
      </c>
      <c r="M108" s="161">
        <f>VLOOKUP($A108,[1]Notes!$A:$G,7,FALSE)</f>
        <v>5116527.2453046991</v>
      </c>
      <c r="N108" s="154">
        <f t="shared" si="29"/>
        <v>17907845.358566448</v>
      </c>
      <c r="O108" s="45">
        <f t="shared" si="38"/>
        <v>1715723.7715008929</v>
      </c>
      <c r="P108" s="45">
        <f t="shared" si="30"/>
        <v>1029434.2629005357</v>
      </c>
      <c r="Q108" s="45">
        <f t="shared" si="31"/>
        <v>1098063.2137605713</v>
      </c>
      <c r="R108" s="45">
        <f t="shared" si="32"/>
        <v>3843221.2481620004</v>
      </c>
      <c r="S108" s="153">
        <f>R108/N108-1</f>
        <v>-0.78538896381950574</v>
      </c>
      <c r="T108">
        <f>VLOOKUP($A108,'[2]All month (2)'!$E:$Y,8,FALSE)</f>
        <v>0</v>
      </c>
      <c r="U108">
        <f>VLOOKUP($A108,'[2]All month (2)'!$E:$Y,14,FALSE)</f>
        <v>4553210.7300000004</v>
      </c>
      <c r="V108">
        <f>VLOOKUP($A108,'[2]All month (2)'!$E:$Y,20,FALSE)</f>
        <v>1416053.28</v>
      </c>
      <c r="W108">
        <f t="shared" si="42"/>
        <v>5969264.0100000007</v>
      </c>
      <c r="X108" s="152">
        <f t="shared" si="33"/>
        <v>-0.35616497415365617</v>
      </c>
    </row>
    <row r="109" spans="1:24" ht="16.2" customHeight="1" x14ac:dyDescent="0.3">
      <c r="A109" s="86" t="s">
        <v>230</v>
      </c>
      <c r="B109" s="189">
        <f>VLOOKUP($A109,'Growth Analysis'!A:G,2,FALSE)</f>
        <v>0</v>
      </c>
      <c r="C109" s="189">
        <f>VLOOKUP(A109,'Growth Analysis'!A:G,4,FALSE)</f>
        <v>1</v>
      </c>
      <c r="D109" s="50">
        <f t="shared" si="25"/>
        <v>1</v>
      </c>
      <c r="E109" s="49">
        <f>VLOOKUP($A109,'Growth Analysis'!$A:$G,5,FALSE)</f>
        <v>0</v>
      </c>
      <c r="F109" s="49">
        <f>VLOOKUP($A109,'Growth Analysis'!$A:$G,6,FALSE)</f>
        <v>1118900.6029416018</v>
      </c>
      <c r="G109" s="50">
        <f t="shared" si="26"/>
        <v>1</v>
      </c>
      <c r="H109" s="159">
        <f t="shared" si="27"/>
        <v>6.2691206104280956E-4</v>
      </c>
      <c r="I109" s="158">
        <f t="shared" si="28"/>
        <v>0</v>
      </c>
      <c r="J109" s="157">
        <v>0</v>
      </c>
      <c r="K109" s="162">
        <f>VLOOKUP($A109,[1]Notes!$A:$G,3,FALSE)</f>
        <v>2173615.3624491082</v>
      </c>
      <c r="L109" s="161">
        <f>VLOOKUP($A109,[1]Notes!$A:$G,5,FALSE)</f>
        <v>1304169.2174694652</v>
      </c>
      <c r="M109" s="161">
        <f>VLOOKUP($A109,[1]Notes!$A:$G,7,FALSE)</f>
        <v>1391113.8319674293</v>
      </c>
      <c r="N109" s="154">
        <f t="shared" si="29"/>
        <v>4868898.4118860029</v>
      </c>
      <c r="O109" s="45">
        <f t="shared" si="38"/>
        <v>846331.28240779287</v>
      </c>
      <c r="P109" s="45">
        <f t="shared" si="30"/>
        <v>507798.76944467577</v>
      </c>
      <c r="Q109" s="45">
        <f t="shared" si="31"/>
        <v>541652.0207409875</v>
      </c>
      <c r="R109" s="45">
        <f t="shared" si="32"/>
        <v>1895782.0725934561</v>
      </c>
      <c r="S109" s="153">
        <f>R109/N109-1</f>
        <v>-0.61063429297159821</v>
      </c>
      <c r="T109">
        <f>VLOOKUP($A109,'[2]All month (2)'!$E:$Y,8,FALSE)</f>
        <v>0</v>
      </c>
      <c r="U109">
        <f>VLOOKUP($A109,'[2]All month (2)'!$E:$Y,14,FALSE)</f>
        <v>2396426.7000000002</v>
      </c>
      <c r="V109">
        <f>VLOOKUP($A109,'[2]All month (2)'!$E:$Y,20,FALSE)</f>
        <v>745291.2</v>
      </c>
      <c r="W109">
        <f t="shared" si="42"/>
        <v>3141717.9000000004</v>
      </c>
      <c r="X109" s="152">
        <f t="shared" si="33"/>
        <v>-0.39657788097605584</v>
      </c>
    </row>
    <row r="110" spans="1:24" ht="16.2" customHeight="1" x14ac:dyDescent="0.3">
      <c r="A110" s="86" t="s">
        <v>229</v>
      </c>
      <c r="B110" s="189">
        <f>VLOOKUP($A110,'Growth Analysis'!A:G,2,FALSE)</f>
        <v>748.57493999999997</v>
      </c>
      <c r="C110" s="189">
        <f>VLOOKUP(A110,'Growth Analysis'!A:G,4,FALSE)</f>
        <v>-0.89216289086567602</v>
      </c>
      <c r="D110" s="50">
        <f t="shared" si="25"/>
        <v>-1.0011918150651231</v>
      </c>
      <c r="E110" s="49">
        <f>VLOOKUP($A110,'Growth Analysis'!$A:$G,5,FALSE)</f>
        <v>22712128.859999999</v>
      </c>
      <c r="F110" s="49">
        <f>VLOOKUP($A110,'Growth Analysis'!$A:$G,6,FALSE)</f>
        <v>1748673.9708163347</v>
      </c>
      <c r="G110" s="50">
        <f t="shared" si="26"/>
        <v>-0.92300704255442756</v>
      </c>
      <c r="H110" s="159">
        <f t="shared" si="27"/>
        <v>9.7976960621371564E-4</v>
      </c>
      <c r="I110" s="158">
        <f t="shared" si="28"/>
        <v>1.4117639794991999E-2</v>
      </c>
      <c r="J110" s="157">
        <v>733.89699999999993</v>
      </c>
      <c r="K110" s="162">
        <f>VLOOKUP($A110,[1]Notes!$A:$G,3,FALSE)</f>
        <v>3151742.2755512078</v>
      </c>
      <c r="L110" s="161">
        <f>VLOOKUP($A110,[1]Notes!$A:$G,5,FALSE)</f>
        <v>1891045.3653307245</v>
      </c>
      <c r="M110" s="161">
        <f>VLOOKUP($A110,[1]Notes!$A:$G,7,FALSE)</f>
        <v>2017115.0563527727</v>
      </c>
      <c r="N110" s="154">
        <f t="shared" si="29"/>
        <v>7059902.6972347051</v>
      </c>
      <c r="O110" s="45">
        <f t="shared" si="38"/>
        <v>1322688.9683885162</v>
      </c>
      <c r="P110" s="45">
        <f t="shared" si="30"/>
        <v>793613.38103310962</v>
      </c>
      <c r="Q110" s="45">
        <f t="shared" si="31"/>
        <v>846520.93976865034</v>
      </c>
      <c r="R110" s="45">
        <f t="shared" si="32"/>
        <v>2962823.2891902765</v>
      </c>
      <c r="S110" s="153">
        <f>R110/N110-1</f>
        <v>-0.58033086060084293</v>
      </c>
      <c r="T110">
        <f>VLOOKUP($A110,'[2]All month (2)'!$E:$Y,8,FALSE)</f>
        <v>14867775</v>
      </c>
      <c r="U110">
        <f>VLOOKUP($A110,'[2]All month (2)'!$E:$Y,14,FALSE)</f>
        <v>2396426.7000000002</v>
      </c>
      <c r="V110">
        <f>VLOOKUP($A110,'[2]All month (2)'!$E:$Y,20,FALSE)</f>
        <v>745291.2</v>
      </c>
      <c r="W110">
        <f t="shared" si="42"/>
        <v>18009492.899999999</v>
      </c>
      <c r="X110" s="152">
        <f t="shared" si="33"/>
        <v>-0.83548546837816418</v>
      </c>
    </row>
    <row r="111" spans="1:24" ht="16.2" customHeight="1" thickBot="1" x14ac:dyDescent="0.35">
      <c r="A111" s="85" t="s">
        <v>228</v>
      </c>
      <c r="B111" s="189">
        <f>VLOOKUP($A111,'Growth Analysis'!A:G,2,FALSE)</f>
        <v>575.61864000000014</v>
      </c>
      <c r="C111" s="189">
        <f>VLOOKUP(A111,'Growth Analysis'!A:G,4,FALSE)</f>
        <v>-0.45080995813478186</v>
      </c>
      <c r="D111" s="50">
        <f t="shared" si="25"/>
        <v>-1.0007831747042359</v>
      </c>
      <c r="E111" s="49">
        <f>VLOOKUP($A111,'Growth Analysis'!$A:$G,5,FALSE)</f>
        <v>17769379.199999999</v>
      </c>
      <c r="F111" s="49">
        <f>VLOOKUP($A111,'Growth Analysis'!$A:$G,6,FALSE)</f>
        <v>15118117.350000001</v>
      </c>
      <c r="G111" s="50">
        <f t="shared" si="26"/>
        <v>-0.14920396600011765</v>
      </c>
      <c r="H111" s="159">
        <f t="shared" si="27"/>
        <v>8.4705737775621036E-3</v>
      </c>
      <c r="I111" s="158">
        <f t="shared" si="28"/>
        <v>1.104527437619615E-2</v>
      </c>
      <c r="J111" s="157">
        <v>564.33200000000011</v>
      </c>
      <c r="K111" s="156">
        <f>VLOOKUP($A111,[1]Notes!$A:$G,3,FALSE)</f>
        <v>9129184.522286253</v>
      </c>
      <c r="L111" s="155">
        <f>VLOOKUP($A111,[1]Notes!$A:$G,5,FALSE)</f>
        <v>5477510.7133717509</v>
      </c>
      <c r="M111" s="155">
        <f>VLOOKUP($A111,[1]Notes!$A:$G,7,FALSE)</f>
        <v>5842678.0942632006</v>
      </c>
      <c r="N111" s="154">
        <f t="shared" si="29"/>
        <v>20449373.329921205</v>
      </c>
      <c r="O111" s="45">
        <f t="shared" si="38"/>
        <v>11435274.59970884</v>
      </c>
      <c r="P111" s="45">
        <f t="shared" si="30"/>
        <v>6861164.7598253042</v>
      </c>
      <c r="Q111" s="45">
        <f t="shared" si="31"/>
        <v>7318575.7438136572</v>
      </c>
      <c r="R111" s="45">
        <f t="shared" si="32"/>
        <v>25615015.103347801</v>
      </c>
      <c r="S111" s="153">
        <f>N111/R111-1</f>
        <v>-0.2016645999459693</v>
      </c>
      <c r="T111">
        <f>VLOOKUP($A111,'[2]All month (2)'!$E:$Y,8,FALSE)</f>
        <v>15439727</v>
      </c>
      <c r="U111">
        <f>VLOOKUP($A111,'[2]All month (2)'!$E:$Y,14,FALSE)</f>
        <v>8384489</v>
      </c>
      <c r="V111">
        <f>VLOOKUP($A111,'[2]All month (2)'!$E:$Y,20,FALSE)</f>
        <v>13121476</v>
      </c>
      <c r="W111">
        <f t="shared" si="42"/>
        <v>36945692</v>
      </c>
      <c r="X111" s="152">
        <f t="shared" si="33"/>
        <v>-0.30668465748732487</v>
      </c>
    </row>
    <row r="112" spans="1:24" ht="16.2" thickBot="1" x14ac:dyDescent="0.35">
      <c r="A112" s="84" t="s">
        <v>227</v>
      </c>
      <c r="B112" s="42">
        <f>SUM(B106:B111)</f>
        <v>1324.1935800000001</v>
      </c>
      <c r="C112" s="40">
        <f>SUM(C106:C111)</f>
        <v>2.657027150999542</v>
      </c>
      <c r="D112" s="41">
        <f t="shared" si="25"/>
        <v>-0.99799347528100879</v>
      </c>
      <c r="E112" s="40">
        <f>SUM(E106:E111)</f>
        <v>40481508.060000002</v>
      </c>
      <c r="F112" s="40">
        <f>SUM(F106:F111)</f>
        <v>30679875.574947141</v>
      </c>
      <c r="G112" s="151">
        <f t="shared" si="26"/>
        <v>-0.24212616957167926</v>
      </c>
      <c r="H112" s="150">
        <f t="shared" si="27"/>
        <v>1.7189716386479516E-2</v>
      </c>
      <c r="I112" s="150">
        <f t="shared" si="28"/>
        <v>2.5162914171188152E-2</v>
      </c>
      <c r="J112" s="42">
        <f>SUM(J106:J111)</f>
        <v>1298.229</v>
      </c>
      <c r="K112" s="149">
        <f>SUM(K106:K111)</f>
        <v>35880000</v>
      </c>
      <c r="L112" s="149">
        <f>SUM(L106:L111)</f>
        <v>21527999.999999996</v>
      </c>
      <c r="M112" s="149">
        <f>SUM(M106:M111)</f>
        <v>22963199.999999993</v>
      </c>
      <c r="N112" s="36">
        <f t="shared" si="29"/>
        <v>80371200</v>
      </c>
      <c r="O112" s="36">
        <f t="shared" si="38"/>
        <v>23206117.121747345</v>
      </c>
      <c r="P112" s="36">
        <f t="shared" si="30"/>
        <v>13923670.273048408</v>
      </c>
      <c r="Q112" s="36">
        <f t="shared" si="31"/>
        <v>14851914.957918301</v>
      </c>
      <c r="R112" s="148">
        <f t="shared" si="32"/>
        <v>51981702.352714054</v>
      </c>
      <c r="S112" s="41"/>
      <c r="T112" s="42">
        <f>SUM(T106:T111)</f>
        <v>30307502</v>
      </c>
      <c r="U112" s="42">
        <f>SUM(U106:U111)</f>
        <v>32348756</v>
      </c>
      <c r="V112" s="42">
        <f>SUM(V106:V111)</f>
        <v>20574388</v>
      </c>
      <c r="W112" s="147">
        <f>SUM(W106:W111)</f>
        <v>83230646</v>
      </c>
      <c r="X112" s="146">
        <f t="shared" si="33"/>
        <v>-0.3754499712435963</v>
      </c>
    </row>
    <row r="113" spans="1:24" ht="16.2" customHeight="1" thickBot="1" x14ac:dyDescent="0.35">
      <c r="A113" s="35" t="s">
        <v>226</v>
      </c>
      <c r="B113" s="34">
        <f>B112+B105+B97</f>
        <v>4696.9632179999999</v>
      </c>
      <c r="C113" s="32">
        <f>C112+C105+C97</f>
        <v>4.3491615912243091</v>
      </c>
      <c r="D113" s="33">
        <f t="shared" si="25"/>
        <v>-0.99907404819042289</v>
      </c>
      <c r="E113" s="32">
        <f>E112+E105+E97</f>
        <v>148014696.96000001</v>
      </c>
      <c r="F113" s="32">
        <f>F112+F105+F97</f>
        <v>109123233.99607259</v>
      </c>
      <c r="G113" s="145">
        <f t="shared" si="26"/>
        <v>-0.26275406268904217</v>
      </c>
      <c r="H113" s="144">
        <f t="shared" si="27"/>
        <v>6.114097298033646E-2</v>
      </c>
      <c r="I113" s="144">
        <f t="shared" si="28"/>
        <v>9.2004505122650904E-2</v>
      </c>
      <c r="J113" s="34">
        <f>J112+J105+J97</f>
        <v>4604.8659000000007</v>
      </c>
      <c r="K113" s="34">
        <f>K112+K105+K97</f>
        <v>118680000</v>
      </c>
      <c r="L113" s="34">
        <f>L112+L105+L97</f>
        <v>71208000</v>
      </c>
      <c r="M113" s="34">
        <f>M112+M105+M97</f>
        <v>75955200</v>
      </c>
      <c r="N113" s="28">
        <f t="shared" si="29"/>
        <v>265843200</v>
      </c>
      <c r="O113" s="28">
        <f t="shared" si="38"/>
        <v>82540313.523454219</v>
      </c>
      <c r="P113" s="28">
        <f t="shared" si="30"/>
        <v>49524188.114072531</v>
      </c>
      <c r="Q113" s="28">
        <f t="shared" si="31"/>
        <v>52825800.6550107</v>
      </c>
      <c r="R113" s="143">
        <f t="shared" si="32"/>
        <v>184890302.29253745</v>
      </c>
      <c r="S113" s="142"/>
      <c r="T113" s="34">
        <f>T112+T105+T97</f>
        <v>101186871</v>
      </c>
      <c r="U113" s="34">
        <f>U112+U105+U97</f>
        <v>84503134</v>
      </c>
      <c r="V113" s="34">
        <f>V112+V105+V97</f>
        <v>75683120</v>
      </c>
      <c r="W113" s="141">
        <f>W112+W105+W97</f>
        <v>261373125</v>
      </c>
      <c r="X113" s="140">
        <f t="shared" si="33"/>
        <v>-0.29261930700588495</v>
      </c>
    </row>
    <row r="114" spans="1:24" ht="16.2" customHeight="1" thickBot="1" x14ac:dyDescent="0.35">
      <c r="A114" s="83" t="s">
        <v>225</v>
      </c>
      <c r="B114" s="26">
        <f>B113+B90+B63+B37</f>
        <v>21970.440705000001</v>
      </c>
      <c r="C114" s="24">
        <f>C113+C90+C63+C37</f>
        <v>34.176859778072711</v>
      </c>
      <c r="D114" s="25">
        <f t="shared" si="25"/>
        <v>-0.99844441628472691</v>
      </c>
      <c r="E114" s="24">
        <f>E113+E90+E63+E37</f>
        <v>676178293.66500008</v>
      </c>
      <c r="F114" s="24">
        <f>F113+F90+F63+F37</f>
        <v>614201944.55710042</v>
      </c>
      <c r="G114" s="139">
        <f t="shared" si="26"/>
        <v>-9.1656815500505681E-2</v>
      </c>
      <c r="H114" s="138">
        <f t="shared" si="27"/>
        <v>0.34413298727920161</v>
      </c>
      <c r="I114" s="138">
        <f t="shared" si="28"/>
        <v>0.42030589232729421</v>
      </c>
      <c r="J114" s="26">
        <f>J113+J90+J63+J37</f>
        <v>21539.64775</v>
      </c>
      <c r="K114" s="168">
        <f>K113+K90+K63+K37</f>
        <v>565672052.98013246</v>
      </c>
      <c r="L114" s="168">
        <f>L113+L90+L63+L37</f>
        <v>339403231.7880795</v>
      </c>
      <c r="M114" s="168">
        <f>M113+M90+M63+M37</f>
        <v>362030113.9072848</v>
      </c>
      <c r="N114" s="20">
        <f t="shared" si="29"/>
        <v>1267105398.6754968</v>
      </c>
      <c r="O114" s="20">
        <f t="shared" si="38"/>
        <v>464579532.82692218</v>
      </c>
      <c r="P114" s="20">
        <f t="shared" si="30"/>
        <v>278747719.69615328</v>
      </c>
      <c r="Q114" s="20">
        <f t="shared" si="31"/>
        <v>297330901.0092302</v>
      </c>
      <c r="R114" s="137">
        <f t="shared" si="32"/>
        <v>1040658153.5323057</v>
      </c>
      <c r="S114" s="136"/>
      <c r="T114" s="26">
        <f>T113+T90+T63+T37</f>
        <v>557767272.50999999</v>
      </c>
      <c r="U114" s="26">
        <f>U113+U90+U63+U37</f>
        <v>331234301</v>
      </c>
      <c r="V114" s="26">
        <f>V113+V90+V63+V37</f>
        <v>369648164</v>
      </c>
      <c r="W114" s="135">
        <f>W113+W90+W63+W37</f>
        <v>1258649737.51</v>
      </c>
      <c r="X114" s="134">
        <f t="shared" si="33"/>
        <v>-0.17319479556635772</v>
      </c>
    </row>
    <row r="115" spans="1:24" ht="15" customHeight="1" x14ac:dyDescent="0.3">
      <c r="A115" s="73" t="s">
        <v>224</v>
      </c>
      <c r="B115" s="189">
        <f>VLOOKUP($A115,'Growth Analysis'!A:G,2,FALSE)</f>
        <v>1766.7252209999999</v>
      </c>
      <c r="C115" s="189">
        <f>VLOOKUP(A115,'Growth Analysis'!A:G,4,FALSE)</f>
        <v>-0.83482078461820974</v>
      </c>
      <c r="D115" s="50">
        <f t="shared" si="25"/>
        <v>-1.000472524405434</v>
      </c>
      <c r="E115" s="49">
        <f>VLOOKUP($A115,'Growth Analysis'!$A:$G,5,FALSE)</f>
        <v>27833386.68</v>
      </c>
      <c r="F115" s="49">
        <f>VLOOKUP($A115,'Growth Analysis'!$A:$G,6,FALSE)</f>
        <v>17970399.127151985</v>
      </c>
      <c r="G115" s="50">
        <f t="shared" si="26"/>
        <v>-0.35435815505466961</v>
      </c>
      <c r="H115" s="159">
        <f t="shared" si="27"/>
        <v>1.0068686999494583E-2</v>
      </c>
      <c r="I115" s="158">
        <f t="shared" si="28"/>
        <v>1.730096416082804E-2</v>
      </c>
      <c r="J115" s="157">
        <v>1732.0835499999998</v>
      </c>
      <c r="K115" s="164">
        <f>VLOOKUP($A115,[1]Notes!$A:$G,3,FALSE)</f>
        <v>15549502.579948386</v>
      </c>
      <c r="L115" s="163">
        <f>VLOOKUP($A115,[1]Notes!$A:$G,5,FALSE)</f>
        <v>9329701.5479690321</v>
      </c>
      <c r="M115" s="163">
        <f>VLOOKUP($A115,[1]Notes!$A:$G,7,FALSE)</f>
        <v>9951681.651166968</v>
      </c>
      <c r="N115" s="154">
        <f t="shared" si="29"/>
        <v>34830885.779084384</v>
      </c>
      <c r="O115" s="45">
        <f t="shared" si="38"/>
        <v>13592727.449317686</v>
      </c>
      <c r="P115" s="45">
        <f t="shared" si="30"/>
        <v>8155636.4695906118</v>
      </c>
      <c r="Q115" s="45">
        <f t="shared" si="31"/>
        <v>8699345.5675633196</v>
      </c>
      <c r="R115" s="45">
        <f t="shared" si="32"/>
        <v>30447709.486471616</v>
      </c>
      <c r="S115" s="153">
        <f>R115/N115-1</f>
        <v>-0.1258416544561386</v>
      </c>
      <c r="T115">
        <f>VLOOKUP($A115,'[2]All month (2)'!$E:$Y,8,FALSE)</f>
        <v>18162910</v>
      </c>
      <c r="U115">
        <f>VLOOKUP($A115,'[2]All month (2)'!$E:$Y,14,FALSE)</f>
        <v>7381952.7999999998</v>
      </c>
      <c r="V115">
        <f>VLOOKUP($A115,'[2]All month (2)'!$E:$Y,20,FALSE)</f>
        <v>7549381.2000000002</v>
      </c>
      <c r="W115">
        <f>SUM(T115:V115)</f>
        <v>33094244</v>
      </c>
      <c r="X115" s="152">
        <f t="shared" si="33"/>
        <v>-7.9969631985803466E-2</v>
      </c>
    </row>
    <row r="116" spans="1:24" ht="15" customHeight="1" x14ac:dyDescent="0.3">
      <c r="A116" s="71" t="s">
        <v>223</v>
      </c>
      <c r="B116" s="189">
        <f>VLOOKUP($A116,'Growth Analysis'!A:G,2,FALSE)</f>
        <v>0</v>
      </c>
      <c r="C116" s="189">
        <f>VLOOKUP(A116,'Growth Analysis'!A:G,4,FALSE)</f>
        <v>1</v>
      </c>
      <c r="D116" s="50">
        <f t="shared" si="25"/>
        <v>1</v>
      </c>
      <c r="E116" s="49">
        <f>VLOOKUP($A116,'Growth Analysis'!$A:$G,5,FALSE)</f>
        <v>0</v>
      </c>
      <c r="F116" s="49">
        <f>VLOOKUP($A116,'Growth Analysis'!$A:$G,6,FALSE)</f>
        <v>15308392.488575991</v>
      </c>
      <c r="G116" s="50">
        <f t="shared" si="26"/>
        <v>1</v>
      </c>
      <c r="H116" s="159">
        <f t="shared" si="27"/>
        <v>8.5771835863121173E-3</v>
      </c>
      <c r="I116" s="158">
        <f t="shared" si="28"/>
        <v>0</v>
      </c>
      <c r="J116" s="157">
        <v>0</v>
      </c>
      <c r="K116" s="162">
        <f>VLOOKUP($A116,[1]Notes!$A:$G,3,FALSE)</f>
        <v>15566400</v>
      </c>
      <c r="L116" s="161">
        <f>VLOOKUP($A116,[1]Notes!$A:$G,5,FALSE)</f>
        <v>9339840</v>
      </c>
      <c r="M116" s="161">
        <f>VLOOKUP($A116,[1]Notes!$A:$G,7,FALSE)</f>
        <v>9962496.0000000019</v>
      </c>
      <c r="N116" s="154">
        <f t="shared" si="29"/>
        <v>34868736</v>
      </c>
      <c r="O116" s="45">
        <f t="shared" si="38"/>
        <v>11579197.841521358</v>
      </c>
      <c r="P116" s="45">
        <f t="shared" si="30"/>
        <v>6947518.7049128152</v>
      </c>
      <c r="Q116" s="45">
        <f t="shared" si="31"/>
        <v>7410686.6185736693</v>
      </c>
      <c r="R116" s="45">
        <f t="shared" si="32"/>
        <v>25937403.165007841</v>
      </c>
      <c r="S116" s="153">
        <f>R116/N116-1</f>
        <v>-0.25614157149235806</v>
      </c>
      <c r="T116">
        <f>VLOOKUP($A116,'[2]All month (2)'!$E:$Y,8,FALSE)</f>
        <v>0</v>
      </c>
      <c r="U116">
        <f>VLOOKUP($A116,'[2]All month (2)'!$E:$Y,14,FALSE)</f>
        <v>6274659.8799999999</v>
      </c>
      <c r="V116">
        <f>VLOOKUP($A116,'[2]All month (2)'!$E:$Y,20,FALSE)</f>
        <v>16416711.02</v>
      </c>
      <c r="W116">
        <f>SUM(T116:V116)</f>
        <v>22691370.899999999</v>
      </c>
      <c r="X116" s="152">
        <f t="shared" si="33"/>
        <v>0.14305139514544898</v>
      </c>
    </row>
    <row r="117" spans="1:24" ht="15" customHeight="1" x14ac:dyDescent="0.3">
      <c r="A117" s="70" t="s">
        <v>222</v>
      </c>
      <c r="B117" s="189">
        <f>VLOOKUP($A117,'Growth Analysis'!A:G,2,FALSE)</f>
        <v>0</v>
      </c>
      <c r="C117" s="189">
        <f>VLOOKUP(A117,'Growth Analysis'!A:G,4,FALSE)</f>
        <v>1</v>
      </c>
      <c r="D117" s="50">
        <f t="shared" si="25"/>
        <v>1</v>
      </c>
      <c r="E117" s="49">
        <f>VLOOKUP($A117,'Growth Analysis'!$A:$G,5,FALSE)</f>
        <v>0</v>
      </c>
      <c r="F117" s="49">
        <f>VLOOKUP($A117,'Growth Analysis'!$A:$G,6,FALSE)</f>
        <v>13601116.200000001</v>
      </c>
      <c r="G117" s="50">
        <f t="shared" si="26"/>
        <v>1</v>
      </c>
      <c r="H117" s="159">
        <f t="shared" si="27"/>
        <v>7.6206088074382569E-3</v>
      </c>
      <c r="I117" s="158">
        <f t="shared" si="28"/>
        <v>0</v>
      </c>
      <c r="J117" s="157">
        <v>0</v>
      </c>
      <c r="K117" s="162">
        <f>VLOOKUP($A117,[1]Notes!$A:$G,3,FALSE)</f>
        <v>15549502.579948386</v>
      </c>
      <c r="L117" s="161">
        <f>VLOOKUP($A117,[1]Notes!$A:$G,5,FALSE)</f>
        <v>9329701.5479690321</v>
      </c>
      <c r="M117" s="161">
        <f>VLOOKUP($A117,[1]Notes!$A:$G,7,FALSE)</f>
        <v>9951681.651166968</v>
      </c>
      <c r="N117" s="154">
        <f t="shared" si="29"/>
        <v>34830885.779084384</v>
      </c>
      <c r="O117" s="45">
        <f t="shared" si="38"/>
        <v>10287821.890041647</v>
      </c>
      <c r="P117" s="45">
        <f t="shared" si="30"/>
        <v>6172693.1340249879</v>
      </c>
      <c r="Q117" s="45">
        <f t="shared" si="31"/>
        <v>6584206.009626654</v>
      </c>
      <c r="R117" s="45">
        <f t="shared" si="32"/>
        <v>23044721.033693288</v>
      </c>
      <c r="S117" s="153">
        <f>R117/N117-1</f>
        <v>-0.33838257287354367</v>
      </c>
      <c r="T117">
        <f>VLOOKUP($A117,'[2]All month (2)'!$E:$Y,8,FALSE)</f>
        <v>0</v>
      </c>
      <c r="U117">
        <f>VLOOKUP($A117,'[2]All month (2)'!$E:$Y,14,FALSE)</f>
        <v>4798269.32</v>
      </c>
      <c r="V117">
        <f>VLOOKUP($A117,'[2]All month (2)'!$E:$Y,20,FALSE)</f>
        <v>4907097.78</v>
      </c>
      <c r="W117">
        <f>SUM(T117:V117)</f>
        <v>9705367.1000000015</v>
      </c>
      <c r="X117" s="152">
        <f t="shared" si="33"/>
        <v>1.3744306419582299</v>
      </c>
    </row>
    <row r="118" spans="1:24" ht="15" customHeight="1" x14ac:dyDescent="0.3">
      <c r="A118" s="71" t="s">
        <v>221</v>
      </c>
      <c r="B118" s="189">
        <f>VLOOKUP($A118,'Growth Analysis'!A:G,2,FALSE)</f>
        <v>792.14474999999993</v>
      </c>
      <c r="C118" s="189">
        <f>VLOOKUP(A118,'Growth Analysis'!A:G,4,FALSE)</f>
        <v>-0.69591114502747131</v>
      </c>
      <c r="D118" s="50">
        <f t="shared" si="25"/>
        <v>-1.0008785151262158</v>
      </c>
      <c r="E118" s="49">
        <f>VLOOKUP($A118,'Growth Analysis'!$A:$G,5,FALSE)</f>
        <v>22918890</v>
      </c>
      <c r="F118" s="49">
        <f>VLOOKUP($A118,'Growth Analysis'!$A:$G,6,FALSE)</f>
        <v>12368995.844327178</v>
      </c>
      <c r="G118" s="50">
        <f t="shared" si="26"/>
        <v>-0.46031435883992733</v>
      </c>
      <c r="H118" s="159">
        <f t="shared" si="27"/>
        <v>6.9302605230625765E-3</v>
      </c>
      <c r="I118" s="158">
        <f t="shared" si="28"/>
        <v>1.4246160521345518E-2</v>
      </c>
      <c r="J118" s="157">
        <v>776.61249999999995</v>
      </c>
      <c r="K118" s="162">
        <f>VLOOKUP($A118,[1]Notes!$A:$G,3,FALSE)</f>
        <v>11752531.019728437</v>
      </c>
      <c r="L118" s="161">
        <f>VLOOKUP($A118,[1]Notes!$A:$G,5,FALSE)</f>
        <v>7051518.6118370621</v>
      </c>
      <c r="M118" s="161">
        <f>VLOOKUP($A118,[1]Notes!$A:$G,7,FALSE)</f>
        <v>7521619.8526261998</v>
      </c>
      <c r="N118" s="154">
        <f t="shared" si="29"/>
        <v>26325669.484191701</v>
      </c>
      <c r="O118" s="45">
        <f t="shared" si="38"/>
        <v>9355851.7061344776</v>
      </c>
      <c r="P118" s="45">
        <f t="shared" si="30"/>
        <v>5613511.023680687</v>
      </c>
      <c r="Q118" s="45">
        <f t="shared" si="31"/>
        <v>5987745.0919260662</v>
      </c>
      <c r="R118" s="45">
        <f t="shared" si="32"/>
        <v>20957107.821741231</v>
      </c>
      <c r="S118" s="153">
        <f>R118/N118-1</f>
        <v>-0.20392878007050252</v>
      </c>
      <c r="T118">
        <f>VLOOKUP($A118,'[2]All month (2)'!$E:$Y,8,FALSE)</f>
        <v>6970000</v>
      </c>
      <c r="U118">
        <f>VLOOKUP($A118,'[2]All month (2)'!$E:$Y,14,FALSE)</f>
        <v>9809000</v>
      </c>
      <c r="V118">
        <f>VLOOKUP($A118,'[2]All month (2)'!$E:$Y,20,FALSE)</f>
        <v>10400000</v>
      </c>
      <c r="W118">
        <f>SUM(T118:V118)</f>
        <v>27179000</v>
      </c>
      <c r="X118" s="152">
        <f t="shared" si="33"/>
        <v>-0.22892277781591558</v>
      </c>
    </row>
    <row r="119" spans="1:24" ht="15" customHeight="1" x14ac:dyDescent="0.3">
      <c r="A119" s="173" t="s">
        <v>220</v>
      </c>
      <c r="B119" s="189">
        <f>VLOOKUP($A119,'Growth Analysis'!A:G,2,FALSE)</f>
        <v>0</v>
      </c>
      <c r="C119" s="189">
        <f>VLOOKUP(A119,'Growth Analysis'!A:G,4,FALSE)</f>
        <v>1</v>
      </c>
      <c r="D119" s="50">
        <f t="shared" si="25"/>
        <v>1</v>
      </c>
      <c r="E119" s="49">
        <f>VLOOKUP($A119,'Growth Analysis'!$A:$G,5,FALSE)</f>
        <v>0</v>
      </c>
      <c r="F119" s="49">
        <f>VLOOKUP($A119,'Growth Analysis'!$A:$G,6,FALSE)</f>
        <v>7327164.5556728235</v>
      </c>
      <c r="G119" s="50">
        <f t="shared" si="26"/>
        <v>1</v>
      </c>
      <c r="H119" s="159">
        <f t="shared" si="27"/>
        <v>4.105358260707289E-3</v>
      </c>
      <c r="I119" s="158">
        <f t="shared" si="28"/>
        <v>0</v>
      </c>
      <c r="J119" s="157">
        <v>0</v>
      </c>
      <c r="K119" s="162">
        <f>VLOOKUP($A119,[1]Notes!$A:$G,3,FALSE)</f>
        <v>11752531.019728437</v>
      </c>
      <c r="L119" s="161">
        <f>VLOOKUP($A119,[1]Notes!$A:$G,5,FALSE)</f>
        <v>7051518.6118370621</v>
      </c>
      <c r="M119" s="161">
        <f>VLOOKUP($A119,[1]Notes!$A:$G,7,FALSE)</f>
        <v>7521619.8526261998</v>
      </c>
      <c r="N119" s="154">
        <f t="shared" si="29"/>
        <v>26325669.484191701</v>
      </c>
      <c r="O119" s="45">
        <f t="shared" si="38"/>
        <v>5542233.6519548399</v>
      </c>
      <c r="P119" s="45">
        <f t="shared" si="30"/>
        <v>3325340.1911729039</v>
      </c>
      <c r="Q119" s="45">
        <f t="shared" si="31"/>
        <v>3547029.5372510976</v>
      </c>
      <c r="R119" s="45">
        <f t="shared" si="32"/>
        <v>12414603.380378842</v>
      </c>
      <c r="S119" s="153">
        <f>R119/N119-1</f>
        <v>-0.52842212093281482</v>
      </c>
      <c r="X119" s="152">
        <f t="shared" si="33"/>
        <v>1</v>
      </c>
    </row>
    <row r="120" spans="1:24" ht="15" customHeight="1" x14ac:dyDescent="0.3">
      <c r="A120" s="179" t="s">
        <v>219</v>
      </c>
      <c r="B120" s="189">
        <f>VLOOKUP($A120,'Growth Analysis'!A:G,2,FALSE)</f>
        <v>639.98548499999993</v>
      </c>
      <c r="C120" s="189">
        <f>VLOOKUP(A120,'Growth Analysis'!A:G,4,FALSE)</f>
        <v>-0.64462050651039382</v>
      </c>
      <c r="D120" s="50">
        <f t="shared" si="25"/>
        <v>-1.0010072423853649</v>
      </c>
      <c r="E120" s="49">
        <f>VLOOKUP($A120,'Growth Analysis'!$A:$G,5,FALSE)</f>
        <v>17119210.800000001</v>
      </c>
      <c r="F120" s="49">
        <f>VLOOKUP($A120,'Growth Analysis'!$A:$G,6,FALSE)</f>
        <v>10712839.200000001</v>
      </c>
      <c r="G120" s="50">
        <f t="shared" si="26"/>
        <v>-0.37422119949594868</v>
      </c>
      <c r="H120" s="159">
        <f t="shared" si="27"/>
        <v>6.0023277177934714E-3</v>
      </c>
      <c r="I120" s="158">
        <f t="shared" si="28"/>
        <v>1.0641135982394951E-2</v>
      </c>
      <c r="J120" s="157">
        <v>627.43674999999996</v>
      </c>
      <c r="K120" s="162">
        <f>VLOOKUP($A120,[1]Notes!$A:$G,3,FALSE)</f>
        <v>7955559.4595084786</v>
      </c>
      <c r="L120" s="161">
        <f>VLOOKUP($A120,[1]Notes!$A:$G,5,FALSE)</f>
        <v>4773335.6757050874</v>
      </c>
      <c r="M120" s="161">
        <f>VLOOKUP($A120,[1]Notes!$A:$G,7,FALSE)</f>
        <v>5091558.054085426</v>
      </c>
      <c r="N120" s="154">
        <f t="shared" si="29"/>
        <v>17820453.189298991</v>
      </c>
      <c r="O120" s="45">
        <f t="shared" si="38"/>
        <v>8103142.4190211864</v>
      </c>
      <c r="P120" s="45">
        <f t="shared" si="30"/>
        <v>4861885.4514127122</v>
      </c>
      <c r="Q120" s="45">
        <f t="shared" si="31"/>
        <v>5186011.1481735595</v>
      </c>
      <c r="R120" s="45">
        <f t="shared" si="32"/>
        <v>18151039.01860746</v>
      </c>
      <c r="S120" s="153">
        <f>N120/R120-1</f>
        <v>-1.821305265057116E-2</v>
      </c>
      <c r="T120">
        <f>VLOOKUP($A120,'[2]All month (2)'!$E:$Y,8,FALSE)</f>
        <v>6122000</v>
      </c>
      <c r="U120">
        <f>VLOOKUP($A120,'[2]All month (2)'!$E:$Y,14,FALSE)</f>
        <v>5717610</v>
      </c>
      <c r="V120">
        <f>VLOOKUP($A120,'[2]All month (2)'!$E:$Y,20,FALSE)</f>
        <v>8771540</v>
      </c>
      <c r="W120">
        <f>SUM(T120:V120)</f>
        <v>20611150</v>
      </c>
      <c r="X120" s="152">
        <f t="shared" si="33"/>
        <v>-0.11935825906815195</v>
      </c>
    </row>
    <row r="121" spans="1:24" ht="15" customHeight="1" x14ac:dyDescent="0.3">
      <c r="A121" s="179" t="s">
        <v>218</v>
      </c>
      <c r="B121" s="189">
        <f>VLOOKUP($A121,'Growth Analysis'!A:G,2,FALSE)</f>
        <v>0</v>
      </c>
      <c r="C121" s="189">
        <f>VLOOKUP(A121,'Growth Analysis'!A:G,4,FALSE)</f>
        <v>1</v>
      </c>
      <c r="D121" s="50">
        <f t="shared" si="25"/>
        <v>1</v>
      </c>
      <c r="E121" s="49">
        <f>VLOOKUP($A121,'Growth Analysis'!$A:$G,5,FALSE)</f>
        <v>0</v>
      </c>
      <c r="F121" s="49">
        <f>VLOOKUP($A121,'Growth Analysis'!$A:$G,6,FALSE)</f>
        <v>10722104.4</v>
      </c>
      <c r="G121" s="50">
        <f t="shared" si="26"/>
        <v>1</v>
      </c>
      <c r="H121" s="159">
        <f t="shared" si="27"/>
        <v>6.0075189435490946E-3</v>
      </c>
      <c r="I121" s="158">
        <f t="shared" si="28"/>
        <v>0</v>
      </c>
      <c r="J121" s="157">
        <v>0</v>
      </c>
      <c r="K121" s="162">
        <f>VLOOKUP($A121,[1]Notes!$A:$G,3,FALSE)</f>
        <v>7955559.4595084786</v>
      </c>
      <c r="L121" s="161">
        <f>VLOOKUP($A121,[1]Notes!$A:$G,5,FALSE)</f>
        <v>4773335.6757050874</v>
      </c>
      <c r="M121" s="161">
        <f>VLOOKUP($A121,[1]Notes!$A:$G,7,FALSE)</f>
        <v>5091558.054085426</v>
      </c>
      <c r="N121" s="154">
        <f t="shared" si="29"/>
        <v>17820453.189298991</v>
      </c>
      <c r="O121" s="45">
        <f t="shared" si="38"/>
        <v>8110150.5737912776</v>
      </c>
      <c r="P121" s="45">
        <f t="shared" si="30"/>
        <v>4866090.3442747667</v>
      </c>
      <c r="Q121" s="45">
        <f t="shared" si="31"/>
        <v>5190496.3672264181</v>
      </c>
      <c r="R121" s="45">
        <f t="shared" si="32"/>
        <v>18166737.285292462</v>
      </c>
      <c r="S121" s="153">
        <f>R121/N121-1</f>
        <v>1.9431834438498496E-2</v>
      </c>
      <c r="X121" s="152">
        <f t="shared" si="33"/>
        <v>1</v>
      </c>
    </row>
    <row r="122" spans="1:24" ht="15" customHeight="1" x14ac:dyDescent="0.3">
      <c r="A122" s="70" t="s">
        <v>217</v>
      </c>
      <c r="B122" s="189">
        <f>VLOOKUP($A122,'Growth Analysis'!A:G,2,FALSE)</f>
        <v>171.53187</v>
      </c>
      <c r="C122" s="189">
        <f>VLOOKUP(A122,'Growth Analysis'!A:G,4,FALSE)</f>
        <v>-0.48574862502227723</v>
      </c>
      <c r="D122" s="50">
        <f t="shared" si="25"/>
        <v>-1.0028318272576535</v>
      </c>
      <c r="E122" s="49">
        <f>VLOOKUP($A122,'Growth Analysis'!$A:$G,5,FALSE)</f>
        <v>5136460.92</v>
      </c>
      <c r="F122" s="49">
        <f>VLOOKUP($A122,'Growth Analysis'!$A:$G,6,FALSE)</f>
        <v>5896374.75</v>
      </c>
      <c r="G122" s="50">
        <f t="shared" si="26"/>
        <v>0.14794502320481007</v>
      </c>
      <c r="H122" s="159">
        <f t="shared" si="27"/>
        <v>3.3036968945097714E-3</v>
      </c>
      <c r="I122" s="158">
        <f t="shared" si="28"/>
        <v>3.1927744658636643E-3</v>
      </c>
      <c r="J122" s="157">
        <v>168.16849999999999</v>
      </c>
      <c r="K122" s="162">
        <f>VLOOKUP($A122,[1]Notes!$A:$G,3,FALSE)</f>
        <v>3616163.3906856729</v>
      </c>
      <c r="L122" s="161">
        <f>VLOOKUP($A122,[1]Notes!$A:$G,5,FALSE)</f>
        <v>2169698.0344114034</v>
      </c>
      <c r="M122" s="161">
        <f>VLOOKUP($A122,[1]Notes!$A:$G,7,FALSE)</f>
        <v>2314344.5700388304</v>
      </c>
      <c r="N122" s="154">
        <f t="shared" si="29"/>
        <v>8100205.9951359071</v>
      </c>
      <c r="O122" s="45">
        <f t="shared" si="38"/>
        <v>4459990.8075881917</v>
      </c>
      <c r="P122" s="45">
        <f t="shared" si="30"/>
        <v>2675994.4845529147</v>
      </c>
      <c r="Q122" s="45">
        <f t="shared" si="31"/>
        <v>2854394.1168564423</v>
      </c>
      <c r="R122" s="45">
        <f t="shared" si="32"/>
        <v>9990379.4089975487</v>
      </c>
      <c r="S122" s="153">
        <f>R122/N122-1</f>
        <v>0.23334880804224878</v>
      </c>
      <c r="T122">
        <f>VLOOKUP($A122,'[2]All month (2)'!$E:$Y,8,FALSE)</f>
        <v>817700</v>
      </c>
      <c r="U122">
        <f>VLOOKUP($A122,'[2]All month (2)'!$E:$Y,14,FALSE)</f>
        <v>3084732.5</v>
      </c>
      <c r="V122">
        <f>VLOOKUP($A122,'[2]All month (2)'!$E:$Y,20,FALSE)</f>
        <v>2093732</v>
      </c>
      <c r="W122">
        <f>SUM(T122:V122)</f>
        <v>5996164.5</v>
      </c>
      <c r="X122" s="152">
        <f t="shared" si="33"/>
        <v>0.66612830735340045</v>
      </c>
    </row>
    <row r="123" spans="1:24" ht="15" customHeight="1" x14ac:dyDescent="0.3">
      <c r="A123" s="70" t="s">
        <v>216</v>
      </c>
      <c r="B123" s="189">
        <f>VLOOKUP($A123,'Growth Analysis'!A:G,2,FALSE)</f>
        <v>661.82490900000005</v>
      </c>
      <c r="C123" s="189">
        <f>VLOOKUP(A123,'Growth Analysis'!A:G,4,FALSE)</f>
        <v>-0.56901584524676763</v>
      </c>
      <c r="D123" s="50">
        <f t="shared" si="25"/>
        <v>-1.0008597679499651</v>
      </c>
      <c r="E123" s="49">
        <f>VLOOKUP($A123,'Growth Analysis'!$A:$G,5,FALSE)</f>
        <v>19088994</v>
      </c>
      <c r="F123" s="49">
        <f>VLOOKUP($A123,'Growth Analysis'!$A:$G,6,FALSE)</f>
        <v>10599806.111037679</v>
      </c>
      <c r="G123" s="50">
        <f t="shared" si="26"/>
        <v>-0.44471635796848807</v>
      </c>
      <c r="H123" s="159">
        <f t="shared" si="27"/>
        <v>5.93899608084457E-3</v>
      </c>
      <c r="I123" s="158">
        <f t="shared" si="28"/>
        <v>1.186553418228376E-2</v>
      </c>
      <c r="J123" s="157">
        <v>648.84795000000008</v>
      </c>
      <c r="K123" s="162">
        <f>VLOOKUP($A123,[1]Notes!$A:$G,3,FALSE)</f>
        <v>6881973.9554976681</v>
      </c>
      <c r="L123" s="161">
        <f>VLOOKUP($A123,[1]Notes!$A:$G,5,FALSE)</f>
        <v>4129184.3732986008</v>
      </c>
      <c r="M123" s="161">
        <f>VLOOKUP($A123,[1]Notes!$A:$G,7,FALSE)</f>
        <v>4404463.3315185076</v>
      </c>
      <c r="N123" s="154">
        <f t="shared" si="29"/>
        <v>15415621.660314776</v>
      </c>
      <c r="O123" s="45">
        <f t="shared" si="38"/>
        <v>8017644.7091401694</v>
      </c>
      <c r="P123" s="45">
        <f t="shared" si="30"/>
        <v>4810586.8254841017</v>
      </c>
      <c r="Q123" s="45">
        <f t="shared" si="31"/>
        <v>5131292.6138497088</v>
      </c>
      <c r="R123" s="45">
        <f t="shared" si="32"/>
        <v>17959524.148473978</v>
      </c>
      <c r="S123" s="153">
        <f>R123/N123-1</f>
        <v>0.16502107694483059</v>
      </c>
      <c r="T123">
        <f>VLOOKUP($A123,'[2]All month (2)'!$E:$Y,8,FALSE)</f>
        <v>6990904</v>
      </c>
      <c r="U123">
        <f>VLOOKUP($A123,'[2]All month (2)'!$E:$Y,14,FALSE)</f>
        <v>3084732.5</v>
      </c>
      <c r="V123">
        <f>VLOOKUP($A123,'[2]All month (2)'!$E:$Y,20,FALSE)</f>
        <v>3675656</v>
      </c>
      <c r="W123">
        <f>SUM(T123:V123)</f>
        <v>13751292.5</v>
      </c>
      <c r="X123" s="152">
        <f t="shared" si="33"/>
        <v>0.30602444450032446</v>
      </c>
    </row>
    <row r="124" spans="1:24" ht="15" customHeight="1" thickBot="1" x14ac:dyDescent="0.35">
      <c r="A124" s="69" t="s">
        <v>215</v>
      </c>
      <c r="B124" s="189">
        <f>VLOOKUP($A124,'Growth Analysis'!A:G,2,FALSE)</f>
        <v>0</v>
      </c>
      <c r="C124" s="189">
        <f>VLOOKUP(A124,'Growth Analysis'!A:G,4,FALSE)</f>
        <v>1</v>
      </c>
      <c r="D124" s="50">
        <f t="shared" si="25"/>
        <v>1</v>
      </c>
      <c r="E124" s="49">
        <f>VLOOKUP($A124,'Growth Analysis'!$A:$G,5,FALSE)</f>
        <v>0</v>
      </c>
      <c r="F124" s="49">
        <f>VLOOKUP($A124,'Growth Analysis'!$A:$G,6,FALSE)</f>
        <v>9150656.0889623221</v>
      </c>
      <c r="G124" s="50">
        <f t="shared" si="26"/>
        <v>1</v>
      </c>
      <c r="H124" s="159">
        <f t="shared" si="27"/>
        <v>5.1270476157967669E-3</v>
      </c>
      <c r="I124" s="158">
        <f t="shared" si="28"/>
        <v>0</v>
      </c>
      <c r="J124" s="157">
        <v>0</v>
      </c>
      <c r="K124" s="156">
        <f>VLOOKUP($A124,[1]Notes!$A:$G,3,FALSE)</f>
        <v>6881973.9554976681</v>
      </c>
      <c r="L124" s="155">
        <f>VLOOKUP($A124,[1]Notes!$A:$G,5,FALSE)</f>
        <v>4129184.3732986008</v>
      </c>
      <c r="M124" s="155">
        <f>VLOOKUP($A124,[1]Notes!$A:$G,7,FALSE)</f>
        <v>4404463.3315185076</v>
      </c>
      <c r="N124" s="154">
        <f t="shared" si="29"/>
        <v>15415621.660314776</v>
      </c>
      <c r="O124" s="45">
        <f t="shared" si="38"/>
        <v>6921514.2813256355</v>
      </c>
      <c r="P124" s="45">
        <f t="shared" si="30"/>
        <v>4152908.5687953811</v>
      </c>
      <c r="Q124" s="45">
        <f t="shared" si="31"/>
        <v>4429769.140048407</v>
      </c>
      <c r="R124" s="45">
        <f t="shared" si="32"/>
        <v>15504191.990169425</v>
      </c>
      <c r="S124" s="153">
        <f>R124/N124-1</f>
        <v>5.7454919306083596E-3</v>
      </c>
      <c r="T124">
        <f>VLOOKUP($A124,'[2]All month (2)'!$E:$Y,8,FALSE)</f>
        <v>0</v>
      </c>
      <c r="U124">
        <f>VLOOKUP($A124,'[2]All month (2)'!$E:$Y,14,FALSE)</f>
        <v>2735517.5</v>
      </c>
      <c r="V124">
        <f>VLOOKUP($A124,'[2]All month (2)'!$E:$Y,20,FALSE)</f>
        <v>3259544</v>
      </c>
      <c r="W124">
        <f>SUM(T124:V124)</f>
        <v>5995061.5</v>
      </c>
      <c r="X124" s="152">
        <f t="shared" si="33"/>
        <v>1.5861606240685646</v>
      </c>
    </row>
    <row r="125" spans="1:24" ht="15" thickBot="1" x14ac:dyDescent="0.35">
      <c r="A125" s="68" t="s">
        <v>214</v>
      </c>
      <c r="B125" s="42">
        <f>SUM(B115:B124)</f>
        <v>4032.212235</v>
      </c>
      <c r="C125" s="40">
        <f>SUM(C115:C124)</f>
        <v>1.7698830935748804</v>
      </c>
      <c r="D125" s="41">
        <f t="shared" si="25"/>
        <v>-0.99956106400396982</v>
      </c>
      <c r="E125" s="40">
        <f>SUM(E115:E124)</f>
        <v>92096942.400000006</v>
      </c>
      <c r="F125" s="40">
        <f>SUM(F115:F124)</f>
        <v>113657848.765728</v>
      </c>
      <c r="G125" s="151">
        <f t="shared" si="26"/>
        <v>0.23411099004876398</v>
      </c>
      <c r="H125" s="150">
        <f t="shared" si="27"/>
        <v>6.36816854295085E-2</v>
      </c>
      <c r="I125" s="150">
        <f t="shared" si="28"/>
        <v>5.7246569312715934E-2</v>
      </c>
      <c r="J125" s="42">
        <f>SUM(J115:J124)</f>
        <v>3953.1492499999995</v>
      </c>
      <c r="K125" s="165">
        <f>SUM(K115:K124)</f>
        <v>103461697.42005162</v>
      </c>
      <c r="L125" s="165">
        <f>SUM(L115:L124)</f>
        <v>62077018.452030964</v>
      </c>
      <c r="M125" s="165">
        <f>SUM(M115:M124)</f>
        <v>66215486.348833032</v>
      </c>
      <c r="N125" s="36">
        <f t="shared" si="29"/>
        <v>231754202.22091562</v>
      </c>
      <c r="O125" s="36">
        <f t="shared" si="38"/>
        <v>85970275.329836473</v>
      </c>
      <c r="P125" s="36">
        <f t="shared" si="30"/>
        <v>51582165.197901882</v>
      </c>
      <c r="Q125" s="36">
        <f t="shared" si="31"/>
        <v>55020976.211095341</v>
      </c>
      <c r="R125" s="148">
        <f t="shared" si="32"/>
        <v>192573416.7388337</v>
      </c>
      <c r="S125" s="41"/>
      <c r="T125" s="42">
        <f>SUM(T115:T124)</f>
        <v>39063514</v>
      </c>
      <c r="U125" s="42">
        <f>SUM(U115:U124)</f>
        <v>42886474.5</v>
      </c>
      <c r="V125" s="42">
        <f>SUM(V115:V124)</f>
        <v>57073662</v>
      </c>
      <c r="W125" s="147">
        <f>SUM(W115:W124)</f>
        <v>139023650.5</v>
      </c>
      <c r="X125" s="146">
        <f t="shared" si="33"/>
        <v>0.38518457863997535</v>
      </c>
    </row>
    <row r="126" spans="1:24" ht="15" customHeight="1" x14ac:dyDescent="0.3">
      <c r="A126" s="81" t="s">
        <v>213</v>
      </c>
      <c r="B126" s="189">
        <f>VLOOKUP($A126,'Growth Analysis'!A:G,2,FALSE)</f>
        <v>0</v>
      </c>
      <c r="C126" s="189">
        <f>VLOOKUP(A126,'Growth Analysis'!A:G,4,FALSE)</f>
        <v>1</v>
      </c>
      <c r="D126" s="50">
        <f t="shared" si="25"/>
        <v>1</v>
      </c>
      <c r="E126" s="49">
        <f>VLOOKUP($A126,'Growth Analysis'!$A:$G,5,FALSE)</f>
        <v>0</v>
      </c>
      <c r="F126" s="49">
        <f>VLOOKUP($A126,'Growth Analysis'!$A:$G,6,FALSE)</f>
        <v>17945882.702863637</v>
      </c>
      <c r="G126" s="50">
        <f t="shared" si="26"/>
        <v>1</v>
      </c>
      <c r="H126" s="159">
        <f t="shared" si="27"/>
        <v>1.0054950621089208E-2</v>
      </c>
      <c r="I126" s="158">
        <f t="shared" si="28"/>
        <v>0</v>
      </c>
      <c r="J126" s="157">
        <v>0</v>
      </c>
      <c r="K126" s="164">
        <f>VLOOKUP($A126,[1]Notes!$A:$G,3,FALSE)</f>
        <v>6735412.8440366946</v>
      </c>
      <c r="L126" s="163">
        <f>VLOOKUP($A126,[1]Notes!$A:$G,5,FALSE)</f>
        <v>4041247.7064220174</v>
      </c>
      <c r="M126" s="163">
        <f>VLOOKUP($A126,[1]Notes!$A:$G,7,FALSE)</f>
        <v>4310664.2201834852</v>
      </c>
      <c r="N126" s="154">
        <f t="shared" si="29"/>
        <v>15087324.770642199</v>
      </c>
      <c r="O126" s="45">
        <f t="shared" si="38"/>
        <v>13574183.338470431</v>
      </c>
      <c r="P126" s="45">
        <f t="shared" si="30"/>
        <v>8144510.0030822586</v>
      </c>
      <c r="Q126" s="45">
        <f t="shared" si="31"/>
        <v>8687477.3366210759</v>
      </c>
      <c r="R126" s="45">
        <f t="shared" si="32"/>
        <v>30406170.678173766</v>
      </c>
      <c r="S126" s="153">
        <f>R126/N126-1</f>
        <v>1.0153454068503831</v>
      </c>
      <c r="T126">
        <f>VLOOKUP($A126,'[2]All month (2)'!$E:$Y,8,FALSE)</f>
        <v>0</v>
      </c>
      <c r="U126">
        <f>VLOOKUP($A126,'[2]All month (2)'!$E:$Y,14,FALSE)</f>
        <v>4235000</v>
      </c>
      <c r="V126">
        <f>VLOOKUP($A126,'[2]All month (2)'!$E:$Y,20,FALSE)</f>
        <v>3311000</v>
      </c>
      <c r="W126">
        <f t="shared" ref="W126:W134" si="43">SUM(T126:V126)</f>
        <v>7546000</v>
      </c>
      <c r="X126" s="152">
        <f t="shared" si="33"/>
        <v>3.0294421783956751</v>
      </c>
    </row>
    <row r="127" spans="1:24" ht="15" customHeight="1" x14ac:dyDescent="0.3">
      <c r="A127" s="80" t="s">
        <v>212</v>
      </c>
      <c r="B127" s="189">
        <f>VLOOKUP($A127,'Growth Analysis'!A:G,2,FALSE)</f>
        <v>2659.9172399999998</v>
      </c>
      <c r="C127" s="189">
        <f>VLOOKUP(A127,'Growth Analysis'!A:G,4,FALSE)</f>
        <v>-0.86059072508962708</v>
      </c>
      <c r="D127" s="50">
        <f t="shared" si="25"/>
        <v>-1.0003235404140203</v>
      </c>
      <c r="E127" s="49">
        <f>VLOOKUP($A127,'Growth Analysis'!$A:$G,5,FALSE)</f>
        <v>58432740</v>
      </c>
      <c r="F127" s="49">
        <f>VLOOKUP($A127,'Growth Analysis'!$A:$G,6,FALSE)</f>
        <v>29284334.247136366</v>
      </c>
      <c r="G127" s="50">
        <f t="shared" si="26"/>
        <v>-0.49883688070871973</v>
      </c>
      <c r="H127" s="159">
        <f t="shared" si="27"/>
        <v>1.6407804492082286E-2</v>
      </c>
      <c r="I127" s="158">
        <f t="shared" si="28"/>
        <v>3.6321226453028356E-2</v>
      </c>
      <c r="J127" s="157">
        <v>2607.7619999999997</v>
      </c>
      <c r="K127" s="162">
        <f>VLOOKUP($A127,[1]Notes!$A:$G,3,FALSE)</f>
        <v>10989357.798165133</v>
      </c>
      <c r="L127" s="161">
        <f>VLOOKUP($A127,[1]Notes!$A:$G,5,FALSE)</f>
        <v>6593614.6788990805</v>
      </c>
      <c r="M127" s="161">
        <f>VLOOKUP($A127,[1]Notes!$A:$G,7,FALSE)</f>
        <v>7033188.9908256847</v>
      </c>
      <c r="N127" s="154">
        <f t="shared" si="29"/>
        <v>24616161.467889898</v>
      </c>
      <c r="O127" s="45">
        <f t="shared" si="38"/>
        <v>22150536.064311087</v>
      </c>
      <c r="P127" s="45">
        <f t="shared" si="30"/>
        <v>13290321.638586652</v>
      </c>
      <c r="Q127" s="45">
        <f t="shared" si="31"/>
        <v>14176343.081159094</v>
      </c>
      <c r="R127" s="45">
        <f t="shared" si="32"/>
        <v>49617200.784056835</v>
      </c>
      <c r="S127" s="153">
        <f>N127/R127-1</f>
        <v>-0.50387847200361113</v>
      </c>
      <c r="T127">
        <f>VLOOKUP($A127,'[2]All month (2)'!$E:$Y,8,FALSE)</f>
        <v>35947480</v>
      </c>
      <c r="U127">
        <f>VLOOKUP($A127,'[2]All month (2)'!$E:$Y,14,FALSE)</f>
        <v>7865000</v>
      </c>
      <c r="V127">
        <f>VLOOKUP($A127,'[2]All month (2)'!$E:$Y,20,FALSE)</f>
        <v>6149000</v>
      </c>
      <c r="W127">
        <f t="shared" si="43"/>
        <v>49961480</v>
      </c>
      <c r="X127" s="152">
        <f t="shared" si="33"/>
        <v>-6.8908930628789446E-3</v>
      </c>
    </row>
    <row r="128" spans="1:24" ht="15" customHeight="1" x14ac:dyDescent="0.3">
      <c r="A128" s="80" t="s">
        <v>211</v>
      </c>
      <c r="B128" s="189">
        <f>VLOOKUP($A128,'Growth Analysis'!A:G,2,FALSE)</f>
        <v>442.724829</v>
      </c>
      <c r="C128" s="189">
        <f>VLOOKUP(A128,'Growth Analysis'!A:G,4,FALSE)</f>
        <v>-0.37251373358145229</v>
      </c>
      <c r="D128" s="50">
        <f t="shared" si="25"/>
        <v>-1.0008414114347797</v>
      </c>
      <c r="E128" s="49">
        <f>VLOOKUP($A128,'Growth Analysis'!$A:$G,5,FALSE)</f>
        <v>11886060</v>
      </c>
      <c r="F128" s="49">
        <f>VLOOKUP($A128,'Growth Analysis'!$A:$G,6,FALSE)</f>
        <v>10742730.6</v>
      </c>
      <c r="G128" s="50">
        <f t="shared" si="26"/>
        <v>-9.6190781470058231E-2</v>
      </c>
      <c r="H128" s="159">
        <f t="shared" si="27"/>
        <v>6.0190756569153099E-3</v>
      </c>
      <c r="I128" s="158">
        <f t="shared" si="28"/>
        <v>7.3882600215954657E-3</v>
      </c>
      <c r="J128" s="157">
        <v>434.04395</v>
      </c>
      <c r="K128" s="162">
        <f>VLOOKUP($A128,[1]Notes!$A:$G,3,FALSE)</f>
        <v>12052844.036697248</v>
      </c>
      <c r="L128" s="161">
        <f>VLOOKUP($A128,[1]Notes!$A:$G,5,FALSE)</f>
        <v>7231706.4220183482</v>
      </c>
      <c r="M128" s="161">
        <f>VLOOKUP($A128,[1]Notes!$A:$G,7,FALSE)</f>
        <v>7713820.1834862381</v>
      </c>
      <c r="N128" s="154">
        <f t="shared" si="29"/>
        <v>26998370.642201833</v>
      </c>
      <c r="O128" s="45">
        <f t="shared" si="38"/>
        <v>8125752.1368356682</v>
      </c>
      <c r="P128" s="45">
        <f t="shared" si="30"/>
        <v>4875451.2821014011</v>
      </c>
      <c r="Q128" s="45">
        <f t="shared" si="31"/>
        <v>5200481.3675748277</v>
      </c>
      <c r="R128" s="45">
        <f t="shared" si="32"/>
        <v>18201684.786511898</v>
      </c>
      <c r="S128" s="153">
        <f t="shared" ref="S128:S133" si="44">R128/N128-1</f>
        <v>-0.32582284213624413</v>
      </c>
      <c r="T128">
        <f>VLOOKUP($A128,'[2]All month (2)'!$E:$Y,8,FALSE)</f>
        <v>4281000</v>
      </c>
      <c r="U128">
        <f>VLOOKUP($A128,'[2]All month (2)'!$E:$Y,14,FALSE)</f>
        <v>10016000</v>
      </c>
      <c r="V128">
        <f>VLOOKUP($A128,'[2]All month (2)'!$E:$Y,20,FALSE)</f>
        <v>8478000</v>
      </c>
      <c r="W128">
        <f t="shared" si="43"/>
        <v>22775000</v>
      </c>
      <c r="X128" s="152">
        <f t="shared" si="33"/>
        <v>-0.2008041806141867</v>
      </c>
    </row>
    <row r="129" spans="1:24" ht="15" customHeight="1" x14ac:dyDescent="0.3">
      <c r="A129" s="80" t="s">
        <v>210</v>
      </c>
      <c r="B129" s="189">
        <f>VLOOKUP($A129,'Growth Analysis'!A:G,2,FALSE)</f>
        <v>857.73075000000006</v>
      </c>
      <c r="C129" s="189">
        <f>VLOOKUP(A129,'Growth Analysis'!A:G,4,FALSE)</f>
        <v>-0.55270923567797936</v>
      </c>
      <c r="D129" s="50">
        <f t="shared" si="25"/>
        <v>-1.0006443854737375</v>
      </c>
      <c r="E129" s="49">
        <f>VLOOKUP($A129,'Growth Analysis'!$A:$G,5,FALSE)</f>
        <v>23786400</v>
      </c>
      <c r="F129" s="49">
        <f>VLOOKUP($A129,'Growth Analysis'!$A:$G,6,FALSE)</f>
        <v>16189055.440384617</v>
      </c>
      <c r="G129" s="50">
        <f t="shared" si="26"/>
        <v>-0.31939867149360068</v>
      </c>
      <c r="H129" s="159">
        <f t="shared" si="27"/>
        <v>9.0706127834641413E-3</v>
      </c>
      <c r="I129" s="158">
        <f t="shared" si="28"/>
        <v>1.4785396353179976E-2</v>
      </c>
      <c r="J129" s="157">
        <v>840.91250000000002</v>
      </c>
      <c r="K129" s="162">
        <f>VLOOKUP($A129,[1]Notes!$A:$G,3,FALSE)</f>
        <v>12052844.036697248</v>
      </c>
      <c r="L129" s="161">
        <f>VLOOKUP($A129,[1]Notes!$A:$G,5,FALSE)</f>
        <v>7231706.4220183482</v>
      </c>
      <c r="M129" s="161">
        <f>VLOOKUP($A129,[1]Notes!$A:$G,7,FALSE)</f>
        <v>7713820.1834862381</v>
      </c>
      <c r="N129" s="154">
        <f t="shared" si="29"/>
        <v>26998370.642201833</v>
      </c>
      <c r="O129" s="45">
        <f t="shared" si="38"/>
        <v>12245327.25767659</v>
      </c>
      <c r="P129" s="45">
        <f t="shared" si="30"/>
        <v>7347196.3546059541</v>
      </c>
      <c r="Q129" s="45">
        <f t="shared" si="31"/>
        <v>7837009.4449130185</v>
      </c>
      <c r="R129" s="45">
        <f t="shared" si="32"/>
        <v>27429533.057195563</v>
      </c>
      <c r="S129" s="153">
        <f t="shared" si="44"/>
        <v>1.5969942064569143E-2</v>
      </c>
      <c r="T129">
        <f>VLOOKUP($A129,'[2]All month (2)'!$E:$Y,8,FALSE)</f>
        <v>10100000</v>
      </c>
      <c r="U129">
        <f>VLOOKUP($A129,'[2]All month (2)'!$E:$Y,14,FALSE)</f>
        <v>8828098.2400000002</v>
      </c>
      <c r="V129">
        <f>VLOOKUP($A129,'[2]All month (2)'!$E:$Y,20,FALSE)</f>
        <v>10972000</v>
      </c>
      <c r="W129">
        <f t="shared" si="43"/>
        <v>29900098.240000002</v>
      </c>
      <c r="X129" s="152">
        <f t="shared" si="33"/>
        <v>-8.2627326605213158E-2</v>
      </c>
    </row>
    <row r="130" spans="1:24" ht="15" customHeight="1" x14ac:dyDescent="0.3">
      <c r="A130" s="80" t="s">
        <v>209</v>
      </c>
      <c r="B130" s="189">
        <f>VLOOKUP($A130,'Growth Analysis'!A:G,2,FALSE)</f>
        <v>0</v>
      </c>
      <c r="C130" s="189">
        <f>VLOOKUP(A130,'Growth Analysis'!A:G,4,FALSE)</f>
        <v>1</v>
      </c>
      <c r="D130" s="50">
        <f t="shared" si="25"/>
        <v>1</v>
      </c>
      <c r="E130" s="49">
        <f>VLOOKUP($A130,'Growth Analysis'!$A:$G,5,FALSE)</f>
        <v>0</v>
      </c>
      <c r="F130" s="49">
        <f>VLOOKUP($A130,'Growth Analysis'!$A:$G,6,FALSE)</f>
        <v>15488786.209615383</v>
      </c>
      <c r="G130" s="50">
        <f t="shared" si="26"/>
        <v>1</v>
      </c>
      <c r="H130" s="159">
        <f t="shared" si="27"/>
        <v>8.6782569069973232E-3</v>
      </c>
      <c r="I130" s="158">
        <f t="shared" si="28"/>
        <v>0</v>
      </c>
      <c r="J130" s="157">
        <v>0</v>
      </c>
      <c r="K130" s="162">
        <f>VLOOKUP($A130,[1]Notes!$A:$G,3,FALSE)</f>
        <v>10989357.798165133</v>
      </c>
      <c r="L130" s="161">
        <f>VLOOKUP($A130,[1]Notes!$A:$G,5,FALSE)</f>
        <v>6593614.6788990805</v>
      </c>
      <c r="M130" s="161">
        <f>VLOOKUP($A130,[1]Notes!$A:$G,7,FALSE)</f>
        <v>7033188.9908256847</v>
      </c>
      <c r="N130" s="154">
        <f t="shared" si="29"/>
        <v>24616161.467889898</v>
      </c>
      <c r="O130" s="45">
        <f t="shared" si="38"/>
        <v>11715646.824446386</v>
      </c>
      <c r="P130" s="45">
        <f t="shared" si="30"/>
        <v>7029388.0946678314</v>
      </c>
      <c r="Q130" s="45">
        <f t="shared" si="31"/>
        <v>7498013.9676456871</v>
      </c>
      <c r="R130" s="45">
        <f t="shared" si="32"/>
        <v>26243048.886759903</v>
      </c>
      <c r="S130" s="153">
        <f t="shared" si="44"/>
        <v>6.60902156086427E-2</v>
      </c>
      <c r="T130">
        <f>VLOOKUP($A130,'[2]All month (2)'!$E:$Y,8,FALSE)</f>
        <v>0</v>
      </c>
      <c r="U130">
        <f>VLOOKUP($A130,'[2]All month (2)'!$E:$Y,14,FALSE)</f>
        <v>8149013.7599999998</v>
      </c>
      <c r="V130">
        <f>VLOOKUP($A130,'[2]All month (2)'!$E:$Y,20,FALSE)</f>
        <v>10128000</v>
      </c>
      <c r="W130">
        <f t="shared" si="43"/>
        <v>18277013.759999998</v>
      </c>
      <c r="X130" s="152">
        <f t="shared" si="33"/>
        <v>0.43584992774880454</v>
      </c>
    </row>
    <row r="131" spans="1:24" ht="15" customHeight="1" x14ac:dyDescent="0.3">
      <c r="A131" s="80" t="s">
        <v>208</v>
      </c>
      <c r="B131" s="189">
        <f>VLOOKUP($A131,'Growth Analysis'!A:G,2,FALSE)</f>
        <v>73.870950000000008</v>
      </c>
      <c r="C131" s="189">
        <f>VLOOKUP(A131,'Growth Analysis'!A:G,4,FALSE)</f>
        <v>2.6777280317905756</v>
      </c>
      <c r="D131" s="50">
        <f t="shared" si="25"/>
        <v>-0.96375127121296555</v>
      </c>
      <c r="E131" s="49">
        <f>VLOOKUP($A131,'Growth Analysis'!$A:$G,5,FALSE)</f>
        <v>2641800</v>
      </c>
      <c r="F131" s="49">
        <f>VLOOKUP($A131,'Growth Analysis'!$A:$G,6,FALSE)</f>
        <v>17234138.419354815</v>
      </c>
      <c r="G131" s="50">
        <f t="shared" si="26"/>
        <v>5.5236348017846977</v>
      </c>
      <c r="H131" s="159">
        <f t="shared" si="27"/>
        <v>9.656165354071846E-3</v>
      </c>
      <c r="I131" s="158">
        <f t="shared" si="28"/>
        <v>1.6421173479732477E-3</v>
      </c>
      <c r="J131" s="157">
        <v>72.422499999999999</v>
      </c>
      <c r="K131" s="162">
        <f>VLOOKUP($A131,[1]Notes!$A:$G,3,FALSE)</f>
        <v>12052844.036697248</v>
      </c>
      <c r="L131" s="161">
        <f>VLOOKUP($A131,[1]Notes!$A:$G,5,FALSE)</f>
        <v>7231706.4220183482</v>
      </c>
      <c r="M131" s="161">
        <f>VLOOKUP($A131,[1]Notes!$A:$G,7,FALSE)</f>
        <v>7713820.1834862381</v>
      </c>
      <c r="N131" s="154">
        <f t="shared" si="29"/>
        <v>26998370.642201833</v>
      </c>
      <c r="O131" s="45">
        <f t="shared" si="38"/>
        <v>13035823.227996992</v>
      </c>
      <c r="P131" s="45">
        <f t="shared" si="30"/>
        <v>7821493.9367981954</v>
      </c>
      <c r="Q131" s="45">
        <f t="shared" si="31"/>
        <v>8342926.8659180747</v>
      </c>
      <c r="R131" s="45">
        <f t="shared" si="32"/>
        <v>29200244.03071326</v>
      </c>
      <c r="S131" s="153">
        <f t="shared" si="44"/>
        <v>8.1555787854457495E-2</v>
      </c>
      <c r="T131">
        <f>VLOOKUP($A131,'[2]All month (2)'!$E:$Y,8,FALSE)</f>
        <v>1275000</v>
      </c>
      <c r="U131">
        <f>VLOOKUP($A131,'[2]All month (2)'!$E:$Y,14,FALSE)</f>
        <v>617500</v>
      </c>
      <c r="V131">
        <f>VLOOKUP($A131,'[2]All month (2)'!$E:$Y,20,FALSE)</f>
        <v>777500</v>
      </c>
      <c r="W131">
        <f t="shared" si="43"/>
        <v>2670000</v>
      </c>
      <c r="X131" s="152">
        <f t="shared" si="33"/>
        <v>9.9364209852858654</v>
      </c>
    </row>
    <row r="132" spans="1:24" ht="15" customHeight="1" x14ac:dyDescent="0.3">
      <c r="A132" s="80" t="s">
        <v>207</v>
      </c>
      <c r="B132" s="189">
        <f>VLOOKUP($A132,'Growth Analysis'!A:G,2,FALSE)</f>
        <v>0</v>
      </c>
      <c r="C132" s="189">
        <f>VLOOKUP(A132,'Growth Analysis'!A:G,4,FALSE)</f>
        <v>1</v>
      </c>
      <c r="D132" s="50">
        <f t="shared" si="25"/>
        <v>1</v>
      </c>
      <c r="E132" s="49">
        <f>VLOOKUP($A132,'Growth Analysis'!$A:$G,5,FALSE)</f>
        <v>0</v>
      </c>
      <c r="F132" s="49">
        <f>VLOOKUP($A132,'Growth Analysis'!$A:$G,6,FALSE)</f>
        <v>14896401.280645186</v>
      </c>
      <c r="G132" s="50">
        <f t="shared" si="26"/>
        <v>1</v>
      </c>
      <c r="H132" s="159">
        <f t="shared" si="27"/>
        <v>8.3463478386001308E-3</v>
      </c>
      <c r="I132" s="158">
        <f t="shared" si="28"/>
        <v>0</v>
      </c>
      <c r="J132" s="157">
        <v>0</v>
      </c>
      <c r="K132" s="162">
        <f>VLOOKUP($A132,[1]Notes!$A:$G,3,FALSE)</f>
        <v>9925871.5596330259</v>
      </c>
      <c r="L132" s="161">
        <f>VLOOKUP($A132,[1]Notes!$A:$G,5,FALSE)</f>
        <v>5955522.9357798146</v>
      </c>
      <c r="M132" s="161">
        <f>VLOOKUP($A132,[1]Notes!$A:$G,7,FALSE)</f>
        <v>6352557.798165136</v>
      </c>
      <c r="N132" s="154">
        <f t="shared" si="29"/>
        <v>22233952.293577977</v>
      </c>
      <c r="O132" s="45">
        <f t="shared" si="38"/>
        <v>11267569.582110176</v>
      </c>
      <c r="P132" s="45">
        <f t="shared" si="30"/>
        <v>6760541.7492661057</v>
      </c>
      <c r="Q132" s="45">
        <f t="shared" si="31"/>
        <v>7211244.5325505128</v>
      </c>
      <c r="R132" s="45">
        <f t="shared" si="32"/>
        <v>25239355.863926794</v>
      </c>
      <c r="S132" s="153">
        <f t="shared" si="44"/>
        <v>0.13517180979186039</v>
      </c>
      <c r="T132">
        <f>VLOOKUP($A132,'[2]All month (2)'!$E:$Y,8,FALSE)</f>
        <v>10460938</v>
      </c>
      <c r="U132">
        <f>VLOOKUP($A132,'[2]All month (2)'!$E:$Y,14,FALSE)</f>
        <v>11732500</v>
      </c>
      <c r="V132">
        <f>VLOOKUP($A132,'[2]All month (2)'!$E:$Y,20,FALSE)</f>
        <v>9883500</v>
      </c>
      <c r="W132">
        <f t="shared" si="43"/>
        <v>32076938</v>
      </c>
      <c r="X132" s="152">
        <f t="shared" si="33"/>
        <v>-0.21316193385020746</v>
      </c>
    </row>
    <row r="133" spans="1:24" ht="15" customHeight="1" x14ac:dyDescent="0.3">
      <c r="A133" s="79" t="s">
        <v>206</v>
      </c>
      <c r="B133" s="189">
        <f>VLOOKUP($A133,'Growth Analysis'!A:G,2,FALSE)</f>
        <v>0</v>
      </c>
      <c r="C133" s="189">
        <f>VLOOKUP(A133,'Growth Analysis'!A:G,4,FALSE)</f>
        <v>1</v>
      </c>
      <c r="D133" s="50">
        <f t="shared" ref="D133:D196" si="45">IFERROR((C133-B133)/B133,100%)</f>
        <v>1</v>
      </c>
      <c r="E133" s="49">
        <f>VLOOKUP($A133,'Growth Analysis'!$A:$G,5,FALSE)</f>
        <v>0</v>
      </c>
      <c r="F133" s="49">
        <f>VLOOKUP($A133,'Growth Analysis'!$A:$G,6,FALSE)</f>
        <v>19527027.449999999</v>
      </c>
      <c r="G133" s="50">
        <f t="shared" ref="G133:G196" si="46">IFERROR((F133-E133)/E133,100%)</f>
        <v>1</v>
      </c>
      <c r="H133" s="159">
        <f t="shared" ref="H133:H196" si="47">F133/$F$3</f>
        <v>1.0940854793120479E-2</v>
      </c>
      <c r="I133" s="158">
        <f t="shared" ref="I133:I196" si="48">E133/$E$3</f>
        <v>0</v>
      </c>
      <c r="J133" s="157">
        <v>0</v>
      </c>
      <c r="K133" s="162">
        <f>VLOOKUP($A133,[1]Notes!$A:$G,3,FALSE)</f>
        <v>10812110.091743123</v>
      </c>
      <c r="L133" s="161">
        <f>VLOOKUP($A133,[1]Notes!$A:$G,5,FALSE)</f>
        <v>6487266.0550458729</v>
      </c>
      <c r="M133" s="161">
        <f>VLOOKUP($A133,[1]Notes!$A:$G,7,FALSE)</f>
        <v>6919750.4587155972</v>
      </c>
      <c r="N133" s="154">
        <f t="shared" ref="N133:N196" si="49">SUM(K133:M133)</f>
        <v>24219126.605504595</v>
      </c>
      <c r="O133" s="45">
        <f t="shared" si="38"/>
        <v>14770153.970712647</v>
      </c>
      <c r="P133" s="45">
        <f t="shared" ref="P133:P196" si="50">$P$3*H133</f>
        <v>8862092.3824275881</v>
      </c>
      <c r="Q133" s="45">
        <f t="shared" ref="Q133:Q196" si="51">$Q$3*H133</f>
        <v>9452898.5412560944</v>
      </c>
      <c r="R133" s="45">
        <f t="shared" ref="R133:R196" si="52">SUM(O133:Q133)</f>
        <v>33085144.894396327</v>
      </c>
      <c r="S133" s="153">
        <f t="shared" si="44"/>
        <v>0.36607506262742917</v>
      </c>
      <c r="T133">
        <f>VLOOKUP($A133,'[2]All month (2)'!$E:$Y,8,FALSE)</f>
        <v>0</v>
      </c>
      <c r="U133">
        <f>VLOOKUP($A133,'[2]All month (2)'!$E:$Y,14,FALSE)</f>
        <v>4859857.8</v>
      </c>
      <c r="V133">
        <f>VLOOKUP($A133,'[2]All month (2)'!$E:$Y,20,FALSE)</f>
        <v>8408261</v>
      </c>
      <c r="W133">
        <f t="shared" si="43"/>
        <v>13268118.800000001</v>
      </c>
      <c r="X133" s="152">
        <f t="shared" ref="X133:X196" si="53">IFERROR((R133-W133)/W133,100%)</f>
        <v>1.4935822020523608</v>
      </c>
    </row>
    <row r="134" spans="1:24" ht="15" customHeight="1" thickBot="1" x14ac:dyDescent="0.35">
      <c r="A134" s="78" t="s">
        <v>205</v>
      </c>
      <c r="B134" s="189">
        <f>VLOOKUP($A134,'Growth Analysis'!A:G,2,FALSE)</f>
        <v>983.64260999999999</v>
      </c>
      <c r="C134" s="189">
        <f>VLOOKUP(A134,'Growth Analysis'!A:G,4,FALSE)</f>
        <v>-0.61322567400775774</v>
      </c>
      <c r="D134" s="50">
        <f t="shared" si="45"/>
        <v>-1.0006234232512636</v>
      </c>
      <c r="E134" s="49">
        <f>VLOOKUP($A134,'Growth Analysis'!$A:$G,5,FALSE)</f>
        <v>28739042.640000001</v>
      </c>
      <c r="F134" s="49">
        <f>VLOOKUP($A134,'Growth Analysis'!$A:$G,6,FALSE)</f>
        <v>15501871.875</v>
      </c>
      <c r="G134" s="50">
        <f t="shared" si="46"/>
        <v>-0.46059887696384311</v>
      </c>
      <c r="H134" s="159">
        <f t="shared" si="47"/>
        <v>8.6855887123737981E-3</v>
      </c>
      <c r="I134" s="158">
        <f t="shared" si="48"/>
        <v>1.7863911152731806E-2</v>
      </c>
      <c r="J134" s="157">
        <v>964.35550000000001</v>
      </c>
      <c r="K134" s="156">
        <f>VLOOKUP($A134,[1]Notes!$A:$G,3,FALSE)</f>
        <v>11040000</v>
      </c>
      <c r="L134" s="155">
        <f>VLOOKUP($A134,[1]Notes!$A:$G,5,FALSE)</f>
        <v>6624000</v>
      </c>
      <c r="M134" s="155">
        <f>VLOOKUP($A134,[1]Notes!$A:$G,7,FALSE)</f>
        <v>7065600</v>
      </c>
      <c r="N134" s="154">
        <f t="shared" si="49"/>
        <v>24729600</v>
      </c>
      <c r="O134" s="45">
        <f t="shared" si="38"/>
        <v>11725544.761704627</v>
      </c>
      <c r="P134" s="45">
        <f t="shared" si="50"/>
        <v>7035326.8570227763</v>
      </c>
      <c r="Q134" s="45">
        <f t="shared" si="51"/>
        <v>7504348.6474909615</v>
      </c>
      <c r="R134" s="45">
        <f t="shared" si="52"/>
        <v>26265220.266218364</v>
      </c>
      <c r="S134" s="153">
        <f>N134/R134-1</f>
        <v>-5.8465919975300484E-2</v>
      </c>
      <c r="T134">
        <f>VLOOKUP($A134,'[2]All month (2)'!$E:$Y,8,FALSE)</f>
        <v>17358211</v>
      </c>
      <c r="U134">
        <f>VLOOKUP($A134,'[2]All month (2)'!$E:$Y,14,FALSE)</f>
        <v>11711232.199999999</v>
      </c>
      <c r="V134">
        <f>VLOOKUP($A134,'[2]All month (2)'!$E:$Y,20,FALSE)</f>
        <v>8104000</v>
      </c>
      <c r="W134">
        <f t="shared" si="43"/>
        <v>37173443.200000003</v>
      </c>
      <c r="X134" s="152">
        <f t="shared" si="53"/>
        <v>-0.2934412848197403</v>
      </c>
    </row>
    <row r="135" spans="1:24" ht="15" thickBot="1" x14ac:dyDescent="0.35">
      <c r="A135" s="68" t="s">
        <v>204</v>
      </c>
      <c r="B135" s="42">
        <f>SUM(B126:B134)</f>
        <v>5017.8863789999996</v>
      </c>
      <c r="C135" s="40">
        <f>SUM(C126:C134)</f>
        <v>4.2786886634337584</v>
      </c>
      <c r="D135" s="41">
        <f t="shared" si="45"/>
        <v>-0.99914731256543787</v>
      </c>
      <c r="E135" s="40">
        <f>SUM(E126:E134)</f>
        <v>125486042.64</v>
      </c>
      <c r="F135" s="40">
        <f>SUM(F126:F134)</f>
        <v>156810228.22499999</v>
      </c>
      <c r="G135" s="151">
        <f t="shared" si="46"/>
        <v>0.24962286582631524</v>
      </c>
      <c r="H135" s="150">
        <f t="shared" si="47"/>
        <v>8.7859657158714521E-2</v>
      </c>
      <c r="I135" s="150">
        <f t="shared" si="48"/>
        <v>7.8000911328508851E-2</v>
      </c>
      <c r="J135" s="42">
        <f>SUM(J126:J134)</f>
        <v>4919.4964499999996</v>
      </c>
      <c r="K135" s="165">
        <f>SUM(K126:K134)</f>
        <v>96650642.201834857</v>
      </c>
      <c r="L135" s="165">
        <f>SUM(L126:L134)</f>
        <v>57990385.321100913</v>
      </c>
      <c r="M135" s="165">
        <f>SUM(M126:M134)</f>
        <v>61856411.009174302</v>
      </c>
      <c r="N135" s="36">
        <f t="shared" si="49"/>
        <v>216497438.5321101</v>
      </c>
      <c r="O135" s="36">
        <f t="shared" si="38"/>
        <v>118610537.1642646</v>
      </c>
      <c r="P135" s="36">
        <f t="shared" si="50"/>
        <v>71166322.298558757</v>
      </c>
      <c r="Q135" s="36">
        <f t="shared" si="51"/>
        <v>75910743.785129353</v>
      </c>
      <c r="R135" s="148">
        <f t="shared" si="52"/>
        <v>265687603.2479527</v>
      </c>
      <c r="S135" s="41"/>
      <c r="T135" s="42">
        <f>SUM(T126:T134)</f>
        <v>79422629</v>
      </c>
      <c r="U135" s="42">
        <f>SUM(U126:U134)</f>
        <v>68014202</v>
      </c>
      <c r="V135" s="42">
        <f>SUM(V126:V134)</f>
        <v>66211261</v>
      </c>
      <c r="W135" s="147">
        <f>SUM(W126:W134)</f>
        <v>213648092</v>
      </c>
      <c r="X135" s="146">
        <f t="shared" si="53"/>
        <v>0.24357582958406526</v>
      </c>
    </row>
    <row r="136" spans="1:24" ht="15" customHeight="1" x14ac:dyDescent="0.3">
      <c r="A136" s="73" t="s">
        <v>203</v>
      </c>
      <c r="B136" s="189">
        <f>VLOOKUP($A136,'Growth Analysis'!A:G,2,FALSE)</f>
        <v>0</v>
      </c>
      <c r="C136" s="189">
        <f>VLOOKUP(A136,'Growth Analysis'!A:G,4,FALSE)</f>
        <v>1</v>
      </c>
      <c r="D136" s="50">
        <f t="shared" si="45"/>
        <v>1</v>
      </c>
      <c r="E136" s="49">
        <f>VLOOKUP($A136,'Growth Analysis'!$A:$G,5,FALSE)</f>
        <v>0</v>
      </c>
      <c r="F136" s="49">
        <f>VLOOKUP($A136,'Growth Analysis'!$A:$G,6,FALSE)</f>
        <v>9202112.8404059112</v>
      </c>
      <c r="G136" s="50">
        <f t="shared" si="46"/>
        <v>1</v>
      </c>
      <c r="H136" s="159">
        <f t="shared" si="47"/>
        <v>5.1558784681685135E-3</v>
      </c>
      <c r="I136" s="158">
        <f t="shared" si="48"/>
        <v>0</v>
      </c>
      <c r="J136" s="157">
        <v>0</v>
      </c>
      <c r="K136" s="164">
        <f>VLOOKUP($A136,[1]Notes!$A:$G,3,FALSE)</f>
        <v>4184516.1290322584</v>
      </c>
      <c r="L136" s="163">
        <f>VLOOKUP($A136,[1]Notes!$A:$G,5,FALSE)</f>
        <v>2510709.6774193551</v>
      </c>
      <c r="M136" s="163">
        <f>VLOOKUP($A136,[1]Notes!$A:$G,7,FALSE)</f>
        <v>2678090.3225806453</v>
      </c>
      <c r="N136" s="154">
        <f t="shared" si="49"/>
        <v>9373316.1290322579</v>
      </c>
      <c r="O136" s="45">
        <f t="shared" si="38"/>
        <v>6960435.9320274936</v>
      </c>
      <c r="P136" s="45">
        <f t="shared" si="50"/>
        <v>4176261.5592164961</v>
      </c>
      <c r="Q136" s="45">
        <f t="shared" si="51"/>
        <v>4454678.9964975957</v>
      </c>
      <c r="R136" s="45">
        <f t="shared" si="52"/>
        <v>15591376.487741586</v>
      </c>
      <c r="S136" s="153">
        <f t="shared" ref="S136:S142" si="54">R136/N136-1</f>
        <v>0.66337892300996226</v>
      </c>
      <c r="T136">
        <f>VLOOKUP($A136,'[2]All month (2)'!$E:$Y,8,FALSE)</f>
        <v>0</v>
      </c>
      <c r="U136">
        <f>VLOOKUP($A136,'[2]All month (2)'!$E:$Y,14,FALSE)</f>
        <v>6008850</v>
      </c>
      <c r="V136">
        <f>VLOOKUP($A136,'[2]All month (2)'!$E:$Y,20,FALSE)</f>
        <v>5204250</v>
      </c>
      <c r="W136">
        <f>SUM(T136:V136)</f>
        <v>11213100</v>
      </c>
      <c r="X136" s="152">
        <f t="shared" si="53"/>
        <v>0.3904608438113979</v>
      </c>
    </row>
    <row r="137" spans="1:24" ht="15" customHeight="1" x14ac:dyDescent="0.3">
      <c r="A137" s="178" t="s">
        <v>202</v>
      </c>
      <c r="B137" s="189">
        <f>VLOOKUP($A137,'Growth Analysis'!A:G,2,FALSE)</f>
        <v>0</v>
      </c>
      <c r="C137" s="189">
        <f>VLOOKUP(A137,'Growth Analysis'!A:G,4,FALSE)</f>
        <v>1</v>
      </c>
      <c r="D137" s="50">
        <f t="shared" si="45"/>
        <v>1</v>
      </c>
      <c r="E137" s="49">
        <f>VLOOKUP($A137,'Growth Analysis'!$A:$G,5,FALSE)</f>
        <v>0</v>
      </c>
      <c r="F137" s="49">
        <f>VLOOKUP($A137,'Growth Analysis'!$A:$G,6,FALSE)</f>
        <v>8721146.8760115597</v>
      </c>
      <c r="G137" s="50">
        <f t="shared" si="46"/>
        <v>1</v>
      </c>
      <c r="H137" s="159">
        <f t="shared" si="47"/>
        <v>4.8863966542905006E-3</v>
      </c>
      <c r="I137" s="158">
        <f t="shared" si="48"/>
        <v>0</v>
      </c>
      <c r="J137" s="157">
        <v>0</v>
      </c>
      <c r="K137" s="162">
        <f>VLOOKUP($A137,[1]Notes!$A:$G,3,FALSE)</f>
        <v>4184516.1290322584</v>
      </c>
      <c r="L137" s="161">
        <f>VLOOKUP($A137,[1]Notes!$A:$G,5,FALSE)</f>
        <v>2510709.6774193551</v>
      </c>
      <c r="M137" s="161">
        <f>VLOOKUP($A137,[1]Notes!$A:$G,7,FALSE)</f>
        <v>2678090.3225806453</v>
      </c>
      <c r="N137" s="154">
        <f t="shared" si="49"/>
        <v>9373316.1290322579</v>
      </c>
      <c r="O137" s="45">
        <f t="shared" si="38"/>
        <v>6596635.4832921755</v>
      </c>
      <c r="P137" s="45">
        <f t="shared" si="50"/>
        <v>3957981.2899753056</v>
      </c>
      <c r="Q137" s="45">
        <f t="shared" si="51"/>
        <v>4221846.7093069926</v>
      </c>
      <c r="R137" s="45">
        <f t="shared" si="52"/>
        <v>14776463.482574474</v>
      </c>
      <c r="S137" s="153">
        <f t="shared" si="54"/>
        <v>0.57643925363904924</v>
      </c>
      <c r="X137" s="152">
        <f t="shared" si="53"/>
        <v>1</v>
      </c>
    </row>
    <row r="138" spans="1:24" ht="15" customHeight="1" x14ac:dyDescent="0.3">
      <c r="A138" s="70" t="s">
        <v>201</v>
      </c>
      <c r="B138" s="189">
        <f>VLOOKUP($A138,'Growth Analysis'!A:G,2,FALSE)</f>
        <v>0</v>
      </c>
      <c r="C138" s="189">
        <f>VLOOKUP(A138,'Growth Analysis'!A:G,4,FALSE)</f>
        <v>1</v>
      </c>
      <c r="D138" s="50">
        <f t="shared" si="45"/>
        <v>1</v>
      </c>
      <c r="E138" s="49">
        <f>VLOOKUP($A138,'Growth Analysis'!$A:$G,5,FALSE)</f>
        <v>0</v>
      </c>
      <c r="F138" s="49">
        <f>VLOOKUP($A138,'Growth Analysis'!$A:$G,6,FALSE)</f>
        <v>15920608.526765581</v>
      </c>
      <c r="G138" s="50">
        <f t="shared" si="46"/>
        <v>1</v>
      </c>
      <c r="H138" s="159">
        <f t="shared" si="47"/>
        <v>8.9202038843581369E-3</v>
      </c>
      <c r="I138" s="158">
        <f t="shared" si="48"/>
        <v>0</v>
      </c>
      <c r="J138" s="157">
        <v>0</v>
      </c>
      <c r="K138" s="162">
        <f>VLOOKUP($A138,[1]Notes!$A:$G,3,FALSE)</f>
        <v>8369032.2580645168</v>
      </c>
      <c r="L138" s="161">
        <f>VLOOKUP($A138,[1]Notes!$A:$G,5,FALSE)</f>
        <v>5021419.3548387103</v>
      </c>
      <c r="M138" s="161">
        <f>VLOOKUP($A138,[1]Notes!$A:$G,7,FALSE)</f>
        <v>5356180.6451612907</v>
      </c>
      <c r="N138" s="154">
        <f t="shared" si="49"/>
        <v>18746632.258064516</v>
      </c>
      <c r="O138" s="45">
        <f t="shared" si="38"/>
        <v>12042275.243883485</v>
      </c>
      <c r="P138" s="45">
        <f t="shared" si="50"/>
        <v>7225365.1463300912</v>
      </c>
      <c r="Q138" s="45">
        <f t="shared" si="51"/>
        <v>7707056.1560854306</v>
      </c>
      <c r="R138" s="45">
        <f t="shared" si="52"/>
        <v>26974696.546299007</v>
      </c>
      <c r="S138" s="153">
        <f t="shared" si="54"/>
        <v>0.43890892907950985</v>
      </c>
      <c r="T138">
        <f>VLOOKUP($A138,'[2]All month (2)'!$E:$Y,8,FALSE)</f>
        <v>0</v>
      </c>
      <c r="U138">
        <f>VLOOKUP($A138,'[2]All month (2)'!$E:$Y,14,FALSE)</f>
        <v>6231400</v>
      </c>
      <c r="V138">
        <f>VLOOKUP($A138,'[2]All month (2)'!$E:$Y,20,FALSE)</f>
        <v>5397000</v>
      </c>
      <c r="W138">
        <f>SUM(T138:V138)</f>
        <v>11628400</v>
      </c>
      <c r="X138" s="152">
        <f t="shared" si="53"/>
        <v>1.319725546618538</v>
      </c>
    </row>
    <row r="139" spans="1:24" ht="15" customHeight="1" x14ac:dyDescent="0.3">
      <c r="A139" s="71" t="s">
        <v>200</v>
      </c>
      <c r="B139" s="189">
        <f>VLOOKUP($A139,'Growth Analysis'!A:G,2,FALSE)</f>
        <v>0</v>
      </c>
      <c r="C139" s="189">
        <f>VLOOKUP(A139,'Growth Analysis'!A:G,4,FALSE)</f>
        <v>1</v>
      </c>
      <c r="D139" s="50">
        <f t="shared" si="45"/>
        <v>1</v>
      </c>
      <c r="E139" s="49">
        <f>VLOOKUP($A139,'Growth Analysis'!$A:$G,5,FALSE)</f>
        <v>0</v>
      </c>
      <c r="F139" s="49">
        <f>VLOOKUP($A139,'Growth Analysis'!$A:$G,6,FALSE)</f>
        <v>8109276.6291547986</v>
      </c>
      <c r="G139" s="50">
        <f t="shared" si="46"/>
        <v>1</v>
      </c>
      <c r="H139" s="159">
        <f t="shared" si="47"/>
        <v>4.5435701006723457E-3</v>
      </c>
      <c r="I139" s="158">
        <f t="shared" si="48"/>
        <v>0</v>
      </c>
      <c r="J139" s="157">
        <v>0</v>
      </c>
      <c r="K139" s="162">
        <f>VLOOKUP($A139,[1]Notes!$A:$G,3,FALSE)</f>
        <v>5555612.9032258075</v>
      </c>
      <c r="L139" s="161">
        <f>VLOOKUP($A139,[1]Notes!$A:$G,5,FALSE)</f>
        <v>3333367.7419354841</v>
      </c>
      <c r="M139" s="161">
        <f>VLOOKUP($A139,[1]Notes!$A:$G,7,FALSE)</f>
        <v>3555592.2580645168</v>
      </c>
      <c r="N139" s="154">
        <f t="shared" si="49"/>
        <v>12444572.903225809</v>
      </c>
      <c r="O139" s="45">
        <f t="shared" si="38"/>
        <v>6133819.6359076668</v>
      </c>
      <c r="P139" s="45">
        <f t="shared" si="50"/>
        <v>3680291.7815446001</v>
      </c>
      <c r="Q139" s="45">
        <f t="shared" si="51"/>
        <v>3925644.5669809068</v>
      </c>
      <c r="R139" s="45">
        <f t="shared" si="52"/>
        <v>13739755.984433174</v>
      </c>
      <c r="S139" s="153">
        <f t="shared" si="54"/>
        <v>0.10407613754841161</v>
      </c>
      <c r="T139">
        <f>VLOOKUP($A139,'[2]All month (2)'!$E:$Y,8,FALSE)</f>
        <v>0</v>
      </c>
      <c r="U139">
        <f>VLOOKUP($A139,'[2]All month (2)'!$E:$Y,14,FALSE)</f>
        <v>6231400</v>
      </c>
      <c r="V139">
        <f>VLOOKUP($A139,'[2]All month (2)'!$E:$Y,20,FALSE)</f>
        <v>5397000</v>
      </c>
      <c r="W139">
        <f>SUM(T139:V139)</f>
        <v>11628400</v>
      </c>
      <c r="X139" s="152">
        <f t="shared" si="53"/>
        <v>0.18156891613920867</v>
      </c>
    </row>
    <row r="140" spans="1:24" ht="15" customHeight="1" x14ac:dyDescent="0.3">
      <c r="A140" s="70" t="s">
        <v>199</v>
      </c>
      <c r="B140" s="189">
        <f>VLOOKUP($A140,'Growth Analysis'!A:G,2,FALSE)</f>
        <v>0</v>
      </c>
      <c r="C140" s="189">
        <f>VLOOKUP(A140,'Growth Analysis'!A:G,4,FALSE)</f>
        <v>1</v>
      </c>
      <c r="D140" s="50">
        <f t="shared" si="45"/>
        <v>1</v>
      </c>
      <c r="E140" s="49">
        <f>VLOOKUP($A140,'Growth Analysis'!$A:$G,5,FALSE)</f>
        <v>0</v>
      </c>
      <c r="F140" s="49">
        <f>VLOOKUP($A140,'Growth Analysis'!$A:$G,6,FALSE)</f>
        <v>7089877.5051074419</v>
      </c>
      <c r="G140" s="50">
        <f t="shared" si="46"/>
        <v>1</v>
      </c>
      <c r="H140" s="159">
        <f t="shared" si="47"/>
        <v>3.9724080115630615E-3</v>
      </c>
      <c r="I140" s="158">
        <f t="shared" si="48"/>
        <v>0</v>
      </c>
      <c r="J140" s="157">
        <v>0</v>
      </c>
      <c r="K140" s="162">
        <f>VLOOKUP($A140,[1]Notes!$A:$G,3,FALSE)</f>
        <v>4861161.2903225813</v>
      </c>
      <c r="L140" s="161">
        <f>VLOOKUP($A140,[1]Notes!$A:$G,5,FALSE)</f>
        <v>2916696.7741935486</v>
      </c>
      <c r="M140" s="161">
        <f>VLOOKUP($A140,[1]Notes!$A:$G,7,FALSE)</f>
        <v>3111143.2258064519</v>
      </c>
      <c r="N140" s="154">
        <f t="shared" si="49"/>
        <v>10889001.290322581</v>
      </c>
      <c r="O140" s="45">
        <f t="shared" si="38"/>
        <v>5362750.8156101331</v>
      </c>
      <c r="P140" s="45">
        <f t="shared" si="50"/>
        <v>3217650.4893660797</v>
      </c>
      <c r="Q140" s="45">
        <f t="shared" si="51"/>
        <v>3432160.521990485</v>
      </c>
      <c r="R140" s="45">
        <f t="shared" si="52"/>
        <v>12012561.826966699</v>
      </c>
      <c r="S140" s="153">
        <f t="shared" si="54"/>
        <v>0.10318306580077863</v>
      </c>
      <c r="T140">
        <f>VLOOKUP($A140,'[2]All month (2)'!$E:$Y,8,FALSE)</f>
        <v>0</v>
      </c>
      <c r="U140">
        <f>VLOOKUP($A140,'[2]All month (2)'!$E:$Y,14,FALSE)</f>
        <v>2670600</v>
      </c>
      <c r="V140">
        <f>VLOOKUP($A140,'[2]All month (2)'!$E:$Y,20,FALSE)</f>
        <v>2313000</v>
      </c>
      <c r="W140">
        <f>SUM(T140:V140)</f>
        <v>4983600</v>
      </c>
      <c r="X140" s="152">
        <f t="shared" si="53"/>
        <v>1.4104185381986314</v>
      </c>
    </row>
    <row r="141" spans="1:24" ht="15" customHeight="1" x14ac:dyDescent="0.3">
      <c r="A141" s="70" t="s">
        <v>198</v>
      </c>
      <c r="B141" s="189">
        <f>VLOOKUP($A141,'Growth Analysis'!A:G,2,FALSE)</f>
        <v>0</v>
      </c>
      <c r="C141" s="189">
        <f>VLOOKUP(A141,'Growth Analysis'!A:G,4,FALSE)</f>
        <v>1</v>
      </c>
      <c r="D141" s="50">
        <f t="shared" si="45"/>
        <v>1</v>
      </c>
      <c r="E141" s="49">
        <f>VLOOKUP($A141,'Growth Analysis'!$A:$G,5,FALSE)</f>
        <v>0</v>
      </c>
      <c r="F141" s="49">
        <f>VLOOKUP($A141,'Growth Analysis'!$A:$G,6,FALSE)</f>
        <v>4440705.2657377608</v>
      </c>
      <c r="G141" s="50">
        <f t="shared" si="46"/>
        <v>1</v>
      </c>
      <c r="H141" s="159">
        <f t="shared" si="47"/>
        <v>2.4880956211019373E-3</v>
      </c>
      <c r="I141" s="158">
        <f t="shared" si="48"/>
        <v>0</v>
      </c>
      <c r="J141" s="157">
        <v>0</v>
      </c>
      <c r="K141" s="162">
        <f>VLOOKUP($A141,[1]Notes!$A:$G,3,FALSE)</f>
        <v>3311999.9999999995</v>
      </c>
      <c r="L141" s="161">
        <f>VLOOKUP($A141,[1]Notes!$A:$G,5,FALSE)</f>
        <v>1987199.9999999998</v>
      </c>
      <c r="M141" s="161">
        <f>VLOOKUP($A141,[1]Notes!$A:$G,7,FALSE)</f>
        <v>2119680</v>
      </c>
      <c r="N141" s="154">
        <f t="shared" si="49"/>
        <v>7418879.9999999991</v>
      </c>
      <c r="O141" s="45">
        <f t="shared" si="38"/>
        <v>3358929.0884876153</v>
      </c>
      <c r="P141" s="45">
        <f t="shared" si="50"/>
        <v>2015357.4530925693</v>
      </c>
      <c r="Q141" s="45">
        <f t="shared" si="51"/>
        <v>2149714.6166320737</v>
      </c>
      <c r="R141" s="45">
        <f t="shared" si="52"/>
        <v>7524001.1582122575</v>
      </c>
      <c r="S141" s="153">
        <f t="shared" si="54"/>
        <v>1.4169410775246138E-2</v>
      </c>
      <c r="T141">
        <f>VLOOKUP($A141,'[2]All month (2)'!$E:$Y,8,FALSE)</f>
        <v>0</v>
      </c>
      <c r="U141">
        <f>VLOOKUP($A141,'[2]All month (2)'!$E:$Y,14,FALSE)</f>
        <v>1112750</v>
      </c>
      <c r="V141">
        <f>VLOOKUP($A141,'[2]All month (2)'!$E:$Y,20,FALSE)</f>
        <v>963750</v>
      </c>
      <c r="W141">
        <f>SUM(T141:V141)</f>
        <v>2076500</v>
      </c>
      <c r="X141" s="152">
        <f t="shared" si="53"/>
        <v>2.6234053254092258</v>
      </c>
    </row>
    <row r="142" spans="1:24" ht="15" customHeight="1" thickBot="1" x14ac:dyDescent="0.35">
      <c r="A142" s="69" t="s">
        <v>197</v>
      </c>
      <c r="B142" s="189">
        <f>VLOOKUP($A142,'Growth Analysis'!A:G,2,FALSE)</f>
        <v>0</v>
      </c>
      <c r="C142" s="189">
        <f>VLOOKUP(A142,'Growth Analysis'!A:G,4,FALSE)</f>
        <v>1</v>
      </c>
      <c r="D142" s="50">
        <f t="shared" si="45"/>
        <v>1</v>
      </c>
      <c r="E142" s="49">
        <f>VLOOKUP($A142,'Growth Analysis'!$A:$G,5,FALSE)</f>
        <v>0</v>
      </c>
      <c r="F142" s="49">
        <f>VLOOKUP($A142,'Growth Analysis'!$A:$G,6,FALSE)</f>
        <v>5062548.75</v>
      </c>
      <c r="G142" s="50">
        <f t="shared" si="46"/>
        <v>1</v>
      </c>
      <c r="H142" s="159">
        <f t="shared" si="47"/>
        <v>2.8365101088053003E-3</v>
      </c>
      <c r="I142" s="158">
        <f t="shared" si="48"/>
        <v>0</v>
      </c>
      <c r="J142" s="157">
        <v>0</v>
      </c>
      <c r="K142" s="156">
        <f>VLOOKUP($A142,[1]Notes!$A:$G,3,FALSE)</f>
        <v>2649600</v>
      </c>
      <c r="L142" s="155">
        <f>VLOOKUP($A142,[1]Notes!$A:$G,5,FALSE)</f>
        <v>1589760</v>
      </c>
      <c r="M142" s="155">
        <f>VLOOKUP($A142,[1]Notes!$A:$G,7,FALSE)</f>
        <v>1695744</v>
      </c>
      <c r="N142" s="154">
        <f t="shared" si="49"/>
        <v>5935104</v>
      </c>
      <c r="O142" s="45">
        <f t="shared" si="38"/>
        <v>3829288.6468871552</v>
      </c>
      <c r="P142" s="45">
        <f t="shared" si="50"/>
        <v>2297573.1881322931</v>
      </c>
      <c r="Q142" s="45">
        <f t="shared" si="51"/>
        <v>2450744.7340077795</v>
      </c>
      <c r="R142" s="45">
        <f t="shared" si="52"/>
        <v>8577606.5690272283</v>
      </c>
      <c r="S142" s="153">
        <f t="shared" si="54"/>
        <v>0.44523273206791791</v>
      </c>
      <c r="T142">
        <f>VLOOKUP($A142,'[2]All month (2)'!$E:$Y,8,FALSE)</f>
        <v>0</v>
      </c>
      <c r="U142">
        <f>VLOOKUP($A142,'[2]All month (2)'!$E:$Y,14,FALSE)</f>
        <v>4267971</v>
      </c>
      <c r="V142">
        <f>VLOOKUP($A142,'[2]All month (2)'!$E:$Y,20,FALSE)</f>
        <v>3056394</v>
      </c>
      <c r="W142">
        <f>SUM(T142:V142)</f>
        <v>7324365</v>
      </c>
      <c r="X142" s="152">
        <f t="shared" si="53"/>
        <v>0.17110583224992587</v>
      </c>
    </row>
    <row r="143" spans="1:24" ht="15" thickBot="1" x14ac:dyDescent="0.35">
      <c r="A143" s="68" t="s">
        <v>196</v>
      </c>
      <c r="B143" s="42">
        <f>SUM(B136:B142)</f>
        <v>0</v>
      </c>
      <c r="C143" s="40">
        <f>SUM(C136:C142)</f>
        <v>7</v>
      </c>
      <c r="D143" s="41">
        <f t="shared" si="45"/>
        <v>1</v>
      </c>
      <c r="E143" s="40">
        <f>SUM(E136:E142)</f>
        <v>0</v>
      </c>
      <c r="F143" s="40">
        <f>SUM(F136:F142)</f>
        <v>58546276.393183053</v>
      </c>
      <c r="G143" s="151">
        <f t="shared" si="46"/>
        <v>1</v>
      </c>
      <c r="H143" s="150">
        <f t="shared" si="47"/>
        <v>3.2803062848959799E-2</v>
      </c>
      <c r="I143" s="150">
        <f t="shared" si="48"/>
        <v>0</v>
      </c>
      <c r="J143" s="42">
        <f>SUM(J136:J142)</f>
        <v>0</v>
      </c>
      <c r="K143" s="149">
        <f>SUM(K136:K142)</f>
        <v>33116438.709677421</v>
      </c>
      <c r="L143" s="149">
        <f>SUM(L136:L142)</f>
        <v>19869863.225806452</v>
      </c>
      <c r="M143" s="149">
        <f>SUM(M136:M142)</f>
        <v>21194520.774193551</v>
      </c>
      <c r="N143" s="36">
        <f t="shared" si="49"/>
        <v>74180822.709677428</v>
      </c>
      <c r="O143" s="36">
        <f t="shared" si="38"/>
        <v>44284134.846095726</v>
      </c>
      <c r="P143" s="36">
        <f t="shared" si="50"/>
        <v>26570480.907657437</v>
      </c>
      <c r="Q143" s="36">
        <f t="shared" si="51"/>
        <v>28341846.301501267</v>
      </c>
      <c r="R143" s="148">
        <f t="shared" si="52"/>
        <v>99196462.05525443</v>
      </c>
      <c r="S143" s="41"/>
      <c r="T143" s="42">
        <f>SUM(T136:T142)</f>
        <v>0</v>
      </c>
      <c r="U143" s="42">
        <f>SUM(U136:U142)</f>
        <v>26522971</v>
      </c>
      <c r="V143" s="42">
        <f>SUM(V136:V142)</f>
        <v>22331394</v>
      </c>
      <c r="W143" s="147">
        <f>SUM(W136:W142)</f>
        <v>48854365</v>
      </c>
      <c r="X143" s="146">
        <f t="shared" si="53"/>
        <v>1.0304523875247265</v>
      </c>
    </row>
    <row r="144" spans="1:24" ht="15" customHeight="1" thickBot="1" x14ac:dyDescent="0.35">
      <c r="A144" s="77" t="s">
        <v>350</v>
      </c>
      <c r="B144" s="34">
        <f>B143+B135+B125</f>
        <v>9050.0986139999986</v>
      </c>
      <c r="C144" s="32">
        <f>C143+C135+C125</f>
        <v>13.048571757008638</v>
      </c>
      <c r="D144" s="33">
        <f t="shared" si="45"/>
        <v>-0.99855818457747825</v>
      </c>
      <c r="E144" s="32">
        <f>E143+E135+E125</f>
        <v>217582985.04000002</v>
      </c>
      <c r="F144" s="32">
        <f>F143+F135+F125</f>
        <v>329014353.38391101</v>
      </c>
      <c r="G144" s="145">
        <f t="shared" si="46"/>
        <v>0.51213273098273593</v>
      </c>
      <c r="H144" s="144">
        <f t="shared" si="47"/>
        <v>0.18434440543718281</v>
      </c>
      <c r="I144" s="144">
        <f t="shared" si="48"/>
        <v>0.1352474806412248</v>
      </c>
      <c r="J144" s="34">
        <f>J143+J135+J125</f>
        <v>8872.6456999999991</v>
      </c>
      <c r="K144" s="167">
        <f>K143+K135+K125</f>
        <v>233228778.33156389</v>
      </c>
      <c r="L144" s="167">
        <f>L143+L135+L125</f>
        <v>139937266.99893832</v>
      </c>
      <c r="M144" s="167">
        <f>M143+M135+M125</f>
        <v>149266418.1322009</v>
      </c>
      <c r="N144" s="28">
        <f t="shared" si="49"/>
        <v>522432463.46270311</v>
      </c>
      <c r="O144" s="28">
        <f t="shared" si="38"/>
        <v>248864947.34019679</v>
      </c>
      <c r="P144" s="28">
        <f t="shared" si="50"/>
        <v>149318968.40411806</v>
      </c>
      <c r="Q144" s="28">
        <f t="shared" si="51"/>
        <v>159273566.29772595</v>
      </c>
      <c r="R144" s="143">
        <f t="shared" si="52"/>
        <v>557457482.04204082</v>
      </c>
      <c r="S144" s="142"/>
      <c r="T144" s="34">
        <f>T143+T135+T125</f>
        <v>118486143</v>
      </c>
      <c r="U144" s="34">
        <f>U143+U135+U125</f>
        <v>137423647.5</v>
      </c>
      <c r="V144" s="34">
        <f>V143+V135+V125</f>
        <v>145616317</v>
      </c>
      <c r="W144" s="141">
        <f>W143+W135+W125</f>
        <v>401526107.5</v>
      </c>
      <c r="X144" s="140">
        <f t="shared" si="53"/>
        <v>0.38834678898691743</v>
      </c>
    </row>
    <row r="145" spans="1:24" ht="15" customHeight="1" x14ac:dyDescent="0.3">
      <c r="A145" s="73" t="s">
        <v>194</v>
      </c>
      <c r="B145" s="189">
        <f>VLOOKUP($A145,'Growth Analysis'!A:G,2,FALSE)</f>
        <v>197.15197499999999</v>
      </c>
      <c r="C145" s="189">
        <f>VLOOKUP(A145,'Growth Analysis'!A:G,4,FALSE)</f>
        <v>-0.67773285050783794</v>
      </c>
      <c r="D145" s="50">
        <f t="shared" si="45"/>
        <v>-1.0034376163389074</v>
      </c>
      <c r="E145" s="49">
        <f>VLOOKUP($A145,'Growth Analysis'!$A:$G,5,FALSE)</f>
        <v>6451367.4000000004</v>
      </c>
      <c r="F145" s="49">
        <f>VLOOKUP($A145,'Growth Analysis'!$A:$G,6,FALSE)</f>
        <v>3161623.1850000005</v>
      </c>
      <c r="G145" s="50">
        <f t="shared" si="46"/>
        <v>-0.50992975768206905</v>
      </c>
      <c r="H145" s="159">
        <f t="shared" si="47"/>
        <v>1.7714350157093722E-3</v>
      </c>
      <c r="I145" s="158">
        <f t="shared" si="48"/>
        <v>4.0101076257434577E-3</v>
      </c>
      <c r="J145" s="157">
        <v>193.28625</v>
      </c>
      <c r="K145" s="164">
        <f>VLOOKUP($A145,[1]Notes!$A:$G,3,FALSE)</f>
        <v>1324800</v>
      </c>
      <c r="L145" s="163">
        <f>VLOOKUP($A145,[1]Notes!$A:$G,5,FALSE)</f>
        <v>794880</v>
      </c>
      <c r="M145" s="163">
        <f>VLOOKUP($A145,[1]Notes!$A:$G,7,FALSE)</f>
        <v>847872</v>
      </c>
      <c r="N145" s="154">
        <f t="shared" si="49"/>
        <v>2967552</v>
      </c>
      <c r="O145" s="45">
        <f t="shared" si="38"/>
        <v>2391437.2712076525</v>
      </c>
      <c r="P145" s="45">
        <f t="shared" si="50"/>
        <v>1434862.3627245915</v>
      </c>
      <c r="Q145" s="45">
        <f t="shared" si="51"/>
        <v>1530519.8535728976</v>
      </c>
      <c r="R145" s="45">
        <f t="shared" si="52"/>
        <v>5356819.4875051416</v>
      </c>
      <c r="S145" s="153">
        <f t="shared" ref="S145:S152" si="55">R145/N145-1</f>
        <v>0.80513079046471359</v>
      </c>
      <c r="T145">
        <f>VLOOKUP($A145,'[2]All month (2)'!$E:$Y,8,FALSE)</f>
        <v>1904782</v>
      </c>
      <c r="U145">
        <f>VLOOKUP($A145,'[2]All month (2)'!$E:$Y,14,FALSE)</f>
        <v>1088986</v>
      </c>
      <c r="V145">
        <f>VLOOKUP($A145,'[2]All month (2)'!$E:$Y,20,FALSE)</f>
        <v>2114000</v>
      </c>
      <c r="W145">
        <f>SUM(T145:V145)</f>
        <v>5107768</v>
      </c>
      <c r="X145" s="152">
        <f t="shared" si="53"/>
        <v>4.8759357806607825E-2</v>
      </c>
    </row>
    <row r="146" spans="1:24" ht="15" customHeight="1" x14ac:dyDescent="0.3">
      <c r="A146" s="178" t="s">
        <v>193</v>
      </c>
      <c r="B146" s="189">
        <f>VLOOKUP($A146,'Growth Analysis'!A:G,2,FALSE)</f>
        <v>0</v>
      </c>
      <c r="C146" s="189">
        <f>VLOOKUP(A146,'Growth Analysis'!A:G,4,FALSE)</f>
        <v>1</v>
      </c>
      <c r="D146" s="50">
        <f t="shared" si="45"/>
        <v>1</v>
      </c>
      <c r="E146" s="49">
        <f>VLOOKUP($A146,'Growth Analysis'!$A:$G,5,FALSE)</f>
        <v>0</v>
      </c>
      <c r="F146" s="49">
        <f>VLOOKUP($A146,'Growth Analysis'!$A:$G,6,FALSE)</f>
        <v>4979459.8770000003</v>
      </c>
      <c r="G146" s="50">
        <f t="shared" si="46"/>
        <v>1</v>
      </c>
      <c r="H146" s="159">
        <f t="shared" si="47"/>
        <v>2.7899560033868118E-3</v>
      </c>
      <c r="I146" s="158">
        <f t="shared" si="48"/>
        <v>0</v>
      </c>
      <c r="J146" s="157">
        <v>0</v>
      </c>
      <c r="K146" s="162">
        <f>VLOOKUP($A146,[1]Notes!$A:$G,3,FALSE)</f>
        <v>1766400.0000000002</v>
      </c>
      <c r="L146" s="161">
        <f>VLOOKUP($A146,[1]Notes!$A:$G,5,FALSE)</f>
        <v>1059840</v>
      </c>
      <c r="M146" s="161">
        <f>VLOOKUP($A146,[1]Notes!$A:$G,7,FALSE)</f>
        <v>1130496</v>
      </c>
      <c r="N146" s="154">
        <f t="shared" si="49"/>
        <v>3956736</v>
      </c>
      <c r="O146" s="45">
        <f t="shared" si="38"/>
        <v>3766440.604572196</v>
      </c>
      <c r="P146" s="45">
        <f t="shared" si="50"/>
        <v>2259864.3627433176</v>
      </c>
      <c r="Q146" s="45">
        <f t="shared" si="51"/>
        <v>2410521.9869262055</v>
      </c>
      <c r="R146" s="45">
        <f t="shared" si="52"/>
        <v>8436826.9542417191</v>
      </c>
      <c r="S146" s="153">
        <f t="shared" si="55"/>
        <v>1.1322693640014698</v>
      </c>
      <c r="X146" s="152">
        <f t="shared" si="53"/>
        <v>1</v>
      </c>
    </row>
    <row r="147" spans="1:24" ht="15" customHeight="1" x14ac:dyDescent="0.3">
      <c r="A147" s="178" t="s">
        <v>192</v>
      </c>
      <c r="B147" s="189">
        <f>VLOOKUP($A147,'Growth Analysis'!A:G,2,FALSE)</f>
        <v>0</v>
      </c>
      <c r="C147" s="189">
        <f>VLOOKUP(A147,'Growth Analysis'!A:G,4,FALSE)</f>
        <v>1</v>
      </c>
      <c r="D147" s="50">
        <f t="shared" si="45"/>
        <v>1</v>
      </c>
      <c r="E147" s="49">
        <f>VLOOKUP($A147,'Growth Analysis'!$A:$G,5,FALSE)</f>
        <v>0</v>
      </c>
      <c r="F147" s="49">
        <f>VLOOKUP($A147,'Growth Analysis'!$A:$G,6,FALSE)</f>
        <v>0</v>
      </c>
      <c r="G147" s="50">
        <f t="shared" si="46"/>
        <v>1</v>
      </c>
      <c r="H147" s="159">
        <f t="shared" si="47"/>
        <v>0</v>
      </c>
      <c r="I147" s="158">
        <f t="shared" si="48"/>
        <v>0</v>
      </c>
      <c r="J147" s="157">
        <v>0</v>
      </c>
      <c r="K147" s="162">
        <f>VLOOKUP($A147,[1]Notes!$A:$G,3,FALSE)</f>
        <v>1324800</v>
      </c>
      <c r="L147" s="161">
        <f>VLOOKUP($A147,[1]Notes!$A:$G,5,FALSE)</f>
        <v>794880</v>
      </c>
      <c r="M147" s="161">
        <f>VLOOKUP($A147,[1]Notes!$A:$G,7,FALSE)</f>
        <v>847872</v>
      </c>
      <c r="N147" s="154">
        <f t="shared" si="49"/>
        <v>2967552</v>
      </c>
      <c r="O147" s="45">
        <f t="shared" si="38"/>
        <v>0</v>
      </c>
      <c r="P147" s="45">
        <f t="shared" si="50"/>
        <v>0</v>
      </c>
      <c r="Q147" s="45">
        <f t="shared" si="51"/>
        <v>0</v>
      </c>
      <c r="R147" s="45">
        <f t="shared" si="52"/>
        <v>0</v>
      </c>
      <c r="S147" s="153">
        <f t="shared" si="55"/>
        <v>-1</v>
      </c>
      <c r="X147" s="152">
        <f t="shared" si="53"/>
        <v>1</v>
      </c>
    </row>
    <row r="148" spans="1:24" ht="15" customHeight="1" x14ac:dyDescent="0.3">
      <c r="A148" s="70" t="s">
        <v>191</v>
      </c>
      <c r="B148" s="189">
        <f>VLOOKUP($A148,'Growth Analysis'!A:G,2,FALSE)</f>
        <v>62.026200000000003</v>
      </c>
      <c r="C148" s="189">
        <f>VLOOKUP(A148,'Growth Analysis'!A:G,4,FALSE)</f>
        <v>2.3154207415576052E-2</v>
      </c>
      <c r="D148" s="50">
        <f t="shared" si="45"/>
        <v>-0.99962670278986021</v>
      </c>
      <c r="E148" s="49">
        <f>VLOOKUP($A148,'Growth Analysis'!$A:$G,5,FALSE)</f>
        <v>1723800</v>
      </c>
      <c r="F148" s="49">
        <f>VLOOKUP($A148,'Growth Analysis'!$A:$G,6,FALSE)</f>
        <v>2862787.9770000004</v>
      </c>
      <c r="G148" s="50">
        <f t="shared" si="46"/>
        <v>0.66074253219631074</v>
      </c>
      <c r="H148" s="159">
        <f t="shared" si="47"/>
        <v>1.6039997710889751E-3</v>
      </c>
      <c r="I148" s="158">
        <f t="shared" si="48"/>
        <v>1.071497420106096E-3</v>
      </c>
      <c r="J148" s="157">
        <v>60.81</v>
      </c>
      <c r="K148" s="162">
        <f>VLOOKUP($A148,[1]Notes!$A:$G,3,FALSE)</f>
        <v>1324800</v>
      </c>
      <c r="L148" s="161">
        <f>VLOOKUP($A148,[1]Notes!$A:$G,5,FALSE)</f>
        <v>794880</v>
      </c>
      <c r="M148" s="161">
        <f>VLOOKUP($A148,[1]Notes!$A:$G,7,FALSE)</f>
        <v>847872</v>
      </c>
      <c r="N148" s="154">
        <f t="shared" si="49"/>
        <v>2967552</v>
      </c>
      <c r="O148" s="45">
        <f t="shared" si="38"/>
        <v>2165399.6909701163</v>
      </c>
      <c r="P148" s="45">
        <f t="shared" si="50"/>
        <v>1299239.8145820699</v>
      </c>
      <c r="Q148" s="45">
        <f t="shared" si="51"/>
        <v>1385855.8022208745</v>
      </c>
      <c r="R148" s="45">
        <f t="shared" si="52"/>
        <v>4850495.3077730611</v>
      </c>
      <c r="S148" s="153">
        <f t="shared" si="55"/>
        <v>0.63451063629990689</v>
      </c>
      <c r="T148">
        <v>1032500</v>
      </c>
      <c r="U148">
        <v>854910</v>
      </c>
      <c r="V148">
        <v>352000</v>
      </c>
      <c r="W148">
        <f>SUM(T148:V148)</f>
        <v>2239410</v>
      </c>
      <c r="X148" s="152">
        <f t="shared" si="53"/>
        <v>1.1659701920474863</v>
      </c>
    </row>
    <row r="149" spans="1:24" ht="15" customHeight="1" x14ac:dyDescent="0.3">
      <c r="A149" s="173" t="s">
        <v>190</v>
      </c>
      <c r="B149" s="189">
        <f>VLOOKUP($A149,'Growth Analysis'!A:G,2,FALSE)</f>
        <v>0</v>
      </c>
      <c r="C149" s="189">
        <f>VLOOKUP(A149,'Growth Analysis'!A:G,4,FALSE)</f>
        <v>1</v>
      </c>
      <c r="D149" s="50">
        <f t="shared" si="45"/>
        <v>1</v>
      </c>
      <c r="E149" s="49">
        <f>VLOOKUP($A149,'Growth Analysis'!$A:$G,5,FALSE)</f>
        <v>0</v>
      </c>
      <c r="F149" s="49">
        <f>VLOOKUP($A149,'Growth Analysis'!$A:$G,6,FALSE)</f>
        <v>411600</v>
      </c>
      <c r="G149" s="50">
        <f t="shared" si="46"/>
        <v>1</v>
      </c>
      <c r="H149" s="159">
        <f t="shared" si="47"/>
        <v>2.3061655668683915E-4</v>
      </c>
      <c r="I149" s="158">
        <f t="shared" si="48"/>
        <v>0</v>
      </c>
      <c r="J149" s="157">
        <v>0</v>
      </c>
      <c r="K149" s="162">
        <f>VLOOKUP($A149,[1]Notes!$A:$G,3,FALSE)</f>
        <v>1324800</v>
      </c>
      <c r="L149" s="161">
        <f>VLOOKUP($A149,[1]Notes!$A:$G,5,FALSE)</f>
        <v>794880</v>
      </c>
      <c r="M149" s="161">
        <f>VLOOKUP($A149,[1]Notes!$A:$G,7,FALSE)</f>
        <v>847872</v>
      </c>
      <c r="N149" s="154">
        <f t="shared" si="49"/>
        <v>2967552</v>
      </c>
      <c r="O149" s="45">
        <f t="shared" ref="O149:O212" si="56">$O$3*H149</f>
        <v>311332.35152723285</v>
      </c>
      <c r="P149" s="45">
        <f t="shared" si="50"/>
        <v>186799.41091633972</v>
      </c>
      <c r="Q149" s="45">
        <f t="shared" si="51"/>
        <v>199252.70497742904</v>
      </c>
      <c r="R149" s="45">
        <f t="shared" si="52"/>
        <v>697384.46742100164</v>
      </c>
      <c r="S149" s="153">
        <f t="shared" si="55"/>
        <v>-0.76499671533270464</v>
      </c>
      <c r="X149" s="152">
        <f t="shared" si="53"/>
        <v>1</v>
      </c>
    </row>
    <row r="150" spans="1:24" ht="15" customHeight="1" x14ac:dyDescent="0.3">
      <c r="A150" s="70" t="s">
        <v>189</v>
      </c>
      <c r="B150" s="189">
        <f>VLOOKUP($A150,'Growth Analysis'!A:G,2,FALSE)</f>
        <v>85.759560000000008</v>
      </c>
      <c r="C150" s="189">
        <f>VLOOKUP(A150,'Growth Analysis'!A:G,4,FALSE)</f>
        <v>-0.91642870485809391</v>
      </c>
      <c r="D150" s="50">
        <f t="shared" si="45"/>
        <v>-1.0106860238655386</v>
      </c>
      <c r="E150" s="49">
        <f>VLOOKUP($A150,'Growth Analysis'!$A:$G,5,FALSE)</f>
        <v>3915984</v>
      </c>
      <c r="F150" s="49">
        <f>VLOOKUP($A150,'Growth Analysis'!$A:$G,6,FALSE)</f>
        <v>2325951.0000000005</v>
      </c>
      <c r="G150" s="50">
        <f t="shared" si="46"/>
        <v>-0.40603664366350822</v>
      </c>
      <c r="H150" s="159">
        <f t="shared" si="47"/>
        <v>1.3032138256615898E-3</v>
      </c>
      <c r="I150" s="158">
        <f t="shared" si="48"/>
        <v>2.4341378078528543E-3</v>
      </c>
      <c r="J150" s="157">
        <v>84.078000000000003</v>
      </c>
      <c r="K150" s="162">
        <f>VLOOKUP($A150,[1]Notes!$A:$G,3,FALSE)</f>
        <v>662400</v>
      </c>
      <c r="L150" s="161">
        <f>VLOOKUP($A150,[1]Notes!$A:$G,5,FALSE)</f>
        <v>397440</v>
      </c>
      <c r="M150" s="161">
        <f>VLOOKUP($A150,[1]Notes!$A:$G,7,FALSE)</f>
        <v>423936</v>
      </c>
      <c r="N150" s="154">
        <f t="shared" si="49"/>
        <v>1483776</v>
      </c>
      <c r="O150" s="45">
        <f t="shared" si="56"/>
        <v>1759338.6646431461</v>
      </c>
      <c r="P150" s="45">
        <f t="shared" si="50"/>
        <v>1055603.1987858878</v>
      </c>
      <c r="Q150" s="45">
        <f t="shared" si="51"/>
        <v>1125976.7453716137</v>
      </c>
      <c r="R150" s="45">
        <f t="shared" si="52"/>
        <v>3940918.6088006478</v>
      </c>
      <c r="S150" s="153">
        <f t="shared" si="55"/>
        <v>1.6560064381690012</v>
      </c>
      <c r="T150">
        <f>VLOOKUP($A150,'[2]All month (2)'!$E:$Y,8,FALSE)</f>
        <v>632500</v>
      </c>
      <c r="U150">
        <f>VLOOKUP($A150,'[2]All month (2)'!$E:$Y,14,FALSE)</f>
        <v>700000</v>
      </c>
      <c r="V150">
        <f>VLOOKUP($A150,'[2]All month (2)'!$E:$Y,20,FALSE)</f>
        <v>1337000</v>
      </c>
      <c r="W150">
        <f>SUM(T150:V150)</f>
        <v>2669500</v>
      </c>
      <c r="X150" s="152">
        <f t="shared" si="53"/>
        <v>0.47627593511917882</v>
      </c>
    </row>
    <row r="151" spans="1:24" ht="15" customHeight="1" x14ac:dyDescent="0.3">
      <c r="A151" s="178" t="s">
        <v>188</v>
      </c>
      <c r="B151" s="189">
        <f>VLOOKUP($A151,'Growth Analysis'!A:G,2,FALSE)</f>
        <v>0</v>
      </c>
      <c r="C151" s="189">
        <f>VLOOKUP(A151,'Growth Analysis'!A:G,4,FALSE)</f>
        <v>1</v>
      </c>
      <c r="D151" s="50">
        <f t="shared" si="45"/>
        <v>1</v>
      </c>
      <c r="E151" s="49">
        <f>VLOOKUP($A151,'Growth Analysis'!$A:$G,5,FALSE)</f>
        <v>0</v>
      </c>
      <c r="F151" s="49">
        <f>VLOOKUP($A151,'Growth Analysis'!$A:$G,6,FALSE)</f>
        <v>1744463.25</v>
      </c>
      <c r="G151" s="50">
        <f t="shared" si="46"/>
        <v>1</v>
      </c>
      <c r="H151" s="159">
        <f t="shared" si="47"/>
        <v>9.7741036924619195E-4</v>
      </c>
      <c r="I151" s="158">
        <f t="shared" si="48"/>
        <v>0</v>
      </c>
      <c r="J151" s="157">
        <v>0</v>
      </c>
      <c r="K151" s="162">
        <f>VLOOKUP($A151,[1]Notes!$A:$G,3,FALSE)</f>
        <v>662400</v>
      </c>
      <c r="L151" s="161">
        <f>VLOOKUP($A151,[1]Notes!$A:$G,5,FALSE)</f>
        <v>397440</v>
      </c>
      <c r="M151" s="161">
        <f>VLOOKUP($A151,[1]Notes!$A:$G,7,FALSE)</f>
        <v>423936</v>
      </c>
      <c r="N151" s="154">
        <f t="shared" si="49"/>
        <v>1483776</v>
      </c>
      <c r="O151" s="45">
        <f t="shared" si="56"/>
        <v>1319503.9984823591</v>
      </c>
      <c r="P151" s="45">
        <f t="shared" si="50"/>
        <v>791702.39908941544</v>
      </c>
      <c r="Q151" s="45">
        <f t="shared" si="51"/>
        <v>844482.55902870989</v>
      </c>
      <c r="R151" s="45">
        <f t="shared" si="52"/>
        <v>2955688.9566004844</v>
      </c>
      <c r="S151" s="153">
        <f t="shared" si="55"/>
        <v>0.99200482862674999</v>
      </c>
      <c r="X151" s="152">
        <f t="shared" si="53"/>
        <v>1</v>
      </c>
    </row>
    <row r="152" spans="1:24" ht="15" customHeight="1" thickBot="1" x14ac:dyDescent="0.35">
      <c r="A152" s="76" t="s">
        <v>187</v>
      </c>
      <c r="B152" s="189">
        <f>VLOOKUP($A152,'Growth Analysis'!A:G,2,FALSE)</f>
        <v>148.30034999999998</v>
      </c>
      <c r="C152" s="189">
        <f>VLOOKUP(A152,'Growth Analysis'!A:G,4,FALSE)</f>
        <v>-0.39849939666359507</v>
      </c>
      <c r="D152" s="50">
        <f t="shared" si="45"/>
        <v>-1.0026871102911328</v>
      </c>
      <c r="E152" s="49">
        <f>VLOOKUP($A152,'Growth Analysis'!$A:$G,5,FALSE)</f>
        <v>4548190.2</v>
      </c>
      <c r="F152" s="49">
        <f>VLOOKUP($A152,'Growth Analysis'!$A:$G,6,FALSE)</f>
        <v>3455241.3000000003</v>
      </c>
      <c r="G152" s="50">
        <f t="shared" si="46"/>
        <v>-0.24030413239973997</v>
      </c>
      <c r="H152" s="159">
        <f t="shared" si="47"/>
        <v>1.9359471601753107E-3</v>
      </c>
      <c r="I152" s="158">
        <f t="shared" si="48"/>
        <v>2.8271110717321205E-3</v>
      </c>
      <c r="J152" s="157">
        <v>145.39249999999998</v>
      </c>
      <c r="K152" s="156">
        <f>VLOOKUP($A152,[1]Notes!$A:$G,3,FALSE)</f>
        <v>3974400</v>
      </c>
      <c r="L152" s="155">
        <f>VLOOKUP($A152,[1]Notes!$A:$G,5,FALSE)</f>
        <v>2384640</v>
      </c>
      <c r="M152" s="155">
        <f>VLOOKUP($A152,[1]Notes!$A:$G,7,FALSE)</f>
        <v>2543616</v>
      </c>
      <c r="N152" s="154">
        <f t="shared" si="49"/>
        <v>8902656</v>
      </c>
      <c r="O152" s="45">
        <f t="shared" si="56"/>
        <v>2613528.6662366693</v>
      </c>
      <c r="P152" s="45">
        <f t="shared" si="50"/>
        <v>1568117.1997420017</v>
      </c>
      <c r="Q152" s="45">
        <f t="shared" si="51"/>
        <v>1672658.3463914683</v>
      </c>
      <c r="R152" s="45">
        <f t="shared" si="52"/>
        <v>5854304.2123701395</v>
      </c>
      <c r="S152" s="153">
        <f t="shared" si="55"/>
        <v>-0.34240925265784283</v>
      </c>
      <c r="T152">
        <f>VLOOKUP($A152,'[2]All month (2)'!$E:$Y,8,FALSE)</f>
        <v>2320650</v>
      </c>
      <c r="U152">
        <f>VLOOKUP($A152,'[2]All month (2)'!$E:$Y,14,FALSE)</f>
        <v>1202700</v>
      </c>
      <c r="V152">
        <f>VLOOKUP($A152,'[2]All month (2)'!$E:$Y,20,FALSE)</f>
        <v>1741725</v>
      </c>
      <c r="W152">
        <f>SUM(T152:V152)</f>
        <v>5265075</v>
      </c>
      <c r="X152" s="152">
        <f t="shared" si="53"/>
        <v>0.11191278611798304</v>
      </c>
    </row>
    <row r="153" spans="1:24" ht="15" thickBot="1" x14ac:dyDescent="0.35">
      <c r="A153" s="68" t="s">
        <v>186</v>
      </c>
      <c r="B153" s="42">
        <f>SUM(B145:B152)</f>
        <v>493.23808500000001</v>
      </c>
      <c r="C153" s="40">
        <f>SUM(C145:C152)</f>
        <v>2.0304932553860491</v>
      </c>
      <c r="D153" s="41">
        <f t="shared" si="45"/>
        <v>-0.99588334048578986</v>
      </c>
      <c r="E153" s="40">
        <f>SUM(E145:E152)</f>
        <v>16639341.600000001</v>
      </c>
      <c r="F153" s="40">
        <f>SUM(F145:F152)</f>
        <v>18941126.589000002</v>
      </c>
      <c r="G153" s="151">
        <f t="shared" si="46"/>
        <v>0.13833389831963061</v>
      </c>
      <c r="H153" s="150">
        <f t="shared" si="47"/>
        <v>1.0612578701955091E-2</v>
      </c>
      <c r="I153" s="150">
        <f t="shared" si="48"/>
        <v>1.0342853925434528E-2</v>
      </c>
      <c r="J153" s="42">
        <f>SUM(J145:J152)</f>
        <v>483.56675000000001</v>
      </c>
      <c r="K153" s="165">
        <f>SUM(K145:K152)</f>
        <v>12364800</v>
      </c>
      <c r="L153" s="165">
        <f>SUM(L145:L152)</f>
        <v>7418880</v>
      </c>
      <c r="M153" s="165">
        <f>SUM(M145:M152)</f>
        <v>7913472</v>
      </c>
      <c r="N153" s="36">
        <f t="shared" si="49"/>
        <v>27697152</v>
      </c>
      <c r="O153" s="36">
        <f t="shared" si="56"/>
        <v>14326981.247639373</v>
      </c>
      <c r="P153" s="36">
        <f t="shared" si="50"/>
        <v>8596188.7485836241</v>
      </c>
      <c r="Q153" s="36">
        <f t="shared" si="51"/>
        <v>9169267.9984891973</v>
      </c>
      <c r="R153" s="148">
        <f t="shared" si="52"/>
        <v>32092437.994712193</v>
      </c>
      <c r="S153" s="41"/>
      <c r="T153" s="42">
        <f>SUM(T145:T152)</f>
        <v>5890432</v>
      </c>
      <c r="U153" s="42">
        <f>SUM(U145:U152)</f>
        <v>3846596</v>
      </c>
      <c r="V153" s="42">
        <f>SUM(V145:V152)</f>
        <v>5544725</v>
      </c>
      <c r="W153" s="147">
        <f>SUM(W145:W152)</f>
        <v>15281753</v>
      </c>
      <c r="X153" s="146">
        <f t="shared" si="53"/>
        <v>1.1000495162244928</v>
      </c>
    </row>
    <row r="154" spans="1:24" ht="15" customHeight="1" x14ac:dyDescent="0.3">
      <c r="A154" s="73" t="s">
        <v>185</v>
      </c>
      <c r="B154" s="189">
        <f>VLOOKUP($A154,'Growth Analysis'!A:G,2,FALSE)</f>
        <v>234.15018000000001</v>
      </c>
      <c r="C154" s="189">
        <f>VLOOKUP(A154,'Growth Analysis'!A:G,4,FALSE)</f>
        <v>-0.66602793386705905</v>
      </c>
      <c r="D154" s="50">
        <f t="shared" si="45"/>
        <v>-1.0028444476697267</v>
      </c>
      <c r="E154" s="49">
        <f>VLOOKUP($A154,'Growth Analysis'!$A:$G,5,FALSE)</f>
        <v>5858625</v>
      </c>
      <c r="F154" s="49">
        <f>VLOOKUP($A154,'Growth Analysis'!$A:$G,6,FALSE)</f>
        <v>4134281.5922916667</v>
      </c>
      <c r="G154" s="50">
        <f t="shared" si="46"/>
        <v>-0.29432561526097561</v>
      </c>
      <c r="H154" s="159">
        <f t="shared" si="47"/>
        <v>2.3164086131877717E-3</v>
      </c>
      <c r="I154" s="158">
        <f t="shared" si="48"/>
        <v>3.6416646785410586E-3</v>
      </c>
      <c r="J154" s="157">
        <v>229.559</v>
      </c>
      <c r="K154" s="164">
        <f>VLOOKUP($A154,[1]Notes!$A:$G,3,FALSE)</f>
        <v>3091199.9999999995</v>
      </c>
      <c r="L154" s="163">
        <f>VLOOKUP($A154,[1]Notes!$A:$G,5,FALSE)</f>
        <v>1854720</v>
      </c>
      <c r="M154" s="163">
        <f>VLOOKUP($A154,[1]Notes!$A:$G,7,FALSE)</f>
        <v>1978368</v>
      </c>
      <c r="N154" s="154">
        <f t="shared" si="49"/>
        <v>6924288</v>
      </c>
      <c r="O154" s="45">
        <f t="shared" si="56"/>
        <v>3127151.6278034919</v>
      </c>
      <c r="P154" s="45">
        <f t="shared" si="50"/>
        <v>1876290.9766820951</v>
      </c>
      <c r="Q154" s="45">
        <f t="shared" si="51"/>
        <v>2001377.0417942347</v>
      </c>
      <c r="R154" s="45">
        <f t="shared" si="52"/>
        <v>7004819.6462798221</v>
      </c>
      <c r="S154" s="153">
        <f t="shared" ref="S154:S161" si="57">R154/N154-1</f>
        <v>1.1630314377423678E-2</v>
      </c>
      <c r="T154">
        <f>VLOOKUP($A154,'[2]All month (2)'!$E:$Y,8,FALSE)</f>
        <v>5038367</v>
      </c>
      <c r="U154">
        <f>VLOOKUP($A154,'[2]All month (2)'!$E:$Y,14,FALSE)</f>
        <v>876891.6</v>
      </c>
      <c r="V154">
        <f>VLOOKUP($A154,'[2]All month (2)'!$E:$Y,20,FALSE)</f>
        <v>1892488.52</v>
      </c>
      <c r="W154">
        <f>SUM(T154:V154)</f>
        <v>7807747.1199999992</v>
      </c>
      <c r="X154" s="152">
        <f t="shared" si="53"/>
        <v>-0.10283727961212161</v>
      </c>
    </row>
    <row r="155" spans="1:24" ht="15" customHeight="1" x14ac:dyDescent="0.3">
      <c r="A155" s="70" t="s">
        <v>184</v>
      </c>
      <c r="B155" s="189">
        <f>VLOOKUP($A155,'Growth Analysis'!A:G,2,FALSE)</f>
        <v>0</v>
      </c>
      <c r="C155" s="189">
        <f>VLOOKUP(A155,'Growth Analysis'!A:G,4,FALSE)</f>
        <v>1</v>
      </c>
      <c r="D155" s="50">
        <f t="shared" si="45"/>
        <v>1</v>
      </c>
      <c r="E155" s="49">
        <f>VLOOKUP($A155,'Growth Analysis'!$A:$G,5,FALSE)</f>
        <v>0</v>
      </c>
      <c r="F155" s="49">
        <f>VLOOKUP($A155,'Growth Analysis'!$A:$G,6,FALSE)</f>
        <v>3438058.7599652773</v>
      </c>
      <c r="G155" s="50">
        <f t="shared" si="46"/>
        <v>1</v>
      </c>
      <c r="H155" s="159">
        <f t="shared" si="47"/>
        <v>1.92631990502968E-3</v>
      </c>
      <c r="I155" s="158">
        <f t="shared" si="48"/>
        <v>0</v>
      </c>
      <c r="J155" s="157">
        <v>0</v>
      </c>
      <c r="K155" s="162">
        <f>VLOOKUP($A155,[1]Notes!$A:$G,3,FALSE)</f>
        <v>1987200</v>
      </c>
      <c r="L155" s="161">
        <f>VLOOKUP($A155,[1]Notes!$A:$G,5,FALSE)</f>
        <v>1192320</v>
      </c>
      <c r="M155" s="161">
        <f>VLOOKUP($A155,[1]Notes!$A:$G,7,FALSE)</f>
        <v>1271808</v>
      </c>
      <c r="N155" s="154">
        <f t="shared" si="49"/>
        <v>4451328</v>
      </c>
      <c r="O155" s="45">
        <f t="shared" si="56"/>
        <v>2600531.8717900682</v>
      </c>
      <c r="P155" s="45">
        <f t="shared" si="50"/>
        <v>1560319.1230740407</v>
      </c>
      <c r="Q155" s="45">
        <f t="shared" si="51"/>
        <v>1664340.3979456436</v>
      </c>
      <c r="R155" s="45">
        <f t="shared" si="52"/>
        <v>5825191.3928097524</v>
      </c>
      <c r="S155" s="153">
        <f t="shared" si="57"/>
        <v>0.30864123982994562</v>
      </c>
      <c r="T155">
        <f>VLOOKUP($A155,'[2]All month (2)'!$E:$Y,8,FALSE)</f>
        <v>0</v>
      </c>
      <c r="U155">
        <f>VLOOKUP($A155,'[2]All month (2)'!$E:$Y,14,FALSE)</f>
        <v>725121.9</v>
      </c>
      <c r="V155">
        <f>VLOOKUP($A155,'[2]All month (2)'!$E:$Y,20,FALSE)</f>
        <v>1564942.43</v>
      </c>
      <c r="W155">
        <f>SUM(T155:V155)</f>
        <v>2290064.33</v>
      </c>
      <c r="X155" s="152">
        <f t="shared" si="53"/>
        <v>1.5436802436068475</v>
      </c>
    </row>
    <row r="156" spans="1:24" ht="15" customHeight="1" x14ac:dyDescent="0.3">
      <c r="A156" s="70" t="s">
        <v>183</v>
      </c>
      <c r="B156" s="189">
        <f>VLOOKUP($A156,'Growth Analysis'!A:G,2,FALSE)</f>
        <v>0</v>
      </c>
      <c r="C156" s="189">
        <f>VLOOKUP(A156,'Growth Analysis'!A:G,4,FALSE)</f>
        <v>1</v>
      </c>
      <c r="D156" s="50">
        <f t="shared" si="45"/>
        <v>1</v>
      </c>
      <c r="E156" s="49">
        <f>VLOOKUP($A156,'Growth Analysis'!$A:$G,5,FALSE)</f>
        <v>0</v>
      </c>
      <c r="F156" s="49">
        <f>VLOOKUP($A156,'Growth Analysis'!$A:$G,6,FALSE)</f>
        <v>1743198.1594270833</v>
      </c>
      <c r="G156" s="50">
        <f t="shared" si="46"/>
        <v>1</v>
      </c>
      <c r="H156" s="159">
        <f t="shared" si="47"/>
        <v>9.7670154798325964E-4</v>
      </c>
      <c r="I156" s="158">
        <f t="shared" si="48"/>
        <v>0</v>
      </c>
      <c r="J156" s="157">
        <v>0</v>
      </c>
      <c r="K156" s="162">
        <f>VLOOKUP($A156,[1]Notes!$A:$G,3,FALSE)</f>
        <v>993600</v>
      </c>
      <c r="L156" s="161">
        <f>VLOOKUP($A156,[1]Notes!$A:$G,5,FALSE)</f>
        <v>596160</v>
      </c>
      <c r="M156" s="161">
        <f>VLOOKUP($A156,[1]Notes!$A:$G,7,FALSE)</f>
        <v>635904</v>
      </c>
      <c r="N156" s="154">
        <f t="shared" si="49"/>
        <v>2225664</v>
      </c>
      <c r="O156" s="45">
        <f t="shared" si="56"/>
        <v>1318547.0897774005</v>
      </c>
      <c r="P156" s="45">
        <f t="shared" si="50"/>
        <v>791128.25386644027</v>
      </c>
      <c r="Q156" s="45">
        <f t="shared" si="51"/>
        <v>843870.1374575363</v>
      </c>
      <c r="R156" s="45">
        <f t="shared" si="52"/>
        <v>2953545.4811013769</v>
      </c>
      <c r="S156" s="153">
        <f t="shared" si="57"/>
        <v>0.32704014671638526</v>
      </c>
      <c r="T156">
        <f>VLOOKUP($A156,'[2]All month (2)'!$E:$Y,8,FALSE)</f>
        <v>0</v>
      </c>
      <c r="U156">
        <f>VLOOKUP($A156,'[2]All month (2)'!$E:$Y,14,FALSE)</f>
        <v>33726.6</v>
      </c>
      <c r="V156">
        <f>VLOOKUP($A156,'[2]All month (2)'!$E:$Y,20,FALSE)</f>
        <v>72788.02</v>
      </c>
      <c r="W156">
        <f>SUM(T156:V156)</f>
        <v>106514.62</v>
      </c>
      <c r="X156" s="152">
        <f t="shared" si="53"/>
        <v>26.729014862949114</v>
      </c>
    </row>
    <row r="157" spans="1:24" ht="15" customHeight="1" x14ac:dyDescent="0.3">
      <c r="A157" s="70" t="s">
        <v>182</v>
      </c>
      <c r="B157" s="189">
        <f>VLOOKUP($A157,'Growth Analysis'!A:G,2,FALSE)</f>
        <v>0</v>
      </c>
      <c r="C157" s="189">
        <f>VLOOKUP(A157,'Growth Analysis'!A:G,4,FALSE)</f>
        <v>1</v>
      </c>
      <c r="D157" s="50">
        <f t="shared" si="45"/>
        <v>1</v>
      </c>
      <c r="E157" s="49">
        <f>VLOOKUP($A157,'Growth Analysis'!$A:$G,5,FALSE)</f>
        <v>0</v>
      </c>
      <c r="F157" s="49">
        <f>VLOOKUP($A157,'Growth Analysis'!$A:$G,6,FALSE)</f>
        <v>1356497.688315972</v>
      </c>
      <c r="G157" s="50">
        <f t="shared" si="46"/>
        <v>1</v>
      </c>
      <c r="H157" s="159">
        <f t="shared" si="47"/>
        <v>7.6003602048854864E-4</v>
      </c>
      <c r="I157" s="158">
        <f t="shared" si="48"/>
        <v>0</v>
      </c>
      <c r="J157" s="157">
        <v>0</v>
      </c>
      <c r="K157" s="162">
        <f>VLOOKUP($A157,[1]Notes!$A:$G,3,FALSE)</f>
        <v>993600</v>
      </c>
      <c r="L157" s="161">
        <f>VLOOKUP($A157,[1]Notes!$A:$G,5,FALSE)</f>
        <v>596160</v>
      </c>
      <c r="M157" s="161">
        <f>VLOOKUP($A157,[1]Notes!$A:$G,7,FALSE)</f>
        <v>635904</v>
      </c>
      <c r="N157" s="154">
        <f t="shared" si="49"/>
        <v>2225664</v>
      </c>
      <c r="O157" s="45">
        <f t="shared" si="56"/>
        <v>1026048.6276595406</v>
      </c>
      <c r="P157" s="45">
        <f t="shared" si="50"/>
        <v>615629.17659572442</v>
      </c>
      <c r="Q157" s="45">
        <f t="shared" si="51"/>
        <v>656671.12170210597</v>
      </c>
      <c r="R157" s="45">
        <f t="shared" si="52"/>
        <v>2298348.925957371</v>
      </c>
      <c r="S157" s="153">
        <f t="shared" si="57"/>
        <v>3.2657636533354184E-2</v>
      </c>
      <c r="T157">
        <f>VLOOKUP($A157,'[2]All month (2)'!$E:$Y,8,FALSE)</f>
        <v>0</v>
      </c>
      <c r="U157">
        <f>VLOOKUP($A157,'[2]All month (2)'!$E:$Y,14,FALSE)</f>
        <v>50589.9</v>
      </c>
      <c r="V157">
        <f>VLOOKUP($A157,'[2]All month (2)'!$E:$Y,20,FALSE)</f>
        <v>109182.03</v>
      </c>
      <c r="W157">
        <f>SUM(T157:V157)</f>
        <v>159771.93</v>
      </c>
      <c r="X157" s="152">
        <f t="shared" si="53"/>
        <v>13.385185970760764</v>
      </c>
    </row>
    <row r="158" spans="1:24" ht="15" customHeight="1" x14ac:dyDescent="0.3">
      <c r="A158" s="71" t="s">
        <v>181</v>
      </c>
      <c r="B158" s="189">
        <f>VLOOKUP($A158,'Growth Analysis'!A:G,2,FALSE)</f>
        <v>0</v>
      </c>
      <c r="C158" s="189">
        <f>VLOOKUP(A158,'Growth Analysis'!A:G,4,FALSE)</f>
        <v>1</v>
      </c>
      <c r="D158" s="50">
        <f t="shared" si="45"/>
        <v>1</v>
      </c>
      <c r="E158" s="49">
        <f>VLOOKUP($A158,'Growth Analysis'!$A:$G,5,FALSE)</f>
        <v>0</v>
      </c>
      <c r="F158" s="49">
        <f>VLOOKUP($A158,'Growth Analysis'!$A:$G,6,FALSE)</f>
        <v>1333500</v>
      </c>
      <c r="G158" s="50">
        <f t="shared" si="46"/>
        <v>1</v>
      </c>
      <c r="H158" s="159">
        <f t="shared" si="47"/>
        <v>7.4715057906195336E-4</v>
      </c>
      <c r="I158" s="158">
        <f t="shared" si="48"/>
        <v>0</v>
      </c>
      <c r="J158" s="157">
        <v>0</v>
      </c>
      <c r="K158" s="162">
        <f>VLOOKUP($A158,[1]Notes!$A:$G,3,FALSE)</f>
        <v>1324800</v>
      </c>
      <c r="L158" s="161">
        <f>VLOOKUP($A158,[1]Notes!$A:$G,5,FALSE)</f>
        <v>794880</v>
      </c>
      <c r="M158" s="161">
        <f>VLOOKUP($A158,[1]Notes!$A:$G,7,FALSE)</f>
        <v>847872</v>
      </c>
      <c r="N158" s="154">
        <f t="shared" si="49"/>
        <v>2967552</v>
      </c>
      <c r="O158" s="45">
        <f t="shared" si="56"/>
        <v>1008653.2817336371</v>
      </c>
      <c r="P158" s="45">
        <f t="shared" si="50"/>
        <v>605191.96904018219</v>
      </c>
      <c r="Q158" s="45">
        <f t="shared" si="51"/>
        <v>645538.10030952771</v>
      </c>
      <c r="R158" s="45">
        <f t="shared" si="52"/>
        <v>2259383.3510833466</v>
      </c>
      <c r="S158" s="153">
        <f t="shared" si="57"/>
        <v>-0.23863731753197703</v>
      </c>
      <c r="T158">
        <f>VLOOKUP($A158,'[2]All month (2)'!$E:$Y,8,FALSE)</f>
        <v>900000</v>
      </c>
      <c r="U158">
        <f>VLOOKUP($A158,'[2]All month (2)'!$E:$Y,14,FALSE)</f>
        <v>380000</v>
      </c>
      <c r="V158">
        <f>VLOOKUP($A158,'[2]All month (2)'!$E:$Y,20,FALSE)</f>
        <v>471589</v>
      </c>
      <c r="W158">
        <f>SUM(T158:V158)</f>
        <v>1751589</v>
      </c>
      <c r="X158" s="152">
        <f t="shared" si="53"/>
        <v>0.28990496690910178</v>
      </c>
    </row>
    <row r="159" spans="1:24" ht="15" customHeight="1" x14ac:dyDescent="0.3">
      <c r="A159" s="173" t="s">
        <v>180</v>
      </c>
      <c r="B159" s="189">
        <f>VLOOKUP($A159,'Growth Analysis'!A:G,2,FALSE)</f>
        <v>0</v>
      </c>
      <c r="C159" s="189">
        <f>VLOOKUP(A159,'Growth Analysis'!A:G,4,FALSE)</f>
        <v>1</v>
      </c>
      <c r="D159" s="50">
        <f t="shared" si="45"/>
        <v>1</v>
      </c>
      <c r="E159" s="49">
        <f>VLOOKUP($A159,'Growth Analysis'!$A:$G,5,FALSE)</f>
        <v>0</v>
      </c>
      <c r="F159" s="49">
        <f>VLOOKUP($A159,'Growth Analysis'!$A:$G,6,FALSE)</f>
        <v>909888</v>
      </c>
      <c r="G159" s="50">
        <f t="shared" si="46"/>
        <v>1</v>
      </c>
      <c r="H159" s="159">
        <f t="shared" si="47"/>
        <v>5.0980378408813098E-4</v>
      </c>
      <c r="I159" s="158">
        <f t="shared" si="48"/>
        <v>0</v>
      </c>
      <c r="J159" s="157">
        <v>0</v>
      </c>
      <c r="K159" s="162">
        <f>VLOOKUP($A159,[1]Notes!$A:$G,3,FALSE)</f>
        <v>1324800</v>
      </c>
      <c r="L159" s="161">
        <f>VLOOKUP($A159,[1]Notes!$A:$G,5,FALSE)</f>
        <v>794880</v>
      </c>
      <c r="M159" s="161">
        <f>VLOOKUP($A159,[1]Notes!$A:$G,7,FALSE)</f>
        <v>847872</v>
      </c>
      <c r="N159" s="154">
        <f t="shared" si="49"/>
        <v>2967552</v>
      </c>
      <c r="O159" s="45">
        <f t="shared" si="56"/>
        <v>688235.10851897683</v>
      </c>
      <c r="P159" s="45">
        <f t="shared" si="50"/>
        <v>412941.06511138612</v>
      </c>
      <c r="Q159" s="45">
        <f t="shared" si="51"/>
        <v>440470.46945214516</v>
      </c>
      <c r="R159" s="45">
        <f t="shared" si="52"/>
        <v>1541646.6430825079</v>
      </c>
      <c r="S159" s="153">
        <f t="shared" si="57"/>
        <v>-0.48049886132323616</v>
      </c>
      <c r="X159" s="152">
        <f t="shared" si="53"/>
        <v>1</v>
      </c>
    </row>
    <row r="160" spans="1:24" ht="15" customHeight="1" x14ac:dyDescent="0.3">
      <c r="A160" s="70" t="s">
        <v>179</v>
      </c>
      <c r="B160" s="189">
        <f>VLOOKUP($A160,'Growth Analysis'!A:G,2,FALSE)</f>
        <v>0</v>
      </c>
      <c r="C160" s="189">
        <f>VLOOKUP(A160,'Growth Analysis'!A:G,4,FALSE)</f>
        <v>1</v>
      </c>
      <c r="D160" s="50">
        <f t="shared" si="45"/>
        <v>1</v>
      </c>
      <c r="E160" s="49">
        <f>VLOOKUP($A160,'Growth Analysis'!$A:$G,5,FALSE)</f>
        <v>0</v>
      </c>
      <c r="F160" s="49">
        <f>VLOOKUP($A160,'Growth Analysis'!$A:$G,6,FALSE)</f>
        <v>234635.625</v>
      </c>
      <c r="G160" s="50">
        <f t="shared" si="46"/>
        <v>1</v>
      </c>
      <c r="H160" s="159">
        <f t="shared" si="47"/>
        <v>1.314646742312061E-4</v>
      </c>
      <c r="I160" s="158">
        <f t="shared" si="48"/>
        <v>0</v>
      </c>
      <c r="J160" s="157">
        <v>0</v>
      </c>
      <c r="K160" s="162">
        <f>VLOOKUP($A160,[1]Notes!$A:$G,3,FALSE)</f>
        <v>662400</v>
      </c>
      <c r="L160" s="161">
        <f>VLOOKUP($A160,[1]Notes!$A:$G,5,FALSE)</f>
        <v>397440</v>
      </c>
      <c r="M160" s="161">
        <f>VLOOKUP($A160,[1]Notes!$A:$G,7,FALSE)</f>
        <v>423936</v>
      </c>
      <c r="N160" s="154">
        <f t="shared" si="49"/>
        <v>1483776</v>
      </c>
      <c r="O160" s="45">
        <f t="shared" si="56"/>
        <v>177477.31021212824</v>
      </c>
      <c r="P160" s="45">
        <f t="shared" si="50"/>
        <v>106486.38612727694</v>
      </c>
      <c r="Q160" s="45">
        <f t="shared" si="51"/>
        <v>113585.47853576207</v>
      </c>
      <c r="R160" s="45">
        <f t="shared" si="52"/>
        <v>397549.17487516726</v>
      </c>
      <c r="S160" s="153">
        <f t="shared" si="57"/>
        <v>-0.73206927806140065</v>
      </c>
      <c r="T160">
        <f>VLOOKUP($A160,'[2]All month (2)'!$E:$Y,8,FALSE)</f>
        <v>0</v>
      </c>
      <c r="U160">
        <f>VLOOKUP($A160,'[2]All month (2)'!$E:$Y,14,FALSE)</f>
        <v>524438</v>
      </c>
      <c r="V160">
        <f>VLOOKUP($A160,'[2]All month (2)'!$E:$Y,20,FALSE)</f>
        <v>427797.92</v>
      </c>
      <c r="W160">
        <f>SUM(T160:V160)</f>
        <v>952235.91999999993</v>
      </c>
      <c r="X160" s="152">
        <f t="shared" si="53"/>
        <v>-0.5825097893018284</v>
      </c>
    </row>
    <row r="161" spans="1:24" ht="15" customHeight="1" x14ac:dyDescent="0.3">
      <c r="A161" s="70" t="s">
        <v>178</v>
      </c>
      <c r="B161" s="189">
        <f>VLOOKUP($A161,'Growth Analysis'!A:G,2,FALSE)</f>
        <v>74.78895</v>
      </c>
      <c r="C161" s="189">
        <f>VLOOKUP(A161,'Growth Analysis'!A:G,4,FALSE)</f>
        <v>-0.9157103088089884</v>
      </c>
      <c r="D161" s="50">
        <f t="shared" si="45"/>
        <v>-1.0122439251896034</v>
      </c>
      <c r="E161" s="49">
        <f>VLOOKUP($A161,'Growth Analysis'!$A:$G,5,FALSE)</f>
        <v>2679081</v>
      </c>
      <c r="F161" s="49">
        <f>VLOOKUP($A161,'Growth Analysis'!$A:$G,6,FALSE)</f>
        <v>638849.92500000005</v>
      </c>
      <c r="G161" s="50">
        <f t="shared" si="46"/>
        <v>-0.76154139236551632</v>
      </c>
      <c r="H161" s="159">
        <f t="shared" si="47"/>
        <v>3.5794307566361871E-4</v>
      </c>
      <c r="I161" s="158">
        <f t="shared" si="48"/>
        <v>1.6652908572660748E-3</v>
      </c>
      <c r="J161" s="157">
        <v>73.322500000000005</v>
      </c>
      <c r="K161" s="162">
        <f>VLOOKUP($A161,[1]Notes!$A:$G,3,FALSE)</f>
        <v>662400</v>
      </c>
      <c r="L161" s="161">
        <f>VLOOKUP($A161,[1]Notes!$A:$G,5,FALSE)</f>
        <v>397440</v>
      </c>
      <c r="M161" s="161">
        <f>VLOOKUP($A161,[1]Notes!$A:$G,7,FALSE)</f>
        <v>423936</v>
      </c>
      <c r="N161" s="154">
        <f t="shared" si="49"/>
        <v>1483776</v>
      </c>
      <c r="O161" s="45">
        <f t="shared" si="56"/>
        <v>483223.15214588528</v>
      </c>
      <c r="P161" s="45">
        <f t="shared" si="50"/>
        <v>289933.89128753118</v>
      </c>
      <c r="Q161" s="45">
        <f t="shared" si="51"/>
        <v>309262.81737336656</v>
      </c>
      <c r="R161" s="45">
        <f t="shared" si="52"/>
        <v>1082419.860806783</v>
      </c>
      <c r="S161" s="153">
        <f t="shared" si="57"/>
        <v>-0.27049644905512493</v>
      </c>
      <c r="T161">
        <f>VLOOKUP($A161,'[2]All month (2)'!$E:$Y,8,FALSE)</f>
        <v>2113500</v>
      </c>
      <c r="U161">
        <f>VLOOKUP($A161,'[2]All month (2)'!$E:$Y,14,FALSE)</f>
        <v>855662</v>
      </c>
      <c r="V161">
        <f>VLOOKUP($A161,'[2]All month (2)'!$E:$Y,20,FALSE)</f>
        <v>697986.08</v>
      </c>
      <c r="W161">
        <f>SUM(T161:V161)</f>
        <v>3667148.08</v>
      </c>
      <c r="X161" s="152">
        <f t="shared" si="53"/>
        <v>-0.70483333718915908</v>
      </c>
    </row>
    <row r="162" spans="1:24" ht="15" customHeight="1" thickBot="1" x14ac:dyDescent="0.35">
      <c r="A162" s="76" t="s">
        <v>177</v>
      </c>
      <c r="B162" s="189">
        <f>VLOOKUP($A162,'Growth Analysis'!A:G,2,FALSE)</f>
        <v>0</v>
      </c>
      <c r="C162" s="189">
        <f>VLOOKUP(A162,'Growth Analysis'!A:G,4,FALSE)</f>
        <v>1</v>
      </c>
      <c r="D162" s="50">
        <f t="shared" si="45"/>
        <v>1</v>
      </c>
      <c r="E162" s="49">
        <f>VLOOKUP($A162,'Growth Analysis'!$A:$G,5,FALSE)</f>
        <v>0</v>
      </c>
      <c r="F162" s="49">
        <f>VLOOKUP($A162,'Growth Analysis'!$A:$G,6,FALSE)</f>
        <v>2366065.9260000004</v>
      </c>
      <c r="G162" s="50">
        <f t="shared" si="46"/>
        <v>1</v>
      </c>
      <c r="H162" s="159">
        <f t="shared" si="47"/>
        <v>1.3256899337905192E-3</v>
      </c>
      <c r="I162" s="158">
        <f t="shared" si="48"/>
        <v>0</v>
      </c>
      <c r="J162" s="157">
        <v>0</v>
      </c>
      <c r="K162" s="156">
        <f>VLOOKUP($A162,[1]Notes!$A:$G,3,FALSE)</f>
        <v>1324800</v>
      </c>
      <c r="L162" s="155">
        <f>VLOOKUP($A162,[1]Notes!$A:$G,5,FALSE)</f>
        <v>794880</v>
      </c>
      <c r="M162" s="155">
        <f>VLOOKUP($A162,[1]Notes!$A:$G,7,FALSE)</f>
        <v>847872</v>
      </c>
      <c r="N162" s="154">
        <f t="shared" si="49"/>
        <v>2967552</v>
      </c>
      <c r="O162" s="45">
        <f t="shared" si="56"/>
        <v>1789681.4106172009</v>
      </c>
      <c r="P162" s="45">
        <f t="shared" si="50"/>
        <v>1073808.8463703205</v>
      </c>
      <c r="Q162" s="45">
        <f t="shared" si="51"/>
        <v>1145396.1027950086</v>
      </c>
      <c r="R162" s="45">
        <f t="shared" si="52"/>
        <v>4008886.35978253</v>
      </c>
      <c r="S162" s="153">
        <f>N162/R162-1</f>
        <v>-0.2597565174780907</v>
      </c>
      <c r="T162">
        <f>VLOOKUP($A162,'[2]All month (2)'!$E:$Y,8,FALSE)</f>
        <v>2187730</v>
      </c>
      <c r="U162">
        <f>VLOOKUP($A162,'[2]All month (2)'!$E:$Y,14,FALSE)</f>
        <v>419980</v>
      </c>
      <c r="V162">
        <f>VLOOKUP($A162,'[2]All month (2)'!$E:$Y,20,FALSE)</f>
        <v>841250</v>
      </c>
      <c r="W162">
        <f>SUM(T162:V162)</f>
        <v>3448960</v>
      </c>
      <c r="X162" s="152">
        <f t="shared" si="53"/>
        <v>0.16234643480426852</v>
      </c>
    </row>
    <row r="163" spans="1:24" ht="15" thickBot="1" x14ac:dyDescent="0.35">
      <c r="A163" s="68" t="s">
        <v>176</v>
      </c>
      <c r="B163" s="42">
        <f>SUM(B154:B162)</f>
        <v>308.93912999999998</v>
      </c>
      <c r="C163" s="40">
        <f>SUM(C154:C162)</f>
        <v>5.4182617573239522</v>
      </c>
      <c r="D163" s="41">
        <f t="shared" si="45"/>
        <v>-0.98246171743500432</v>
      </c>
      <c r="E163" s="40">
        <f>SUM(E154:E162)</f>
        <v>8537706</v>
      </c>
      <c r="F163" s="40">
        <f>SUM(F154:F162)</f>
        <v>16154975.676000003</v>
      </c>
      <c r="G163" s="151">
        <f t="shared" si="46"/>
        <v>0.89219161165774541</v>
      </c>
      <c r="H163" s="150">
        <f t="shared" si="47"/>
        <v>9.0515181335246893E-3</v>
      </c>
      <c r="I163" s="150">
        <f t="shared" si="48"/>
        <v>5.3069555358071334E-3</v>
      </c>
      <c r="J163" s="42">
        <f>SUM(J154:J162)</f>
        <v>302.88150000000002</v>
      </c>
      <c r="K163" s="165">
        <f>SUM(K154:K162)</f>
        <v>12364800</v>
      </c>
      <c r="L163" s="165">
        <f>SUM(L154:L162)</f>
        <v>7418880</v>
      </c>
      <c r="M163" s="165">
        <f>SUM(M154:M162)</f>
        <v>7913472</v>
      </c>
      <c r="N163" s="36">
        <f t="shared" si="49"/>
        <v>27697152</v>
      </c>
      <c r="O163" s="36">
        <f t="shared" si="56"/>
        <v>12219549.480258331</v>
      </c>
      <c r="P163" s="36">
        <f t="shared" si="50"/>
        <v>7331729.6881549982</v>
      </c>
      <c r="Q163" s="36">
        <f t="shared" si="51"/>
        <v>7820511.6673653312</v>
      </c>
      <c r="R163" s="148">
        <f t="shared" si="52"/>
        <v>27371790.835778661</v>
      </c>
      <c r="S163" s="41"/>
      <c r="T163" s="42">
        <f>SUM(T154:T162)</f>
        <v>10239597</v>
      </c>
      <c r="U163" s="42">
        <f>SUM(U154:U162)</f>
        <v>3866410</v>
      </c>
      <c r="V163" s="42">
        <f>SUM(V154:V162)</f>
        <v>6078024</v>
      </c>
      <c r="W163" s="147">
        <f>SUM(W154:W162)</f>
        <v>20184031</v>
      </c>
      <c r="X163" s="146">
        <f t="shared" si="53"/>
        <v>0.35611121662361006</v>
      </c>
    </row>
    <row r="164" spans="1:24" ht="15" customHeight="1" x14ac:dyDescent="0.3">
      <c r="A164" s="73" t="s">
        <v>175</v>
      </c>
      <c r="B164" s="189">
        <f>VLOOKUP($A164,'Growth Analysis'!A:G,2,FALSE)</f>
        <v>0</v>
      </c>
      <c r="C164" s="189">
        <f>VLOOKUP(A164,'Growth Analysis'!A:G,4,FALSE)</f>
        <v>1</v>
      </c>
      <c r="D164" s="50">
        <f t="shared" si="45"/>
        <v>1</v>
      </c>
      <c r="E164" s="49">
        <f>VLOOKUP($A164,'Growth Analysis'!$A:$G,5,FALSE)</f>
        <v>0</v>
      </c>
      <c r="F164" s="49">
        <f>VLOOKUP($A164,'Growth Analysis'!$A:$G,6,FALSE)</f>
        <v>8269394.3213323699</v>
      </c>
      <c r="G164" s="50">
        <f t="shared" si="46"/>
        <v>1</v>
      </c>
      <c r="H164" s="159">
        <f t="shared" si="47"/>
        <v>4.6332829063930325E-3</v>
      </c>
      <c r="I164" s="158">
        <f t="shared" si="48"/>
        <v>0</v>
      </c>
      <c r="J164" s="157">
        <v>0</v>
      </c>
      <c r="K164" s="164">
        <f>VLOOKUP($A164,[1]Notes!$A:$G,3,FALSE)</f>
        <v>4416000</v>
      </c>
      <c r="L164" s="163">
        <f>VLOOKUP($A164,[1]Notes!$A:$G,5,FALSE)</f>
        <v>2649600</v>
      </c>
      <c r="M164" s="163">
        <f>VLOOKUP($A164,[1]Notes!$A:$G,7,FALSE)</f>
        <v>2826240</v>
      </c>
      <c r="N164" s="154">
        <f t="shared" si="49"/>
        <v>9891840</v>
      </c>
      <c r="O164" s="45">
        <f t="shared" si="56"/>
        <v>6254931.9236305943</v>
      </c>
      <c r="P164" s="45">
        <f t="shared" si="50"/>
        <v>3752959.1541783563</v>
      </c>
      <c r="Q164" s="45">
        <f t="shared" si="51"/>
        <v>4003156.4311235803</v>
      </c>
      <c r="R164" s="45">
        <f t="shared" si="52"/>
        <v>14011047.508932531</v>
      </c>
      <c r="S164" s="153">
        <f>R164/N164-1</f>
        <v>0.41642480154678307</v>
      </c>
      <c r="T164">
        <f>VLOOKUP($A164,'[2]All month (2)'!$E:$Y,8,FALSE)</f>
        <v>0</v>
      </c>
      <c r="U164">
        <f>VLOOKUP($A164,'[2]All month (2)'!$E:$Y,14,FALSE)</f>
        <v>4793531.04</v>
      </c>
      <c r="V164">
        <f>VLOOKUP($A164,'[2]All month (2)'!$E:$Y,20,FALSE)</f>
        <v>1938670.2</v>
      </c>
      <c r="W164">
        <f>SUM(T164:V164)</f>
        <v>6732201.2400000002</v>
      </c>
      <c r="X164" s="152">
        <f t="shared" si="53"/>
        <v>1.0811985574175336</v>
      </c>
    </row>
    <row r="165" spans="1:24" ht="15" customHeight="1" x14ac:dyDescent="0.3">
      <c r="A165" s="178" t="s">
        <v>174</v>
      </c>
      <c r="B165" s="189">
        <f>VLOOKUP($A165,'Growth Analysis'!A:G,2,FALSE)</f>
        <v>0</v>
      </c>
      <c r="C165" s="189">
        <f>VLOOKUP(A165,'Growth Analysis'!A:G,4,FALSE)</f>
        <v>1</v>
      </c>
      <c r="D165" s="50">
        <f t="shared" si="45"/>
        <v>1</v>
      </c>
      <c r="E165" s="49">
        <f>VLOOKUP($A165,'Growth Analysis'!$A:$G,5,FALSE)</f>
        <v>0</v>
      </c>
      <c r="F165" s="49">
        <f>VLOOKUP($A165,'Growth Analysis'!$A:$G,6,FALSE)</f>
        <v>7846983.0922283242</v>
      </c>
      <c r="G165" s="50">
        <f t="shared" si="46"/>
        <v>1</v>
      </c>
      <c r="H165" s="159">
        <f t="shared" si="47"/>
        <v>4.3966088948239595E-3</v>
      </c>
      <c r="I165" s="158">
        <f t="shared" si="48"/>
        <v>0</v>
      </c>
      <c r="J165" s="157">
        <v>0</v>
      </c>
      <c r="K165" s="162">
        <f>VLOOKUP($A165,[1]Notes!$A:$G,3,FALSE)</f>
        <v>3864000</v>
      </c>
      <c r="L165" s="161">
        <f>VLOOKUP($A165,[1]Notes!$A:$G,5,FALSE)</f>
        <v>2318400</v>
      </c>
      <c r="M165" s="161">
        <f>VLOOKUP($A165,[1]Notes!$A:$G,7,FALSE)</f>
        <v>2472960</v>
      </c>
      <c r="N165" s="154">
        <f t="shared" si="49"/>
        <v>8655360</v>
      </c>
      <c r="O165" s="45">
        <f t="shared" si="56"/>
        <v>5935422.0080123451</v>
      </c>
      <c r="P165" s="45">
        <f t="shared" si="50"/>
        <v>3561253.2048074072</v>
      </c>
      <c r="Q165" s="45">
        <f t="shared" si="51"/>
        <v>3798670.0851279008</v>
      </c>
      <c r="R165" s="45">
        <f t="shared" si="52"/>
        <v>13295345.297947653</v>
      </c>
      <c r="S165" s="153">
        <f>R165/N165-1</f>
        <v>0.53608230021023417</v>
      </c>
      <c r="X165" s="152">
        <f t="shared" si="53"/>
        <v>1</v>
      </c>
    </row>
    <row r="166" spans="1:24" ht="15" customHeight="1" x14ac:dyDescent="0.3">
      <c r="A166" s="70" t="s">
        <v>173</v>
      </c>
      <c r="B166" s="189">
        <f>VLOOKUP($A166,'Growth Analysis'!A:G,2,FALSE)</f>
        <v>0</v>
      </c>
      <c r="C166" s="189">
        <f>VLOOKUP(A166,'Growth Analysis'!A:G,4,FALSE)</f>
        <v>1</v>
      </c>
      <c r="D166" s="50">
        <f t="shared" si="45"/>
        <v>1</v>
      </c>
      <c r="E166" s="49">
        <f>VLOOKUP($A166,'Growth Analysis'!$A:$G,5,FALSE)</f>
        <v>0</v>
      </c>
      <c r="F166" s="49">
        <f>VLOOKUP($A166,'Growth Analysis'!$A:$G,6,FALSE)</f>
        <v>9790074.7461069375</v>
      </c>
      <c r="G166" s="50">
        <f t="shared" si="46"/>
        <v>1</v>
      </c>
      <c r="H166" s="159">
        <f t="shared" si="47"/>
        <v>5.4853093480416977E-3</v>
      </c>
      <c r="I166" s="158">
        <f t="shared" si="48"/>
        <v>0</v>
      </c>
      <c r="J166" s="157">
        <v>0</v>
      </c>
      <c r="K166" s="162">
        <f>VLOOKUP($A166,[1]Notes!$A:$G,3,FALSE)</f>
        <v>6403200</v>
      </c>
      <c r="L166" s="161">
        <f>VLOOKUP($A166,[1]Notes!$A:$G,5,FALSE)</f>
        <v>3841920</v>
      </c>
      <c r="M166" s="161">
        <f>VLOOKUP($A166,[1]Notes!$A:$G,7,FALSE)</f>
        <v>4098048</v>
      </c>
      <c r="N166" s="154">
        <f t="shared" si="49"/>
        <v>14343168</v>
      </c>
      <c r="O166" s="45">
        <f t="shared" si="56"/>
        <v>7405167.6198562924</v>
      </c>
      <c r="P166" s="45">
        <f t="shared" si="50"/>
        <v>4443100.5719137751</v>
      </c>
      <c r="Q166" s="45">
        <f t="shared" si="51"/>
        <v>4739307.2767080264</v>
      </c>
      <c r="R166" s="45">
        <f t="shared" si="52"/>
        <v>16587575.468478095</v>
      </c>
      <c r="S166" s="153">
        <f>R166/N166-1</f>
        <v>0.1564792010020446</v>
      </c>
      <c r="T166">
        <f>VLOOKUP($A166,'[2]All month (2)'!$E:$Y,8,FALSE)</f>
        <v>0</v>
      </c>
      <c r="U166">
        <f>VLOOKUP($A166,'[2]All month (2)'!$E:$Y,14,FALSE)</f>
        <v>9587062.0800000001</v>
      </c>
      <c r="V166">
        <f>VLOOKUP($A166,'[2]All month (2)'!$E:$Y,20,FALSE)</f>
        <v>3877340.4</v>
      </c>
      <c r="W166">
        <f t="shared" ref="W166:W173" si="58">SUM(T166:V166)</f>
        <v>13464402.48</v>
      </c>
      <c r="X166" s="152">
        <f t="shared" si="53"/>
        <v>0.23195778595576372</v>
      </c>
    </row>
    <row r="167" spans="1:24" ht="15" customHeight="1" x14ac:dyDescent="0.3">
      <c r="A167" s="70" t="s">
        <v>172</v>
      </c>
      <c r="B167" s="189">
        <f>VLOOKUP($A167,'Growth Analysis'!A:G,2,FALSE)</f>
        <v>978.51976200000001</v>
      </c>
      <c r="C167" s="189">
        <f>VLOOKUP(A167,'Growth Analysis'!A:G,4,FALSE)</f>
        <v>-0.78183805009346352</v>
      </c>
      <c r="D167" s="50">
        <f t="shared" si="45"/>
        <v>-1.0007990007769445</v>
      </c>
      <c r="E167" s="49">
        <f>VLOOKUP($A167,'Growth Analysis'!$A:$G,5,FALSE)</f>
        <v>25477030.620000001</v>
      </c>
      <c r="F167" s="49">
        <f>VLOOKUP($A167,'Growth Analysis'!$A:$G,6,FALSE)</f>
        <v>8269394.3213323699</v>
      </c>
      <c r="G167" s="50">
        <f t="shared" si="46"/>
        <v>-0.67541765582207525</v>
      </c>
      <c r="H167" s="159">
        <f t="shared" si="47"/>
        <v>4.6332829063930325E-3</v>
      </c>
      <c r="I167" s="158">
        <f t="shared" si="48"/>
        <v>1.5836276007247949E-2</v>
      </c>
      <c r="J167" s="157">
        <v>959.33309999999994</v>
      </c>
      <c r="K167" s="162">
        <f>VLOOKUP($A167,[1]Notes!$A:$G,3,FALSE)</f>
        <v>4416000</v>
      </c>
      <c r="L167" s="161">
        <f>VLOOKUP($A167,[1]Notes!$A:$G,5,FALSE)</f>
        <v>2649600</v>
      </c>
      <c r="M167" s="161">
        <f>VLOOKUP($A167,[1]Notes!$A:$G,7,FALSE)</f>
        <v>2826240</v>
      </c>
      <c r="N167" s="154">
        <f t="shared" si="49"/>
        <v>9891840</v>
      </c>
      <c r="O167" s="45">
        <f t="shared" si="56"/>
        <v>6254931.9236305943</v>
      </c>
      <c r="P167" s="45">
        <f t="shared" si="50"/>
        <v>3752959.1541783563</v>
      </c>
      <c r="Q167" s="45">
        <f t="shared" si="51"/>
        <v>4003156.4311235803</v>
      </c>
      <c r="R167" s="45">
        <f t="shared" si="52"/>
        <v>14011047.508932531</v>
      </c>
      <c r="S167" s="153">
        <f>N167/R167-1</f>
        <v>-0.29399711237196169</v>
      </c>
      <c r="T167">
        <f>VLOOKUP($A167,'[2]All month (2)'!$E:$Y,8,FALSE)</f>
        <v>24785380</v>
      </c>
      <c r="U167">
        <f>VLOOKUP($A167,'[2]All month (2)'!$E:$Y,14,FALSE)</f>
        <v>12250134.880000001</v>
      </c>
      <c r="V167">
        <f>VLOOKUP($A167,'[2]All month (2)'!$E:$Y,20,FALSE)</f>
        <v>4954379.4000000004</v>
      </c>
      <c r="W167">
        <f t="shared" si="58"/>
        <v>41989894.280000001</v>
      </c>
      <c r="X167" s="152">
        <f t="shared" si="53"/>
        <v>-0.66632334400503446</v>
      </c>
    </row>
    <row r="168" spans="1:24" ht="15" customHeight="1" x14ac:dyDescent="0.3">
      <c r="A168" s="70" t="s">
        <v>171</v>
      </c>
      <c r="B168" s="189">
        <f>VLOOKUP($A168,'Growth Analysis'!A:G,2,FALSE)</f>
        <v>334.17189000000002</v>
      </c>
      <c r="C168" s="189">
        <f>VLOOKUP(A168,'Growth Analysis'!A:G,4,FALSE)</f>
        <v>-0.39331634088073647</v>
      </c>
      <c r="D168" s="50">
        <f t="shared" si="45"/>
        <v>-1.001176988108966</v>
      </c>
      <c r="E168" s="49">
        <f>VLOOKUP($A168,'Growth Analysis'!$A:$G,5,FALSE)</f>
        <v>10226520</v>
      </c>
      <c r="F168" s="49">
        <f>VLOOKUP($A168,'Growth Analysis'!$A:$G,6,FALSE)</f>
        <v>9151700.25</v>
      </c>
      <c r="G168" s="50">
        <f t="shared" si="46"/>
        <v>-0.10510122211661445</v>
      </c>
      <c r="H168" s="159">
        <f t="shared" si="47"/>
        <v>5.1276326518102161E-3</v>
      </c>
      <c r="I168" s="158">
        <f t="shared" si="48"/>
        <v>6.35670599644007E-3</v>
      </c>
      <c r="J168" s="157">
        <v>327.61950000000002</v>
      </c>
      <c r="K168" s="162">
        <f>VLOOKUP($A168,[1]Notes!$A:$G,3,FALSE)</f>
        <v>4416000</v>
      </c>
      <c r="L168" s="161">
        <f>VLOOKUP($A168,[1]Notes!$A:$G,5,FALSE)</f>
        <v>2649600</v>
      </c>
      <c r="M168" s="161">
        <f>VLOOKUP($A168,[1]Notes!$A:$G,7,FALSE)</f>
        <v>2826240</v>
      </c>
      <c r="N168" s="154">
        <f t="shared" si="49"/>
        <v>9891840</v>
      </c>
      <c r="O168" s="45">
        <f t="shared" si="56"/>
        <v>6922304.079943792</v>
      </c>
      <c r="P168" s="45">
        <f t="shared" si="50"/>
        <v>4153382.4479662748</v>
      </c>
      <c r="Q168" s="45">
        <f t="shared" si="51"/>
        <v>4430274.6111640269</v>
      </c>
      <c r="R168" s="45">
        <f t="shared" si="52"/>
        <v>15505961.139074095</v>
      </c>
      <c r="S168" s="153">
        <f>R168/N168-1</f>
        <v>0.56755074274089501</v>
      </c>
      <c r="T168">
        <f>VLOOKUP($A168,'[2]All month (2)'!$E:$Y,8,FALSE)</f>
        <v>4861000</v>
      </c>
      <c r="U168">
        <f>VLOOKUP($A168,'[2]All month (2)'!$E:$Y,14,FALSE)</f>
        <v>5326200</v>
      </c>
      <c r="V168">
        <f>VLOOKUP($A168,'[2]All month (2)'!$E:$Y,20,FALSE)</f>
        <v>3975600</v>
      </c>
      <c r="W168">
        <f t="shared" si="58"/>
        <v>14162800</v>
      </c>
      <c r="X168" s="152">
        <f t="shared" si="53"/>
        <v>9.4837259516062825E-2</v>
      </c>
    </row>
    <row r="169" spans="1:24" ht="15" customHeight="1" x14ac:dyDescent="0.3">
      <c r="A169" s="70" t="s">
        <v>170</v>
      </c>
      <c r="B169" s="189">
        <f>VLOOKUP($A169,'Growth Analysis'!A:G,2,FALSE)</f>
        <v>0</v>
      </c>
      <c r="C169" s="189">
        <f>VLOOKUP(A169,'Growth Analysis'!A:G,4,FALSE)</f>
        <v>1</v>
      </c>
      <c r="D169" s="50">
        <f t="shared" si="45"/>
        <v>1</v>
      </c>
      <c r="E169" s="49">
        <f>VLOOKUP($A169,'Growth Analysis'!$A:$G,5,FALSE)</f>
        <v>0</v>
      </c>
      <c r="F169" s="49">
        <f>VLOOKUP($A169,'Growth Analysis'!$A:$G,6,FALSE)</f>
        <v>4893636.3</v>
      </c>
      <c r="G169" s="50">
        <f t="shared" si="46"/>
        <v>1</v>
      </c>
      <c r="H169" s="159">
        <f t="shared" si="47"/>
        <v>2.7418696627398535E-3</v>
      </c>
      <c r="I169" s="158">
        <f t="shared" si="48"/>
        <v>0</v>
      </c>
      <c r="J169" s="157">
        <v>0</v>
      </c>
      <c r="K169" s="162">
        <f>VLOOKUP($A169,[1]Notes!$A:$G,3,FALSE)</f>
        <v>4416000</v>
      </c>
      <c r="L169" s="161">
        <f>VLOOKUP($A169,[1]Notes!$A:$G,5,FALSE)</f>
        <v>2649600</v>
      </c>
      <c r="M169" s="161">
        <f>VLOOKUP($A169,[1]Notes!$A:$G,7,FALSE)</f>
        <v>2826240</v>
      </c>
      <c r="N169" s="154">
        <f t="shared" si="49"/>
        <v>9891840</v>
      </c>
      <c r="O169" s="45">
        <f t="shared" si="56"/>
        <v>3701524.0446988023</v>
      </c>
      <c r="P169" s="45">
        <f t="shared" si="50"/>
        <v>2220914.4268192812</v>
      </c>
      <c r="Q169" s="45">
        <f t="shared" si="51"/>
        <v>2368975.3886072333</v>
      </c>
      <c r="R169" s="45">
        <f t="shared" si="52"/>
        <v>8291413.8601253163</v>
      </c>
      <c r="S169" s="153">
        <f>R169/N169-1</f>
        <v>-0.16179256234175676</v>
      </c>
      <c r="T169">
        <f>VLOOKUP($A169,'[2]All month (2)'!$E:$Y,8,FALSE)</f>
        <v>3333880</v>
      </c>
      <c r="U169">
        <f>VLOOKUP($A169,'[2]All month (2)'!$E:$Y,14,FALSE)</f>
        <v>3087400</v>
      </c>
      <c r="V169">
        <f>VLOOKUP($A169,'[2]All month (2)'!$E:$Y,20,FALSE)</f>
        <v>1757950</v>
      </c>
      <c r="W169">
        <f t="shared" si="58"/>
        <v>8179230</v>
      </c>
      <c r="X169" s="152">
        <f t="shared" si="53"/>
        <v>1.3715699414898017E-2</v>
      </c>
    </row>
    <row r="170" spans="1:24" ht="15" customHeight="1" x14ac:dyDescent="0.3">
      <c r="A170" s="70" t="s">
        <v>169</v>
      </c>
      <c r="B170" s="189">
        <f>VLOOKUP($A170,'Growth Analysis'!A:G,2,FALSE)</f>
        <v>519.51660000000004</v>
      </c>
      <c r="C170" s="189">
        <f>VLOOKUP(A170,'Growth Analysis'!A:G,4,FALSE)</f>
        <v>-0.21553156338026547</v>
      </c>
      <c r="D170" s="50">
        <f t="shared" si="45"/>
        <v>-1.0004148694447499</v>
      </c>
      <c r="E170" s="49">
        <f>VLOOKUP($A170,'Growth Analysis'!$A:$G,5,FALSE)</f>
        <v>17351074.140000001</v>
      </c>
      <c r="F170" s="49">
        <f>VLOOKUP($A170,'Growth Analysis'!$A:$G,6,FALSE)</f>
        <v>16523221.050000001</v>
      </c>
      <c r="G170" s="50">
        <f t="shared" si="46"/>
        <v>-4.7711921655128137E-2</v>
      </c>
      <c r="H170" s="159">
        <f t="shared" si="47"/>
        <v>9.2578434011819713E-3</v>
      </c>
      <c r="I170" s="158">
        <f t="shared" si="48"/>
        <v>1.0785259993664927E-2</v>
      </c>
      <c r="J170" s="157">
        <v>509.33000000000004</v>
      </c>
      <c r="K170" s="162">
        <f>VLOOKUP($A170,[1]Notes!$A:$G,3,FALSE)</f>
        <v>6403200</v>
      </c>
      <c r="L170" s="161">
        <f>VLOOKUP($A170,[1]Notes!$A:$G,5,FALSE)</f>
        <v>3841920</v>
      </c>
      <c r="M170" s="161">
        <f>VLOOKUP($A170,[1]Notes!$A:$G,7,FALSE)</f>
        <v>4098048</v>
      </c>
      <c r="N170" s="154">
        <f t="shared" si="49"/>
        <v>14343168</v>
      </c>
      <c r="O170" s="45">
        <f t="shared" si="56"/>
        <v>12498088.591595661</v>
      </c>
      <c r="P170" s="45">
        <f t="shared" si="50"/>
        <v>7498853.1549573969</v>
      </c>
      <c r="Q170" s="45">
        <f t="shared" si="51"/>
        <v>7998776.6986212227</v>
      </c>
      <c r="R170" s="45">
        <f t="shared" si="52"/>
        <v>27995718.445174277</v>
      </c>
      <c r="S170" s="153">
        <f>N170/R170-1</f>
        <v>-0.48766565758656633</v>
      </c>
      <c r="T170">
        <f>VLOOKUP($A170,'[2]All month (2)'!$E:$Y,8,FALSE)</f>
        <v>13983000</v>
      </c>
      <c r="U170">
        <f>VLOOKUP($A170,'[2]All month (2)'!$E:$Y,14,FALSE)</f>
        <v>14039000</v>
      </c>
      <c r="V170">
        <f>VLOOKUP($A170,'[2]All month (2)'!$E:$Y,20,FALSE)</f>
        <v>5617000</v>
      </c>
      <c r="W170">
        <f t="shared" si="58"/>
        <v>33639000</v>
      </c>
      <c r="X170" s="152">
        <f t="shared" si="53"/>
        <v>-0.16776008665018946</v>
      </c>
    </row>
    <row r="171" spans="1:24" ht="15" customHeight="1" x14ac:dyDescent="0.3">
      <c r="A171" s="70" t="s">
        <v>168</v>
      </c>
      <c r="B171" s="189">
        <f>VLOOKUP($A171,'Growth Analysis'!A:G,2,FALSE)</f>
        <v>964.17565500000001</v>
      </c>
      <c r="C171" s="189">
        <f>VLOOKUP(A171,'Growth Analysis'!A:G,4,FALSE)</f>
        <v>-0.79729848032721795</v>
      </c>
      <c r="D171" s="50">
        <f t="shared" si="45"/>
        <v>-1.0008269224349242</v>
      </c>
      <c r="E171" s="49">
        <f>VLOOKUP($A171,'Growth Analysis'!$A:$G,5,FALSE)</f>
        <v>24217307.16</v>
      </c>
      <c r="F171" s="49">
        <f>VLOOKUP($A171,'Growth Analysis'!$A:$G,6,FALSE)</f>
        <v>8088595.1671680557</v>
      </c>
      <c r="G171" s="50">
        <f t="shared" si="46"/>
        <v>-0.66599939812762998</v>
      </c>
      <c r="H171" s="159">
        <f t="shared" si="47"/>
        <v>4.5319824244074471E-3</v>
      </c>
      <c r="I171" s="158">
        <f t="shared" si="48"/>
        <v>1.5053244079276532E-2</v>
      </c>
      <c r="J171" s="157">
        <v>945.27025000000003</v>
      </c>
      <c r="K171" s="162">
        <f>VLOOKUP($A171,[1]Notes!$A:$G,3,FALSE)</f>
        <v>4968000</v>
      </c>
      <c r="L171" s="161">
        <f>VLOOKUP($A171,[1]Notes!$A:$G,5,FALSE)</f>
        <v>2980800</v>
      </c>
      <c r="M171" s="161">
        <f>VLOOKUP($A171,[1]Notes!$A:$G,7,FALSE)</f>
        <v>3179519.9999999995</v>
      </c>
      <c r="N171" s="154">
        <f t="shared" si="49"/>
        <v>11128320</v>
      </c>
      <c r="O171" s="45">
        <f t="shared" si="56"/>
        <v>6118176.2729500532</v>
      </c>
      <c r="P171" s="45">
        <f t="shared" si="50"/>
        <v>3670905.7637700322</v>
      </c>
      <c r="Q171" s="45">
        <f t="shared" si="51"/>
        <v>3915632.8146880344</v>
      </c>
      <c r="R171" s="45">
        <f t="shared" si="52"/>
        <v>13704714.85140812</v>
      </c>
      <c r="S171" s="153">
        <f>N171/R171-1</f>
        <v>-0.1879933204989962</v>
      </c>
      <c r="T171">
        <f>VLOOKUP($A171,'[2]All month (2)'!$E:$Y,8,FALSE)</f>
        <v>13085640</v>
      </c>
      <c r="U171">
        <f>VLOOKUP($A171,'[2]All month (2)'!$E:$Y,14,FALSE)</f>
        <v>10438127.699999999</v>
      </c>
      <c r="V171">
        <f>VLOOKUP($A171,'[2]All month (2)'!$E:$Y,20,FALSE)</f>
        <v>5418205</v>
      </c>
      <c r="W171">
        <f t="shared" si="58"/>
        <v>28941972.699999999</v>
      </c>
      <c r="X171" s="152">
        <f t="shared" si="53"/>
        <v>-0.52647613231256618</v>
      </c>
    </row>
    <row r="172" spans="1:24" ht="15" customHeight="1" x14ac:dyDescent="0.3">
      <c r="A172" s="70" t="s">
        <v>167</v>
      </c>
      <c r="B172" s="189">
        <f>VLOOKUP($A172,'Growth Analysis'!A:G,2,FALSE)</f>
        <v>0</v>
      </c>
      <c r="C172" s="189">
        <f>VLOOKUP(A172,'Growth Analysis'!A:G,4,FALSE)</f>
        <v>1</v>
      </c>
      <c r="D172" s="50">
        <f t="shared" si="45"/>
        <v>1</v>
      </c>
      <c r="E172" s="49">
        <f>VLOOKUP($A172,'Growth Analysis'!$A:$G,5,FALSE)</f>
        <v>0</v>
      </c>
      <c r="F172" s="49">
        <f>VLOOKUP($A172,'Growth Analysis'!$A:$G,6,FALSE)</f>
        <v>7532198.1164159728</v>
      </c>
      <c r="G172" s="50">
        <f t="shared" si="46"/>
        <v>1</v>
      </c>
      <c r="H172" s="159">
        <f t="shared" si="47"/>
        <v>4.2202371085785888E-3</v>
      </c>
      <c r="I172" s="158">
        <f t="shared" si="48"/>
        <v>0</v>
      </c>
      <c r="J172" s="157">
        <v>0</v>
      </c>
      <c r="K172" s="162">
        <f>VLOOKUP($A172,[1]Notes!$A:$G,3,FALSE)</f>
        <v>4416000</v>
      </c>
      <c r="L172" s="161">
        <f>VLOOKUP($A172,[1]Notes!$A:$G,5,FALSE)</f>
        <v>2649600</v>
      </c>
      <c r="M172" s="161">
        <f>VLOOKUP($A172,[1]Notes!$A:$G,7,FALSE)</f>
        <v>2826240</v>
      </c>
      <c r="N172" s="154">
        <f t="shared" si="49"/>
        <v>9891840</v>
      </c>
      <c r="O172" s="45">
        <f t="shared" si="56"/>
        <v>5697320.0965810949</v>
      </c>
      <c r="P172" s="45">
        <f t="shared" si="50"/>
        <v>3418392.0579486568</v>
      </c>
      <c r="Q172" s="45">
        <f t="shared" si="51"/>
        <v>3646284.8618119005</v>
      </c>
      <c r="R172" s="45">
        <f t="shared" si="52"/>
        <v>12761997.016341653</v>
      </c>
      <c r="S172" s="153">
        <f>R172/N172-1</f>
        <v>0.29015400737796537</v>
      </c>
      <c r="T172">
        <f>VLOOKUP($A172,'[2]All month (2)'!$E:$Y,8,FALSE)</f>
        <v>0</v>
      </c>
      <c r="U172">
        <f>VLOOKUP($A172,'[2]All month (2)'!$E:$Y,14,FALSE)</f>
        <v>3051145.02</v>
      </c>
      <c r="V172">
        <f>VLOOKUP($A172,'[2]All month (2)'!$E:$Y,20,FALSE)</f>
        <v>1583783</v>
      </c>
      <c r="W172">
        <f t="shared" si="58"/>
        <v>4634928.0199999996</v>
      </c>
      <c r="X172" s="152">
        <f t="shared" si="53"/>
        <v>1.7534401745340706</v>
      </c>
    </row>
    <row r="173" spans="1:24" ht="15" customHeight="1" thickBot="1" x14ac:dyDescent="0.35">
      <c r="A173" s="69" t="s">
        <v>166</v>
      </c>
      <c r="B173" s="189">
        <f>VLOOKUP($A173,'Growth Analysis'!A:G,2,FALSE)</f>
        <v>0</v>
      </c>
      <c r="C173" s="189">
        <f>VLOOKUP(A173,'Growth Analysis'!A:G,4,FALSE)</f>
        <v>1</v>
      </c>
      <c r="D173" s="50">
        <f t="shared" si="45"/>
        <v>1</v>
      </c>
      <c r="E173" s="49">
        <f>VLOOKUP($A173,'Growth Analysis'!$A:$G,5,FALSE)</f>
        <v>0</v>
      </c>
      <c r="F173" s="49">
        <f>VLOOKUP($A173,'Growth Analysis'!$A:$G,6,FALSE)</f>
        <v>7532198.1164159728</v>
      </c>
      <c r="G173" s="50">
        <f t="shared" si="46"/>
        <v>1</v>
      </c>
      <c r="H173" s="159">
        <f t="shared" si="47"/>
        <v>4.2202371085785888E-3</v>
      </c>
      <c r="I173" s="158">
        <f t="shared" si="48"/>
        <v>0</v>
      </c>
      <c r="J173" s="157">
        <v>0</v>
      </c>
      <c r="K173" s="156">
        <f>VLOOKUP($A173,[1]Notes!$A:$G,3,FALSE)</f>
        <v>4416000</v>
      </c>
      <c r="L173" s="155">
        <f>VLOOKUP($A173,[1]Notes!$A:$G,5,FALSE)</f>
        <v>2649600</v>
      </c>
      <c r="M173" s="155">
        <f>VLOOKUP($A173,[1]Notes!$A:$G,7,FALSE)</f>
        <v>2826240</v>
      </c>
      <c r="N173" s="154">
        <f t="shared" si="49"/>
        <v>9891840</v>
      </c>
      <c r="O173" s="45">
        <f t="shared" si="56"/>
        <v>5697320.0965810949</v>
      </c>
      <c r="P173" s="45">
        <f t="shared" si="50"/>
        <v>3418392.0579486568</v>
      </c>
      <c r="Q173" s="45">
        <f t="shared" si="51"/>
        <v>3646284.8618119005</v>
      </c>
      <c r="R173" s="45">
        <f t="shared" si="52"/>
        <v>12761997.016341653</v>
      </c>
      <c r="S173" s="153">
        <f>R173/N173-1</f>
        <v>0.29015400737796537</v>
      </c>
      <c r="T173">
        <f>VLOOKUP($A173,'[2]All month (2)'!$E:$Y,8,FALSE)</f>
        <v>0</v>
      </c>
      <c r="U173">
        <f>VLOOKUP($A173,'[2]All month (2)'!$E:$Y,14,FALSE)</f>
        <v>2569385.2799999998</v>
      </c>
      <c r="V173">
        <f>VLOOKUP($A173,'[2]All month (2)'!$E:$Y,20,FALSE)</f>
        <v>1333712</v>
      </c>
      <c r="W173">
        <f t="shared" si="58"/>
        <v>3903097.28</v>
      </c>
      <c r="X173" s="152">
        <f t="shared" si="53"/>
        <v>2.2697102072592088</v>
      </c>
    </row>
    <row r="174" spans="1:24" ht="15" thickBot="1" x14ac:dyDescent="0.35">
      <c r="A174" s="68" t="s">
        <v>165</v>
      </c>
      <c r="B174" s="42">
        <f>SUM(B164:B173)</f>
        <v>2796.3839069999999</v>
      </c>
      <c r="C174" s="40">
        <f>SUM(C164:C173)</f>
        <v>3.8120155653183163</v>
      </c>
      <c r="D174" s="41">
        <f t="shared" si="45"/>
        <v>-0.99863680535573962</v>
      </c>
      <c r="E174" s="40">
        <f>SUM(E164:E173)</f>
        <v>77271931.920000002</v>
      </c>
      <c r="F174" s="40">
        <f>SUM(F164:F173)</f>
        <v>87897395.481000006</v>
      </c>
      <c r="G174" s="151">
        <f t="shared" si="46"/>
        <v>0.13750741436102046</v>
      </c>
      <c r="H174" s="150">
        <f t="shared" si="47"/>
        <v>4.9248286412948386E-2</v>
      </c>
      <c r="I174" s="150">
        <f t="shared" si="48"/>
        <v>4.8031486076629479E-2</v>
      </c>
      <c r="J174" s="42">
        <f>SUM(J164:J173)</f>
        <v>2741.55285</v>
      </c>
      <c r="K174" s="149">
        <f>SUM(K164:K173)</f>
        <v>48134400</v>
      </c>
      <c r="L174" s="149">
        <f>SUM(L164:L173)</f>
        <v>28880640</v>
      </c>
      <c r="M174" s="149">
        <f>SUM(M164:M173)</f>
        <v>30806016</v>
      </c>
      <c r="N174" s="36">
        <f t="shared" si="49"/>
        <v>107821056</v>
      </c>
      <c r="O174" s="36">
        <f t="shared" si="56"/>
        <v>66485186.657480322</v>
      </c>
      <c r="P174" s="36">
        <f t="shared" si="50"/>
        <v>39891111.994488195</v>
      </c>
      <c r="Q174" s="36">
        <f t="shared" si="51"/>
        <v>42550519.460787408</v>
      </c>
      <c r="R174" s="148">
        <f t="shared" si="52"/>
        <v>148926818.11275592</v>
      </c>
      <c r="S174" s="41"/>
      <c r="T174" s="42">
        <f>SUM(T164:T173)</f>
        <v>60048900</v>
      </c>
      <c r="U174" s="42">
        <f>SUM(U164:U173)</f>
        <v>65141986.000000007</v>
      </c>
      <c r="V174" s="42">
        <f>SUM(V164:V173)</f>
        <v>30456640</v>
      </c>
      <c r="W174" s="147">
        <f>SUM(W164:W173)</f>
        <v>155647526</v>
      </c>
      <c r="X174" s="146">
        <f t="shared" si="53"/>
        <v>-4.317902160066505E-2</v>
      </c>
    </row>
    <row r="175" spans="1:24" ht="16.2" customHeight="1" thickBot="1" x14ac:dyDescent="0.35">
      <c r="A175" s="177" t="s">
        <v>164</v>
      </c>
      <c r="B175" s="171">
        <f>B174+B163+B153</f>
        <v>3598.5611220000001</v>
      </c>
      <c r="C175" s="32">
        <f>C174+C163+C153</f>
        <v>11.260770578028318</v>
      </c>
      <c r="D175" s="33">
        <f t="shared" si="45"/>
        <v>-0.99687075745103093</v>
      </c>
      <c r="E175" s="32">
        <f>E174+E163+E153</f>
        <v>102448979.52000001</v>
      </c>
      <c r="F175" s="32">
        <f>F174+F163+F153</f>
        <v>122993497.74600001</v>
      </c>
      <c r="G175" s="145">
        <f t="shared" si="46"/>
        <v>0.20053414218722707</v>
      </c>
      <c r="H175" s="144">
        <f t="shared" si="47"/>
        <v>6.8912383248428161E-2</v>
      </c>
      <c r="I175" s="144">
        <f t="shared" si="48"/>
        <v>6.3681295537871149E-2</v>
      </c>
      <c r="J175" s="171">
        <f>J174+J163+J153</f>
        <v>3528.0011</v>
      </c>
      <c r="K175" s="176">
        <f>K174+K163+K153</f>
        <v>72864000</v>
      </c>
      <c r="L175" s="176">
        <f>L174+L163+L153</f>
        <v>43718400</v>
      </c>
      <c r="M175" s="176">
        <f>M174+M163+M153</f>
        <v>46632960</v>
      </c>
      <c r="N175" s="28">
        <f t="shared" si="49"/>
        <v>163215360</v>
      </c>
      <c r="O175" s="28">
        <f t="shared" si="56"/>
        <v>93031717.385378018</v>
      </c>
      <c r="P175" s="28">
        <f t="shared" si="50"/>
        <v>55819030.431226812</v>
      </c>
      <c r="Q175" s="28">
        <f t="shared" si="51"/>
        <v>59540299.126641929</v>
      </c>
      <c r="R175" s="143">
        <f t="shared" si="52"/>
        <v>208391046.94324675</v>
      </c>
      <c r="S175" s="142"/>
      <c r="T175" s="34">
        <f>T174+T163+T153</f>
        <v>76178929</v>
      </c>
      <c r="U175" s="34">
        <f>U174+U163+U153</f>
        <v>72854992</v>
      </c>
      <c r="V175" s="34">
        <f>V174+V163+V153</f>
        <v>42079389</v>
      </c>
      <c r="W175" s="141">
        <f>W174+W163+W153</f>
        <v>191113310</v>
      </c>
      <c r="X175" s="140">
        <f t="shared" si="53"/>
        <v>9.0405722883700523E-2</v>
      </c>
    </row>
    <row r="176" spans="1:24" ht="15" customHeight="1" x14ac:dyDescent="0.3">
      <c r="A176" s="175" t="s">
        <v>163</v>
      </c>
      <c r="B176" s="189">
        <f>VLOOKUP($A176,'Growth Analysis'!A:G,2,FALSE)</f>
        <v>0</v>
      </c>
      <c r="C176" s="189">
        <f>VLOOKUP(A176,'Growth Analysis'!A:G,4,FALSE)</f>
        <v>1</v>
      </c>
      <c r="D176" s="50">
        <f t="shared" si="45"/>
        <v>1</v>
      </c>
      <c r="E176" s="49">
        <f>VLOOKUP($A176,'Growth Analysis'!$A:$G,5,FALSE)</f>
        <v>0</v>
      </c>
      <c r="F176" s="49">
        <f>VLOOKUP($A176,'Growth Analysis'!$A:$G,6,FALSE)</f>
        <v>6284241.0727770515</v>
      </c>
      <c r="G176" s="50">
        <f t="shared" si="46"/>
        <v>1</v>
      </c>
      <c r="H176" s="159">
        <f t="shared" si="47"/>
        <v>3.5210156404126623E-3</v>
      </c>
      <c r="I176" s="158">
        <f t="shared" si="48"/>
        <v>0</v>
      </c>
      <c r="J176" s="157">
        <v>0</v>
      </c>
      <c r="K176" s="164">
        <f>VLOOKUP($A176,[1]Notes!$A:$G,3,FALSE)</f>
        <v>11040000</v>
      </c>
      <c r="L176" s="163">
        <f>VLOOKUP($A176,[1]Notes!$A:$G,5,FALSE)</f>
        <v>6624000</v>
      </c>
      <c r="M176" s="163">
        <f>VLOOKUP($A176,[1]Notes!$A:$G,7,FALSE)</f>
        <v>7065600</v>
      </c>
      <c r="N176" s="154">
        <f t="shared" si="49"/>
        <v>24729600</v>
      </c>
      <c r="O176" s="45">
        <f t="shared" si="56"/>
        <v>4753371.1145570939</v>
      </c>
      <c r="P176" s="45">
        <f t="shared" si="50"/>
        <v>2852022.6687342566</v>
      </c>
      <c r="Q176" s="45">
        <f t="shared" si="51"/>
        <v>3042157.51331654</v>
      </c>
      <c r="R176" s="45">
        <f t="shared" si="52"/>
        <v>10647551.296607891</v>
      </c>
      <c r="S176" s="153">
        <f>R176/N176-1</f>
        <v>-0.56944102223214732</v>
      </c>
      <c r="X176" s="152">
        <f t="shared" si="53"/>
        <v>1</v>
      </c>
    </row>
    <row r="177" spans="1:24" ht="15" customHeight="1" x14ac:dyDescent="0.3">
      <c r="A177" s="174" t="s">
        <v>162</v>
      </c>
      <c r="B177" s="189">
        <f>VLOOKUP($A177,'Growth Analysis'!A:G,2,FALSE)</f>
        <v>0</v>
      </c>
      <c r="C177" s="189">
        <f>VLOOKUP(A177,'Growth Analysis'!A:G,4,FALSE)</f>
        <v>1</v>
      </c>
      <c r="D177" s="50">
        <f t="shared" si="45"/>
        <v>1</v>
      </c>
      <c r="E177" s="49">
        <f>VLOOKUP($A177,'Growth Analysis'!$A:$G,5,FALSE)</f>
        <v>0</v>
      </c>
      <c r="F177" s="49">
        <f>VLOOKUP($A177,'Growth Analysis'!$A:$G,6,FALSE)</f>
        <v>6300000</v>
      </c>
      <c r="G177" s="50">
        <f t="shared" si="46"/>
        <v>1</v>
      </c>
      <c r="H177" s="159">
        <f t="shared" si="47"/>
        <v>3.5298452554108034E-3</v>
      </c>
      <c r="I177" s="158">
        <f t="shared" si="48"/>
        <v>0</v>
      </c>
      <c r="J177" s="157">
        <v>0</v>
      </c>
      <c r="K177" s="162">
        <f>VLOOKUP($A177,[1]Notes!$A:$G,3,FALSE)</f>
        <v>2649600</v>
      </c>
      <c r="L177" s="161">
        <f>VLOOKUP($A177,[1]Notes!$A:$G,5,FALSE)</f>
        <v>1589760</v>
      </c>
      <c r="M177" s="161">
        <f>VLOOKUP($A177,[1]Notes!$A:$G,7,FALSE)</f>
        <v>1695744</v>
      </c>
      <c r="N177" s="154">
        <f t="shared" si="49"/>
        <v>5935104</v>
      </c>
      <c r="O177" s="45">
        <f t="shared" si="56"/>
        <v>4765291.094804585</v>
      </c>
      <c r="P177" s="45">
        <f t="shared" si="50"/>
        <v>2859174.6568827508</v>
      </c>
      <c r="Q177" s="45">
        <f t="shared" si="51"/>
        <v>3049786.3006749339</v>
      </c>
      <c r="R177" s="45">
        <f t="shared" si="52"/>
        <v>10674252.052362271</v>
      </c>
      <c r="S177" s="153">
        <f>R177/N177-1</f>
        <v>0.79849452551501554</v>
      </c>
      <c r="X177" s="152">
        <f t="shared" si="53"/>
        <v>1</v>
      </c>
    </row>
    <row r="178" spans="1:24" ht="15" customHeight="1" x14ac:dyDescent="0.3">
      <c r="A178" s="70" t="s">
        <v>161</v>
      </c>
      <c r="B178" s="189">
        <f>VLOOKUP($A178,'Growth Analysis'!A:G,2,FALSE)</f>
        <v>533.17312500000003</v>
      </c>
      <c r="C178" s="189">
        <f>VLOOKUP(A178,'Growth Analysis'!A:G,4,FALSE)</f>
        <v>-0.71744250078246163</v>
      </c>
      <c r="D178" s="50">
        <f t="shared" si="45"/>
        <v>-1.0013456088972648</v>
      </c>
      <c r="E178" s="49">
        <f>VLOOKUP($A178,'Growth Analysis'!$A:$G,5,FALSE)</f>
        <v>18565553.460000001</v>
      </c>
      <c r="F178" s="49">
        <f>VLOOKUP($A178,'Growth Analysis'!$A:$G,6,FALSE)</f>
        <v>2749383.1965356194</v>
      </c>
      <c r="G178" s="50">
        <f t="shared" si="46"/>
        <v>-0.85190944064989815</v>
      </c>
      <c r="H178" s="159">
        <f t="shared" si="47"/>
        <v>1.5404598780313404E-3</v>
      </c>
      <c r="I178" s="158">
        <f t="shared" si="48"/>
        <v>1.1540168601480338E-2</v>
      </c>
      <c r="J178" s="157">
        <v>522.71875</v>
      </c>
      <c r="K178" s="162">
        <f>VLOOKUP($A178,[1]Notes!$A:$G,3,FALSE)</f>
        <v>2649600</v>
      </c>
      <c r="L178" s="161">
        <f>VLOOKUP($A178,[1]Notes!$A:$G,5,FALSE)</f>
        <v>1589760</v>
      </c>
      <c r="M178" s="161">
        <f>VLOOKUP($A178,[1]Notes!$A:$G,7,FALSE)</f>
        <v>1695744</v>
      </c>
      <c r="N178" s="154">
        <f t="shared" si="49"/>
        <v>5935104</v>
      </c>
      <c r="O178" s="45">
        <f t="shared" si="56"/>
        <v>2079620.8353423097</v>
      </c>
      <c r="P178" s="45">
        <f t="shared" si="50"/>
        <v>1247772.5012053857</v>
      </c>
      <c r="Q178" s="45">
        <f t="shared" si="51"/>
        <v>1330957.3346190781</v>
      </c>
      <c r="R178" s="45">
        <f t="shared" si="52"/>
        <v>4658350.671166773</v>
      </c>
      <c r="S178" s="153">
        <f>N178/R178-1</f>
        <v>0.27407840649176363</v>
      </c>
      <c r="T178">
        <f>VLOOKUP($A178,'[2]All month (2)'!$E:$Y,8,FALSE)</f>
        <v>10000000</v>
      </c>
      <c r="U178">
        <v>15000000</v>
      </c>
      <c r="V178">
        <v>4999735</v>
      </c>
      <c r="W178">
        <f t="shared" ref="W178:W183" si="59">SUM(T178:V178)</f>
        <v>29999735</v>
      </c>
      <c r="X178" s="152">
        <f t="shared" si="53"/>
        <v>-0.84472027265684935</v>
      </c>
    </row>
    <row r="179" spans="1:24" ht="15" customHeight="1" x14ac:dyDescent="0.3">
      <c r="A179" s="70" t="s">
        <v>160</v>
      </c>
      <c r="B179" s="189">
        <f>VLOOKUP($A179,'Growth Analysis'!A:G,2,FALSE)</f>
        <v>847.07736</v>
      </c>
      <c r="C179" s="189">
        <f>VLOOKUP(A179,'Growth Analysis'!A:G,4,FALSE)</f>
        <v>-0.93694197835720694</v>
      </c>
      <c r="D179" s="50">
        <f t="shared" si="45"/>
        <v>-1.0011060878528937</v>
      </c>
      <c r="E179" s="49">
        <f>VLOOKUP($A179,'Growth Analysis'!$A:$G,5,FALSE)</f>
        <v>24927538.260000002</v>
      </c>
      <c r="F179" s="49">
        <f>VLOOKUP($A179,'Growth Analysis'!$A:$G,6,FALSE)</f>
        <v>9677886.75</v>
      </c>
      <c r="G179" s="50">
        <f t="shared" si="46"/>
        <v>-0.61175922591884535</v>
      </c>
      <c r="H179" s="159">
        <f t="shared" si="47"/>
        <v>5.4224512106175521E-3</v>
      </c>
      <c r="I179" s="158">
        <f t="shared" si="48"/>
        <v>1.5494716866913796E-2</v>
      </c>
      <c r="J179" s="157">
        <v>830.46799999999996</v>
      </c>
      <c r="K179" s="162">
        <f>VLOOKUP($A179,[1]Notes!$A:$G,3,FALSE)</f>
        <v>1324800</v>
      </c>
      <c r="L179" s="161">
        <f>VLOOKUP($A179,[1]Notes!$A:$G,5,FALSE)</f>
        <v>794880</v>
      </c>
      <c r="M179" s="161">
        <f>VLOOKUP($A179,[1]Notes!$A:$G,7,FALSE)</f>
        <v>847872</v>
      </c>
      <c r="N179" s="154">
        <f t="shared" si="49"/>
        <v>2967552</v>
      </c>
      <c r="O179" s="45">
        <f t="shared" si="56"/>
        <v>7320309.1343336953</v>
      </c>
      <c r="P179" s="45">
        <f t="shared" si="50"/>
        <v>4392185.4806002174</v>
      </c>
      <c r="Q179" s="45">
        <f t="shared" si="51"/>
        <v>4684997.8459735652</v>
      </c>
      <c r="R179" s="45">
        <f t="shared" si="52"/>
        <v>16397492.460907478</v>
      </c>
      <c r="S179" s="153">
        <f>N179/R179-1</f>
        <v>-0.81902403632294352</v>
      </c>
      <c r="T179">
        <f>VLOOKUP($A179,'[2]All month (2)'!$E:$Y,8,FALSE)</f>
        <v>19661521</v>
      </c>
      <c r="U179">
        <f>VLOOKUP($A179,'[2]All month (2)'!$E:$Y,14,FALSE)</f>
        <v>3438576.67</v>
      </c>
      <c r="V179">
        <f>VLOOKUP($A179,'[2]All month (2)'!$E:$Y,20,FALSE)</f>
        <v>1216910</v>
      </c>
      <c r="W179">
        <f t="shared" si="59"/>
        <v>24317007.670000002</v>
      </c>
      <c r="X179" s="152">
        <f t="shared" si="53"/>
        <v>-0.32567803228778286</v>
      </c>
    </row>
    <row r="180" spans="1:24" ht="15" customHeight="1" x14ac:dyDescent="0.3">
      <c r="A180" s="70" t="s">
        <v>159</v>
      </c>
      <c r="B180" s="189">
        <f>VLOOKUP($A180,'Growth Analysis'!A:G,2,FALSE)</f>
        <v>0</v>
      </c>
      <c r="C180" s="189">
        <f>VLOOKUP(A180,'Growth Analysis'!A:G,4,FALSE)</f>
        <v>1</v>
      </c>
      <c r="D180" s="50">
        <f t="shared" si="45"/>
        <v>1</v>
      </c>
      <c r="E180" s="49">
        <f>VLOOKUP($A180,'Growth Analysis'!$A:$G,5,FALSE)</f>
        <v>1806809.6400000001</v>
      </c>
      <c r="F180" s="49">
        <f>VLOOKUP($A180,'Growth Analysis'!$A:$G,6,FALSE)</f>
        <v>11801546.924299911</v>
      </c>
      <c r="G180" s="50">
        <f t="shared" si="46"/>
        <v>5.5317046483656735</v>
      </c>
      <c r="H180" s="159">
        <f t="shared" si="47"/>
        <v>6.6123229233726981E-3</v>
      </c>
      <c r="I180" s="158">
        <f t="shared" si="48"/>
        <v>1.1230954100724122E-3</v>
      </c>
      <c r="J180" s="157">
        <v>0</v>
      </c>
      <c r="K180" s="162">
        <f>VLOOKUP($A180,[1]Notes!$A:$G,3,FALSE)</f>
        <v>5961600</v>
      </c>
      <c r="L180" s="161">
        <f>VLOOKUP($A180,[1]Notes!$A:$G,5,FALSE)</f>
        <v>3576960</v>
      </c>
      <c r="M180" s="161">
        <f>VLOOKUP($A180,[1]Notes!$A:$G,7,FALSE)</f>
        <v>3815424.0000000005</v>
      </c>
      <c r="N180" s="154">
        <f t="shared" si="49"/>
        <v>13353984</v>
      </c>
      <c r="O180" s="45">
        <f t="shared" si="56"/>
        <v>8926635.9465531427</v>
      </c>
      <c r="P180" s="45">
        <f t="shared" si="50"/>
        <v>5355981.5679318858</v>
      </c>
      <c r="Q180" s="45">
        <f t="shared" si="51"/>
        <v>5713047.0057940111</v>
      </c>
      <c r="R180" s="45">
        <f t="shared" si="52"/>
        <v>19995664.520279039</v>
      </c>
      <c r="S180" s="153">
        <f>R180/N180-1</f>
        <v>0.49735573445939729</v>
      </c>
      <c r="T180">
        <f>VLOOKUP($A180,'[2]All month (2)'!$E:$Y,8,FALSE)</f>
        <v>0</v>
      </c>
      <c r="U180">
        <f>VLOOKUP($A180,'[2]All month (2)'!$E:$Y,14,FALSE)</f>
        <v>8910597</v>
      </c>
      <c r="V180">
        <f>VLOOKUP($A180,'[2]All month (2)'!$E:$Y,20,FALSE)</f>
        <v>8457743.6999999993</v>
      </c>
      <c r="W180">
        <f t="shared" si="59"/>
        <v>17368340.699999999</v>
      </c>
      <c r="X180" s="152">
        <f t="shared" si="53"/>
        <v>0.15127085918340141</v>
      </c>
    </row>
    <row r="181" spans="1:24" ht="15" customHeight="1" x14ac:dyDescent="0.3">
      <c r="A181" s="70" t="s">
        <v>158</v>
      </c>
      <c r="B181" s="189">
        <f>VLOOKUP($A181,'Growth Analysis'!A:G,2,FALSE)</f>
        <v>0</v>
      </c>
      <c r="C181" s="189">
        <f>VLOOKUP(A181,'Growth Analysis'!A:G,4,FALSE)</f>
        <v>1</v>
      </c>
      <c r="D181" s="50">
        <f t="shared" si="45"/>
        <v>1</v>
      </c>
      <c r="E181" s="49">
        <f>VLOOKUP($A181,'Growth Analysis'!$A:$G,5,FALSE)</f>
        <v>0</v>
      </c>
      <c r="F181" s="49">
        <f>VLOOKUP($A181,'Growth Analysis'!$A:$G,6,FALSE)</f>
        <v>6089704.1126444591</v>
      </c>
      <c r="G181" s="50">
        <f t="shared" si="46"/>
        <v>1</v>
      </c>
      <c r="H181" s="159">
        <f t="shared" si="47"/>
        <v>3.4120179633132857E-3</v>
      </c>
      <c r="I181" s="158">
        <f t="shared" si="48"/>
        <v>0</v>
      </c>
      <c r="J181" s="157">
        <v>0</v>
      </c>
      <c r="K181" s="162">
        <f>VLOOKUP($A181,[1]Notes!$A:$G,3,FALSE)</f>
        <v>5961600</v>
      </c>
      <c r="L181" s="161">
        <f>VLOOKUP($A181,[1]Notes!$A:$G,5,FALSE)</f>
        <v>3576960</v>
      </c>
      <c r="M181" s="161">
        <f>VLOOKUP($A181,[1]Notes!$A:$G,7,FALSE)</f>
        <v>3815424.0000000005</v>
      </c>
      <c r="N181" s="154">
        <f t="shared" si="49"/>
        <v>13353984</v>
      </c>
      <c r="O181" s="45">
        <f t="shared" si="56"/>
        <v>4606224.2504729358</v>
      </c>
      <c r="P181" s="45">
        <f t="shared" si="50"/>
        <v>2763734.5502837612</v>
      </c>
      <c r="Q181" s="45">
        <f t="shared" si="51"/>
        <v>2947983.5203026789</v>
      </c>
      <c r="R181" s="45">
        <f t="shared" si="52"/>
        <v>10317942.321059376</v>
      </c>
      <c r="S181" s="153">
        <f>R181/N181-1</f>
        <v>-0.22735100468449143</v>
      </c>
      <c r="T181">
        <f>VLOOKUP($A181,'[2]All month (2)'!$E:$Y,8,FALSE)</f>
        <v>0</v>
      </c>
      <c r="U181">
        <f>VLOOKUP($A181,'[2]All month (2)'!$E:$Y,14,FALSE)</f>
        <v>1271802.33</v>
      </c>
      <c r="V181">
        <f>VLOOKUP($A181,'[2]All month (2)'!$E:$Y,20,FALSE)</f>
        <v>450090</v>
      </c>
      <c r="W181">
        <f t="shared" si="59"/>
        <v>1721892.33</v>
      </c>
      <c r="X181" s="152">
        <f t="shared" si="53"/>
        <v>4.9922110931636334</v>
      </c>
    </row>
    <row r="182" spans="1:24" ht="15" customHeight="1" x14ac:dyDescent="0.3">
      <c r="A182" s="70" t="s">
        <v>157</v>
      </c>
      <c r="B182" s="189">
        <f>VLOOKUP($A182,'Growth Analysis'!A:G,2,FALSE)</f>
        <v>198.48231000000001</v>
      </c>
      <c r="C182" s="189">
        <f>VLOOKUP(A182,'Growth Analysis'!A:G,4,FALSE)</f>
        <v>-0.33020157489098145</v>
      </c>
      <c r="D182" s="50">
        <f t="shared" si="45"/>
        <v>-1.0016636322647141</v>
      </c>
      <c r="E182" s="49">
        <f>VLOOKUP($A182,'Growth Analysis'!$A:$G,5,FALSE)</f>
        <v>5951235.9000000004</v>
      </c>
      <c r="F182" s="49">
        <f>VLOOKUP($A182,'Growth Analysis'!$A:$G,6,FALSE)</f>
        <v>6056973.3603047486</v>
      </c>
      <c r="G182" s="50">
        <f t="shared" si="46"/>
        <v>1.7767311207533928E-2</v>
      </c>
      <c r="H182" s="159">
        <f t="shared" si="47"/>
        <v>3.3936791552414834E-3</v>
      </c>
      <c r="I182" s="158">
        <f t="shared" si="48"/>
        <v>3.6992307189307231E-3</v>
      </c>
      <c r="J182" s="157">
        <v>194.59050000000002</v>
      </c>
      <c r="K182" s="162">
        <f>VLOOKUP($A182,[1]Notes!$A:$G,3,FALSE)</f>
        <v>5961600</v>
      </c>
      <c r="L182" s="161">
        <f>VLOOKUP($A182,[1]Notes!$A:$G,5,FALSE)</f>
        <v>3576960</v>
      </c>
      <c r="M182" s="161">
        <f>VLOOKUP($A182,[1]Notes!$A:$G,7,FALSE)</f>
        <v>3815424.0000000005</v>
      </c>
      <c r="N182" s="154">
        <f t="shared" si="49"/>
        <v>13353984</v>
      </c>
      <c r="O182" s="45">
        <f t="shared" si="56"/>
        <v>4581466.8595760027</v>
      </c>
      <c r="P182" s="45">
        <f t="shared" si="50"/>
        <v>2748880.1157456017</v>
      </c>
      <c r="Q182" s="45">
        <f t="shared" si="51"/>
        <v>2932138.7901286418</v>
      </c>
      <c r="R182" s="45">
        <f t="shared" si="52"/>
        <v>10262485.765450247</v>
      </c>
      <c r="S182" s="153">
        <f>R182/N182-1</f>
        <v>-0.23150381448335966</v>
      </c>
      <c r="T182">
        <f>VLOOKUP($A182,'[2]All month (2)'!$E:$Y,8,FALSE)</f>
        <v>1563000</v>
      </c>
      <c r="U182">
        <f>VLOOKUP($A182,'[2]All month (2)'!$E:$Y,14,FALSE)</f>
        <v>4061186</v>
      </c>
      <c r="V182">
        <f>VLOOKUP($A182,'[2]All month (2)'!$E:$Y,20,FALSE)</f>
        <v>4561746.9000000004</v>
      </c>
      <c r="W182">
        <f t="shared" si="59"/>
        <v>10185932.9</v>
      </c>
      <c r="X182" s="152">
        <f t="shared" si="53"/>
        <v>7.515547785539237E-3</v>
      </c>
    </row>
    <row r="183" spans="1:24" ht="15" customHeight="1" thickBot="1" x14ac:dyDescent="0.35">
      <c r="A183" s="69" t="s">
        <v>156</v>
      </c>
      <c r="B183" s="189">
        <f>VLOOKUP($A183,'Growth Analysis'!A:G,2,FALSE)</f>
        <v>0</v>
      </c>
      <c r="C183" s="189">
        <f>VLOOKUP(A183,'Growth Analysis'!A:G,4,FALSE)</f>
        <v>1</v>
      </c>
      <c r="D183" s="50">
        <f t="shared" si="45"/>
        <v>1</v>
      </c>
      <c r="E183" s="49">
        <f>VLOOKUP($A183,'Growth Analysis'!$A:$G,5,FALSE)</f>
        <v>0</v>
      </c>
      <c r="F183" s="49">
        <f>VLOOKUP($A183,'Growth Analysis'!$A:$G,6,FALSE)</f>
        <v>7514372.3778546574</v>
      </c>
      <c r="G183" s="50">
        <f t="shared" si="46"/>
        <v>1</v>
      </c>
      <c r="H183" s="159">
        <f t="shared" si="47"/>
        <v>4.2102494738667073E-3</v>
      </c>
      <c r="I183" s="158">
        <f t="shared" si="48"/>
        <v>0</v>
      </c>
      <c r="J183" s="157">
        <v>0</v>
      </c>
      <c r="K183" s="156">
        <f>VLOOKUP($A183,[1]Notes!$A:$G,3,FALSE)</f>
        <v>5961600</v>
      </c>
      <c r="L183" s="155">
        <f>VLOOKUP($A183,[1]Notes!$A:$G,5,FALSE)</f>
        <v>3576960</v>
      </c>
      <c r="M183" s="155">
        <f>VLOOKUP($A183,[1]Notes!$A:$G,7,FALSE)</f>
        <v>3815424.0000000005</v>
      </c>
      <c r="N183" s="154">
        <f t="shared" si="49"/>
        <v>13353984</v>
      </c>
      <c r="O183" s="45">
        <f t="shared" si="56"/>
        <v>5683836.7897200547</v>
      </c>
      <c r="P183" s="45">
        <f t="shared" si="50"/>
        <v>3410302.0738320327</v>
      </c>
      <c r="Q183" s="45">
        <f t="shared" si="51"/>
        <v>3637655.5454208353</v>
      </c>
      <c r="R183" s="45">
        <f t="shared" si="52"/>
        <v>12731794.408972923</v>
      </c>
      <c r="S183" s="153">
        <f>R183/N183-1</f>
        <v>-4.6592057548299981E-2</v>
      </c>
      <c r="T183">
        <f>VLOOKUP($A183,'[2]All month (2)'!$E:$Y,8,FALSE)</f>
        <v>0</v>
      </c>
      <c r="U183">
        <f>VLOOKUP($A183,'[2]All month (2)'!$E:$Y,14,FALSE)</f>
        <v>764514</v>
      </c>
      <c r="V183">
        <f>VLOOKUP($A183,'[2]All month (2)'!$E:$Y,20,FALSE)</f>
        <v>805499.4</v>
      </c>
      <c r="W183">
        <f t="shared" si="59"/>
        <v>1570013.4</v>
      </c>
      <c r="X183" s="152">
        <f t="shared" si="53"/>
        <v>7.1093539768341616</v>
      </c>
    </row>
    <row r="184" spans="1:24" ht="15" thickBot="1" x14ac:dyDescent="0.35">
      <c r="A184" s="68" t="s">
        <v>155</v>
      </c>
      <c r="B184" s="42">
        <f>SUM(B176:B183)</f>
        <v>1578.7327950000001</v>
      </c>
      <c r="C184" s="40">
        <f>SUM(C176:C183)</f>
        <v>3.0154139459693496</v>
      </c>
      <c r="D184" s="41">
        <f t="shared" si="45"/>
        <v>-0.99808997826895118</v>
      </c>
      <c r="E184" s="40">
        <f>SUM(E176:E183)</f>
        <v>51251137.259999998</v>
      </c>
      <c r="F184" s="40">
        <f>SUM(F176:F183)</f>
        <v>56474107.79441645</v>
      </c>
      <c r="G184" s="151">
        <f t="shared" si="46"/>
        <v>0.10190935877032385</v>
      </c>
      <c r="H184" s="150">
        <f t="shared" si="47"/>
        <v>3.1642041500266532E-2</v>
      </c>
      <c r="I184" s="150">
        <f t="shared" si="48"/>
        <v>3.1857211597397267E-2</v>
      </c>
      <c r="J184" s="42">
        <f>SUM(J176:J183)</f>
        <v>1547.7772499999999</v>
      </c>
      <c r="K184" s="165">
        <f>SUM(K176:K183)</f>
        <v>41510400</v>
      </c>
      <c r="L184" s="165">
        <f>SUM(L176:L183)</f>
        <v>24906240</v>
      </c>
      <c r="M184" s="165">
        <f>SUM(M176:M183)</f>
        <v>26566656</v>
      </c>
      <c r="N184" s="36">
        <f t="shared" si="49"/>
        <v>92983296</v>
      </c>
      <c r="O184" s="36">
        <f t="shared" si="56"/>
        <v>42716756.025359817</v>
      </c>
      <c r="P184" s="36">
        <f t="shared" si="50"/>
        <v>25630053.61521589</v>
      </c>
      <c r="Q184" s="36">
        <f t="shared" si="51"/>
        <v>27338723.856230285</v>
      </c>
      <c r="R184" s="148">
        <f t="shared" si="52"/>
        <v>95685533.496805996</v>
      </c>
      <c r="S184" s="41"/>
      <c r="T184" s="42">
        <f>SUM(T176:T183)</f>
        <v>31224521</v>
      </c>
      <c r="U184" s="42">
        <f>SUM(U176:U183)</f>
        <v>33446676</v>
      </c>
      <c r="V184" s="42">
        <f>SUM(V176:V183)</f>
        <v>20491725</v>
      </c>
      <c r="W184" s="147">
        <f>SUM(W176:W183)</f>
        <v>85162922.000000015</v>
      </c>
      <c r="X184" s="146">
        <f t="shared" si="53"/>
        <v>0.12355860096963299</v>
      </c>
    </row>
    <row r="185" spans="1:24" ht="15" customHeight="1" x14ac:dyDescent="0.3">
      <c r="A185" s="73" t="s">
        <v>154</v>
      </c>
      <c r="B185" s="189">
        <f>VLOOKUP($A185,'Growth Analysis'!A:G,2,FALSE)</f>
        <v>201.95439000000002</v>
      </c>
      <c r="C185" s="189">
        <f>VLOOKUP(A185,'Growth Analysis'!A:G,4,FALSE)</f>
        <v>-5.8666476623756431E-2</v>
      </c>
      <c r="D185" s="50">
        <f t="shared" si="45"/>
        <v>-1.0002904936932728</v>
      </c>
      <c r="E185" s="49">
        <f>VLOOKUP($A185,'Growth Analysis'!$A:$G,5,FALSE)</f>
        <v>6521625</v>
      </c>
      <c r="F185" s="49">
        <f>VLOOKUP($A185,'Growth Analysis'!$A:$G,6,FALSE)</f>
        <v>8500666.6500000004</v>
      </c>
      <c r="G185" s="50">
        <f t="shared" si="46"/>
        <v>0.30345836352136168</v>
      </c>
      <c r="H185" s="159">
        <f t="shared" si="47"/>
        <v>4.7628631495764042E-3</v>
      </c>
      <c r="I185" s="158">
        <f t="shared" si="48"/>
        <v>4.0537790708895568E-3</v>
      </c>
      <c r="J185" s="157">
        <v>197.99450000000002</v>
      </c>
      <c r="K185" s="164">
        <f>VLOOKUP($A185,[1]Notes!$A:$G,3,FALSE)</f>
        <v>5593599.9999999991</v>
      </c>
      <c r="L185" s="163">
        <f>VLOOKUP($A185,[1]Notes!$A:$G,5,FALSE)</f>
        <v>3356159.9999999991</v>
      </c>
      <c r="M185" s="163">
        <f>VLOOKUP($A185,[1]Notes!$A:$G,7,FALSE)</f>
        <v>3579903.9999999991</v>
      </c>
      <c r="N185" s="154">
        <f t="shared" si="49"/>
        <v>12529663.999999996</v>
      </c>
      <c r="O185" s="45">
        <f t="shared" si="56"/>
        <v>6429865.251928146</v>
      </c>
      <c r="P185" s="45">
        <f t="shared" si="50"/>
        <v>3857919.1511568874</v>
      </c>
      <c r="Q185" s="45">
        <f t="shared" si="51"/>
        <v>4115113.7612340134</v>
      </c>
      <c r="R185" s="45">
        <f t="shared" si="52"/>
        <v>14402898.164319048</v>
      </c>
      <c r="S185" s="153">
        <f t="shared" ref="S185:S190" si="60">R185/N185-1</f>
        <v>0.14950394234985498</v>
      </c>
      <c r="T185">
        <f>VLOOKUP($A185,'[2]All month (2)'!$E:$Y,8,FALSE)</f>
        <v>3631430</v>
      </c>
      <c r="U185">
        <f>VLOOKUP($A185,'[2]All month (2)'!$E:$Y,14,FALSE)</f>
        <v>1955150</v>
      </c>
      <c r="V185">
        <f>VLOOKUP($A185,'[2]All month (2)'!$E:$Y,20,FALSE)</f>
        <v>1820440</v>
      </c>
      <c r="W185">
        <f t="shared" ref="W185:W190" si="61">SUM(T185:V185)</f>
        <v>7407020</v>
      </c>
      <c r="X185" s="152">
        <f t="shared" si="53"/>
        <v>0.9444929491643127</v>
      </c>
    </row>
    <row r="186" spans="1:24" ht="15" customHeight="1" x14ac:dyDescent="0.3">
      <c r="A186" s="70" t="s">
        <v>153</v>
      </c>
      <c r="B186" s="189">
        <f>VLOOKUP($A186,'Growth Analysis'!A:G,2,FALSE)</f>
        <v>477.39131400000002</v>
      </c>
      <c r="C186" s="189">
        <f>VLOOKUP(A186,'Growth Analysis'!A:G,4,FALSE)</f>
        <v>-0.3087219460804852</v>
      </c>
      <c r="D186" s="50">
        <f t="shared" si="45"/>
        <v>-1.0006466853020297</v>
      </c>
      <c r="E186" s="49">
        <f>VLOOKUP($A186,'Growth Analysis'!$A:$G,5,FALSE)</f>
        <v>18023910</v>
      </c>
      <c r="F186" s="49">
        <f>VLOOKUP($A186,'Growth Analysis'!$A:$G,6,FALSE)</f>
        <v>13942644.995999999</v>
      </c>
      <c r="G186" s="50">
        <f t="shared" si="46"/>
        <v>-0.22643616196485672</v>
      </c>
      <c r="H186" s="159">
        <f t="shared" si="47"/>
        <v>7.8119649661917102E-3</v>
      </c>
      <c r="I186" s="158">
        <f t="shared" si="48"/>
        <v>1.120348826152945E-2</v>
      </c>
      <c r="J186" s="157">
        <v>468.03070000000002</v>
      </c>
      <c r="K186" s="162">
        <f>VLOOKUP($A186,[1]Notes!$A:$G,3,FALSE)</f>
        <v>9126399.9999999981</v>
      </c>
      <c r="L186" s="161">
        <f>VLOOKUP($A186,[1]Notes!$A:$G,5,FALSE)</f>
        <v>5475839.9999999991</v>
      </c>
      <c r="M186" s="161">
        <f>VLOOKUP($A186,[1]Notes!$A:$G,7,FALSE)</f>
        <v>5840895.9999999991</v>
      </c>
      <c r="N186" s="154">
        <f t="shared" si="49"/>
        <v>20443135.999999996</v>
      </c>
      <c r="O186" s="45">
        <f t="shared" si="56"/>
        <v>10546152.704358809</v>
      </c>
      <c r="P186" s="45">
        <f t="shared" si="50"/>
        <v>6327691.6226152852</v>
      </c>
      <c r="Q186" s="45">
        <f t="shared" si="51"/>
        <v>6749537.7307896372</v>
      </c>
      <c r="R186" s="45">
        <f t="shared" si="52"/>
        <v>23623382.057763733</v>
      </c>
      <c r="S186" s="153">
        <f t="shared" si="60"/>
        <v>0.15556546988503794</v>
      </c>
      <c r="T186">
        <f>VLOOKUP($A186,'[2]All month (2)'!$E:$Y,8,FALSE)</f>
        <v>5122000</v>
      </c>
      <c r="U186">
        <f>VLOOKUP($A186,'[2]All month (2)'!$E:$Y,14,FALSE)</f>
        <v>4350000</v>
      </c>
      <c r="V186">
        <f>VLOOKUP($A186,'[2]All month (2)'!$E:$Y,20,FALSE)</f>
        <v>1400000</v>
      </c>
      <c r="W186">
        <f t="shared" si="61"/>
        <v>10872000</v>
      </c>
      <c r="X186" s="152">
        <f t="shared" si="53"/>
        <v>1.1728644276824625</v>
      </c>
    </row>
    <row r="187" spans="1:24" ht="15" customHeight="1" x14ac:dyDescent="0.3">
      <c r="A187" s="70" t="s">
        <v>152</v>
      </c>
      <c r="B187" s="189">
        <f>VLOOKUP($A187,'Growth Analysis'!A:G,2,FALSE)</f>
        <v>0</v>
      </c>
      <c r="C187" s="189">
        <f>VLOOKUP(A187,'Growth Analysis'!A:G,4,FALSE)</f>
        <v>1</v>
      </c>
      <c r="D187" s="50">
        <f t="shared" si="45"/>
        <v>1</v>
      </c>
      <c r="E187" s="49">
        <f>VLOOKUP($A187,'Growth Analysis'!$A:$G,5,FALSE)</f>
        <v>0</v>
      </c>
      <c r="F187" s="49">
        <f>VLOOKUP($A187,'Growth Analysis'!$A:$G,6,FALSE)</f>
        <v>3753295.6536923074</v>
      </c>
      <c r="G187" s="50">
        <f t="shared" si="46"/>
        <v>1</v>
      </c>
      <c r="H187" s="159">
        <f t="shared" si="47"/>
        <v>2.1029448976729809E-3</v>
      </c>
      <c r="I187" s="158">
        <f t="shared" si="48"/>
        <v>0</v>
      </c>
      <c r="J187" s="157">
        <v>0</v>
      </c>
      <c r="K187" s="162">
        <f>VLOOKUP($A187,[1]Notes!$A:$G,3,FALSE)</f>
        <v>2943999.9999999995</v>
      </c>
      <c r="L187" s="161">
        <f>VLOOKUP($A187,[1]Notes!$A:$G,5,FALSE)</f>
        <v>1766399.9999999998</v>
      </c>
      <c r="M187" s="161">
        <f>VLOOKUP($A187,[1]Notes!$A:$G,7,FALSE)</f>
        <v>1884159.9999999995</v>
      </c>
      <c r="N187" s="154">
        <f t="shared" si="49"/>
        <v>6594559.9999999981</v>
      </c>
      <c r="O187" s="45">
        <f t="shared" si="56"/>
        <v>2838975.6118585244</v>
      </c>
      <c r="P187" s="45">
        <f t="shared" si="50"/>
        <v>1703385.3671151146</v>
      </c>
      <c r="Q187" s="45">
        <f t="shared" si="51"/>
        <v>1816944.3915894555</v>
      </c>
      <c r="R187" s="45">
        <f t="shared" si="52"/>
        <v>6359305.3705630945</v>
      </c>
      <c r="S187" s="153">
        <f t="shared" si="60"/>
        <v>-3.5674044885011802E-2</v>
      </c>
      <c r="T187">
        <f>VLOOKUP($A187,'[2]All month (2)'!$E:$Y,8,FALSE)</f>
        <v>0</v>
      </c>
      <c r="U187">
        <f>VLOOKUP($A187,'[2]All month (2)'!$E:$Y,14,FALSE)</f>
        <v>2255000</v>
      </c>
      <c r="V187">
        <f>VLOOKUP($A187,'[2]All month (2)'!$E:$Y,20,FALSE)</f>
        <v>2392500</v>
      </c>
      <c r="W187">
        <f t="shared" si="61"/>
        <v>4647500</v>
      </c>
      <c r="X187" s="152">
        <f t="shared" si="53"/>
        <v>0.36832821313891223</v>
      </c>
    </row>
    <row r="188" spans="1:24" ht="15" customHeight="1" x14ac:dyDescent="0.3">
      <c r="A188" s="70" t="s">
        <v>151</v>
      </c>
      <c r="B188" s="189">
        <f>VLOOKUP($A188,'Growth Analysis'!A:G,2,FALSE)</f>
        <v>172.96777499999999</v>
      </c>
      <c r="C188" s="189">
        <f>VLOOKUP(A188,'Growth Analysis'!A:G,4,FALSE)</f>
        <v>-0.43995511476053856</v>
      </c>
      <c r="D188" s="50">
        <f t="shared" si="45"/>
        <v>-1.0025435669433833</v>
      </c>
      <c r="E188" s="49">
        <f>VLOOKUP($A188,'Growth Analysis'!$A:$G,5,FALSE)</f>
        <v>8481218.4000000004</v>
      </c>
      <c r="F188" s="49">
        <f>VLOOKUP($A188,'Growth Analysis'!$A:$G,6,FALSE)</f>
        <v>3800794.9883076926</v>
      </c>
      <c r="G188" s="50">
        <f t="shared" si="46"/>
        <v>-0.55185743261750086</v>
      </c>
      <c r="H188" s="159">
        <f t="shared" si="47"/>
        <v>2.1295584375027091E-3</v>
      </c>
      <c r="I188" s="158">
        <f t="shared" si="48"/>
        <v>5.2718433895790418E-3</v>
      </c>
      <c r="J188" s="157">
        <v>169.57624999999999</v>
      </c>
      <c r="K188" s="162">
        <f>VLOOKUP($A188,[1]Notes!$A:$G,3,FALSE)</f>
        <v>4710400</v>
      </c>
      <c r="L188" s="161">
        <f>VLOOKUP($A188,[1]Notes!$A:$G,5,FALSE)</f>
        <v>2826240</v>
      </c>
      <c r="M188" s="161">
        <f>VLOOKUP($A188,[1]Notes!$A:$G,7,FALSE)</f>
        <v>3014656</v>
      </c>
      <c r="N188" s="154">
        <f t="shared" si="49"/>
        <v>10551296</v>
      </c>
      <c r="O188" s="45">
        <f t="shared" si="56"/>
        <v>2874903.8906286573</v>
      </c>
      <c r="P188" s="45">
        <f t="shared" si="50"/>
        <v>1724942.3343771943</v>
      </c>
      <c r="Q188" s="45">
        <f t="shared" si="51"/>
        <v>1839938.4900023406</v>
      </c>
      <c r="R188" s="45">
        <f t="shared" si="52"/>
        <v>6439784.7150081927</v>
      </c>
      <c r="S188" s="153">
        <f t="shared" si="60"/>
        <v>-0.38966884115390255</v>
      </c>
      <c r="T188">
        <f>VLOOKUP($A188,'[2]All month (2)'!$E:$Y,8,FALSE)</f>
        <v>4100000</v>
      </c>
      <c r="U188">
        <f>VLOOKUP($A188,'[2]All month (2)'!$E:$Y,14,FALSE)</f>
        <v>1845000</v>
      </c>
      <c r="V188">
        <f>VLOOKUP($A188,'[2]All month (2)'!$E:$Y,20,FALSE)</f>
        <v>1957500</v>
      </c>
      <c r="W188">
        <f t="shared" si="61"/>
        <v>7902500</v>
      </c>
      <c r="X188" s="152">
        <f t="shared" si="53"/>
        <v>-0.18509525909418631</v>
      </c>
    </row>
    <row r="189" spans="1:24" ht="15" customHeight="1" x14ac:dyDescent="0.3">
      <c r="A189" s="70" t="s">
        <v>150</v>
      </c>
      <c r="B189" s="189">
        <f>VLOOKUP($A189,'Growth Analysis'!A:G,2,FALSE)</f>
        <v>400.01518499999997</v>
      </c>
      <c r="C189" s="189">
        <f>VLOOKUP(A189,'Growth Analysis'!A:G,4,FALSE)</f>
        <v>-0.58597971724498399</v>
      </c>
      <c r="D189" s="50">
        <f t="shared" si="45"/>
        <v>-1.001464893682086</v>
      </c>
      <c r="E189" s="49">
        <f>VLOOKUP($A189,'Growth Analysis'!$A:$G,5,FALSE)</f>
        <v>10419912</v>
      </c>
      <c r="F189" s="49">
        <f>VLOOKUP($A189,'Growth Analysis'!$A:$G,6,FALSE)</f>
        <v>8828898.1620000005</v>
      </c>
      <c r="G189" s="50">
        <f t="shared" si="46"/>
        <v>-0.152689757648625</v>
      </c>
      <c r="H189" s="159">
        <f t="shared" si="47"/>
        <v>4.9467689345461686E-3</v>
      </c>
      <c r="I189" s="158">
        <f t="shared" si="48"/>
        <v>6.4769165945774169E-3</v>
      </c>
      <c r="J189" s="157">
        <v>392.17174999999997</v>
      </c>
      <c r="K189" s="162">
        <f>VLOOKUP($A189,[1]Notes!$A:$G,3,FALSE)</f>
        <v>5593599.9999999991</v>
      </c>
      <c r="L189" s="161">
        <f>VLOOKUP($A189,[1]Notes!$A:$G,5,FALSE)</f>
        <v>3356159.9999999991</v>
      </c>
      <c r="M189" s="161">
        <f>VLOOKUP($A189,[1]Notes!$A:$G,7,FALSE)</f>
        <v>3579903.9999999991</v>
      </c>
      <c r="N189" s="154">
        <f t="shared" si="49"/>
        <v>12529663.999999996</v>
      </c>
      <c r="O189" s="45">
        <f t="shared" si="56"/>
        <v>6678138.061637328</v>
      </c>
      <c r="P189" s="45">
        <f t="shared" si="50"/>
        <v>4006882.8369823964</v>
      </c>
      <c r="Q189" s="45">
        <f t="shared" si="51"/>
        <v>4274008.35944789</v>
      </c>
      <c r="R189" s="45">
        <f t="shared" si="52"/>
        <v>14959029.258067615</v>
      </c>
      <c r="S189" s="153">
        <f t="shared" si="60"/>
        <v>0.19388909854786363</v>
      </c>
      <c r="T189">
        <f>VLOOKUP($A189,'[2]All month (2)'!$E:$Y,8,FALSE)</f>
        <v>5784650</v>
      </c>
      <c r="U189">
        <f>VLOOKUP($A189,'[2]All month (2)'!$E:$Y,14,FALSE)</f>
        <v>3782214</v>
      </c>
      <c r="V189">
        <f>VLOOKUP($A189,'[2]All month (2)'!$E:$Y,20,FALSE)</f>
        <v>4365068</v>
      </c>
      <c r="W189">
        <f t="shared" si="61"/>
        <v>13931932</v>
      </c>
      <c r="X189" s="152">
        <f t="shared" si="53"/>
        <v>7.3722528796983461E-2</v>
      </c>
    </row>
    <row r="190" spans="1:24" ht="15" customHeight="1" thickBot="1" x14ac:dyDescent="0.35">
      <c r="A190" s="69" t="s">
        <v>149</v>
      </c>
      <c r="B190" s="189">
        <f>VLOOKUP($A190,'Growth Analysis'!A:G,2,FALSE)</f>
        <v>85.980900000000005</v>
      </c>
      <c r="C190" s="189">
        <f>VLOOKUP(A190,'Growth Analysis'!A:G,4,FALSE)</f>
        <v>1.3722051932464072</v>
      </c>
      <c r="D190" s="50">
        <f t="shared" si="45"/>
        <v>-0.98404058118435145</v>
      </c>
      <c r="E190" s="49">
        <f>VLOOKUP($A190,'Growth Analysis'!$A:$G,5,FALSE)</f>
        <v>2772972</v>
      </c>
      <c r="F190" s="49">
        <f>VLOOKUP($A190,'Growth Analysis'!$A:$G,6,FALSE)</f>
        <v>8811492.9000000004</v>
      </c>
      <c r="G190" s="50">
        <f t="shared" si="46"/>
        <v>2.1776350067725172</v>
      </c>
      <c r="H190" s="159">
        <f t="shared" si="47"/>
        <v>4.9370168898652351E-3</v>
      </c>
      <c r="I190" s="158">
        <f t="shared" si="48"/>
        <v>1.723652595444043E-3</v>
      </c>
      <c r="J190" s="157">
        <v>84.295000000000002</v>
      </c>
      <c r="K190" s="156">
        <f>VLOOKUP($A190,[1]Notes!$A:$G,3,FALSE)</f>
        <v>3827199.9999999995</v>
      </c>
      <c r="L190" s="155">
        <f>VLOOKUP($A190,[1]Notes!$A:$G,5,FALSE)</f>
        <v>2296319.9999999995</v>
      </c>
      <c r="M190" s="155">
        <f>VLOOKUP($A190,[1]Notes!$A:$G,7,FALSE)</f>
        <v>2449407.9999999995</v>
      </c>
      <c r="N190" s="154">
        <f t="shared" si="49"/>
        <v>8572927.9999999981</v>
      </c>
      <c r="O190" s="45">
        <f t="shared" si="56"/>
        <v>6664972.8013180671</v>
      </c>
      <c r="P190" s="45">
        <f t="shared" si="50"/>
        <v>3998983.6807908406</v>
      </c>
      <c r="Q190" s="45">
        <f t="shared" si="51"/>
        <v>4265582.5928435633</v>
      </c>
      <c r="R190" s="45">
        <f t="shared" si="52"/>
        <v>14929539.074952472</v>
      </c>
      <c r="S190" s="153">
        <f t="shared" si="60"/>
        <v>0.7414749167323551</v>
      </c>
      <c r="T190">
        <f>VLOOKUP($A190,'[2]All month (2)'!$E:$Y,8,FALSE)</f>
        <v>1139800</v>
      </c>
      <c r="U190">
        <f>VLOOKUP($A190,'[2]All month (2)'!$E:$Y,14,FALSE)</f>
        <v>2740100</v>
      </c>
      <c r="V190">
        <f>VLOOKUP($A190,'[2]All month (2)'!$E:$Y,20,FALSE)</f>
        <v>1631700</v>
      </c>
      <c r="W190">
        <f t="shared" si="61"/>
        <v>5511600</v>
      </c>
      <c r="X190" s="152">
        <f t="shared" si="53"/>
        <v>1.708748652832657</v>
      </c>
    </row>
    <row r="191" spans="1:24" ht="15" thickBot="1" x14ac:dyDescent="0.35">
      <c r="A191" s="68" t="s">
        <v>148</v>
      </c>
      <c r="B191" s="42">
        <f>SUM(B185:B190)</f>
        <v>1338.3095640000001</v>
      </c>
      <c r="C191" s="40">
        <f>SUM(C185:C190)</f>
        <v>0.97888193853664296</v>
      </c>
      <c r="D191" s="41">
        <f t="shared" si="45"/>
        <v>-0.99926856837545797</v>
      </c>
      <c r="E191" s="40">
        <f>SUM(E185:E190)</f>
        <v>46219637.399999999</v>
      </c>
      <c r="F191" s="40">
        <f>SUM(F185:F190)</f>
        <v>47637793.350000001</v>
      </c>
      <c r="G191" s="151">
        <f t="shared" si="46"/>
        <v>3.0682974375735864E-2</v>
      </c>
      <c r="H191" s="150">
        <f t="shared" si="47"/>
        <v>2.6691117275355211E-2</v>
      </c>
      <c r="I191" s="150">
        <f t="shared" si="48"/>
        <v>2.8729679912019506E-2</v>
      </c>
      <c r="J191" s="42">
        <f>SUM(J185:J190)</f>
        <v>1312.0682000000002</v>
      </c>
      <c r="K191" s="165">
        <f>SUM(K185:K190)</f>
        <v>31795199.999999996</v>
      </c>
      <c r="L191" s="165">
        <f>SUM(L185:L190)</f>
        <v>19077119.999999996</v>
      </c>
      <c r="M191" s="165">
        <f>SUM(M185:M190)</f>
        <v>20348927.999999996</v>
      </c>
      <c r="N191" s="36">
        <f t="shared" si="49"/>
        <v>71221247.999999985</v>
      </c>
      <c r="O191" s="36">
        <f t="shared" si="56"/>
        <v>36033008.321729533</v>
      </c>
      <c r="P191" s="36">
        <f t="shared" si="50"/>
        <v>21619804.993037719</v>
      </c>
      <c r="Q191" s="36">
        <f t="shared" si="51"/>
        <v>23061125.325906903</v>
      </c>
      <c r="R191" s="148">
        <f t="shared" si="52"/>
        <v>80713938.640674159</v>
      </c>
      <c r="S191" s="41"/>
      <c r="T191" s="42">
        <f>SUM(T185:T190)</f>
        <v>19777880</v>
      </c>
      <c r="U191" s="42">
        <f>SUM(U185:U190)</f>
        <v>16927464</v>
      </c>
      <c r="V191" s="42">
        <f>SUM(V185:V190)</f>
        <v>13567208</v>
      </c>
      <c r="W191" s="147">
        <f>SUM(W185:W190)</f>
        <v>50272552</v>
      </c>
      <c r="X191" s="146">
        <f t="shared" si="53"/>
        <v>0.60552698101887004</v>
      </c>
    </row>
    <row r="192" spans="1:24" ht="15" customHeight="1" x14ac:dyDescent="0.3">
      <c r="A192" s="73" t="s">
        <v>147</v>
      </c>
      <c r="B192" s="189">
        <f>VLOOKUP($A192,'Growth Analysis'!A:G,2,FALSE)</f>
        <v>0</v>
      </c>
      <c r="C192" s="189">
        <f>VLOOKUP(A192,'Growth Analysis'!A:G,4,FALSE)</f>
        <v>1</v>
      </c>
      <c r="D192" s="50">
        <f t="shared" si="45"/>
        <v>1</v>
      </c>
      <c r="E192" s="49">
        <f>VLOOKUP($A192,'Growth Analysis'!$A:$G,5,FALSE)</f>
        <v>0</v>
      </c>
      <c r="F192" s="49">
        <f>VLOOKUP($A192,'Growth Analysis'!$A:$G,6,FALSE)</f>
        <v>0</v>
      </c>
      <c r="G192" s="50">
        <f t="shared" si="46"/>
        <v>1</v>
      </c>
      <c r="H192" s="159">
        <f t="shared" si="47"/>
        <v>0</v>
      </c>
      <c r="I192" s="158">
        <f t="shared" si="48"/>
        <v>0</v>
      </c>
      <c r="J192" s="157">
        <v>0</v>
      </c>
      <c r="K192" s="164">
        <f>VLOOKUP($A192,[1]Notes!$A:$G,3,FALSE)</f>
        <v>4506122.448979592</v>
      </c>
      <c r="L192" s="163">
        <f>VLOOKUP($A192,[1]Notes!$A:$G,5,FALSE)</f>
        <v>2703673.4693877553</v>
      </c>
      <c r="M192" s="163">
        <f>VLOOKUP($A192,[1]Notes!$A:$G,7,FALSE)</f>
        <v>2883918.3673469387</v>
      </c>
      <c r="N192" s="154">
        <f t="shared" si="49"/>
        <v>10093714.285714285</v>
      </c>
      <c r="O192" s="45">
        <f t="shared" si="56"/>
        <v>0</v>
      </c>
      <c r="P192" s="45">
        <f t="shared" si="50"/>
        <v>0</v>
      </c>
      <c r="Q192" s="45">
        <f t="shared" si="51"/>
        <v>0</v>
      </c>
      <c r="R192" s="45">
        <f t="shared" si="52"/>
        <v>0</v>
      </c>
      <c r="S192" s="153">
        <f>R192/N192-1</f>
        <v>-1</v>
      </c>
      <c r="T192">
        <f>VLOOKUP($A192,'[2]All month (2)'!$E:$Y,8,FALSE)</f>
        <v>0</v>
      </c>
      <c r="U192">
        <f>VLOOKUP($A192,'[2]All month (2)'!$E:$Y,14,FALSE)</f>
        <v>4414000</v>
      </c>
      <c r="V192">
        <f>VLOOKUP($A192,'[2]All month (2)'!$E:$Y,20,FALSE)</f>
        <v>4777300</v>
      </c>
      <c r="W192">
        <f>SUM(T192:V192)</f>
        <v>9191300</v>
      </c>
      <c r="X192" s="152">
        <f t="shared" si="53"/>
        <v>-1</v>
      </c>
    </row>
    <row r="193" spans="1:24" ht="15" customHeight="1" x14ac:dyDescent="0.3">
      <c r="A193" s="70" t="s">
        <v>146</v>
      </c>
      <c r="B193" s="189">
        <f>VLOOKUP($A193,'Growth Analysis'!A:G,2,FALSE)</f>
        <v>0</v>
      </c>
      <c r="C193" s="189">
        <f>VLOOKUP(A193,'Growth Analysis'!A:G,4,FALSE)</f>
        <v>1</v>
      </c>
      <c r="D193" s="50">
        <f t="shared" si="45"/>
        <v>1</v>
      </c>
      <c r="E193" s="49">
        <f>VLOOKUP($A193,'Growth Analysis'!$A:$G,5,FALSE)</f>
        <v>1648719.84</v>
      </c>
      <c r="F193" s="49">
        <f>VLOOKUP($A193,'Growth Analysis'!$A:$G,6,FALSE)</f>
        <v>6256335.75</v>
      </c>
      <c r="G193" s="50">
        <f t="shared" si="46"/>
        <v>2.794662742701028</v>
      </c>
      <c r="H193" s="159">
        <f t="shared" si="47"/>
        <v>3.5053804862530936E-3</v>
      </c>
      <c r="I193" s="158">
        <f t="shared" si="48"/>
        <v>1.0248283182722679E-3</v>
      </c>
      <c r="J193" s="157">
        <v>0</v>
      </c>
      <c r="K193" s="162">
        <f>VLOOKUP($A193,[1]Notes!$A:$G,3,FALSE)</f>
        <v>4506122.448979592</v>
      </c>
      <c r="L193" s="161">
        <f>VLOOKUP($A193,[1]Notes!$A:$G,5,FALSE)</f>
        <v>2703673.4693877553</v>
      </c>
      <c r="M193" s="161">
        <f>VLOOKUP($A193,[1]Notes!$A:$G,7,FALSE)</f>
        <v>2883918.3673469387</v>
      </c>
      <c r="N193" s="154">
        <f t="shared" si="49"/>
        <v>10093714.285714285</v>
      </c>
      <c r="O193" s="45">
        <f t="shared" si="56"/>
        <v>4732263.6564416764</v>
      </c>
      <c r="P193" s="45">
        <f t="shared" si="50"/>
        <v>2839358.1938650059</v>
      </c>
      <c r="Q193" s="45">
        <f t="shared" si="51"/>
        <v>3028648.7401226726</v>
      </c>
      <c r="R193" s="45">
        <f t="shared" si="52"/>
        <v>10600270.590429354</v>
      </c>
      <c r="S193" s="153">
        <f>R193/N193-1</f>
        <v>5.0185322308161862E-2</v>
      </c>
      <c r="T193">
        <f>VLOOKUP($A193,'[2]All month (2)'!$E:$Y,8,FALSE)</f>
        <v>0</v>
      </c>
      <c r="U193">
        <f>VLOOKUP($A193,'[2]All month (2)'!$E:$Y,14,FALSE)</f>
        <v>1632000</v>
      </c>
      <c r="V193">
        <f>VLOOKUP($A193,'[2]All month (2)'!$E:$Y,20,FALSE)</f>
        <v>2884200</v>
      </c>
      <c r="W193">
        <f>SUM(T193:V193)</f>
        <v>4516200</v>
      </c>
      <c r="X193" s="152">
        <f t="shared" si="53"/>
        <v>1.3471658895596639</v>
      </c>
    </row>
    <row r="194" spans="1:24" ht="15" customHeight="1" x14ac:dyDescent="0.3">
      <c r="A194" s="70" t="s">
        <v>145</v>
      </c>
      <c r="B194" s="189">
        <f>VLOOKUP($A194,'Growth Analysis'!A:G,2,FALSE)</f>
        <v>0</v>
      </c>
      <c r="C194" s="189">
        <f>VLOOKUP(A194,'Growth Analysis'!A:G,4,FALSE)</f>
        <v>1</v>
      </c>
      <c r="D194" s="50">
        <f t="shared" si="45"/>
        <v>1</v>
      </c>
      <c r="E194" s="49">
        <f>VLOOKUP($A194,'Growth Analysis'!$A:$G,5,FALSE)</f>
        <v>0</v>
      </c>
      <c r="F194" s="49">
        <f>VLOOKUP($A194,'Growth Analysis'!$A:$G,6,FALSE)</f>
        <v>8556315.6000000015</v>
      </c>
      <c r="G194" s="50">
        <f t="shared" si="46"/>
        <v>1</v>
      </c>
      <c r="H194" s="159">
        <f t="shared" si="47"/>
        <v>4.794042861024991E-3</v>
      </c>
      <c r="I194" s="158">
        <f t="shared" si="48"/>
        <v>0</v>
      </c>
      <c r="J194" s="157">
        <v>0</v>
      </c>
      <c r="K194" s="162">
        <f>VLOOKUP($A194,[1]Notes!$A:$G,3,FALSE)</f>
        <v>6195918.3673469396</v>
      </c>
      <c r="L194" s="161">
        <f>VLOOKUP($A194,[1]Notes!$A:$G,5,FALSE)</f>
        <v>3717551.0204081642</v>
      </c>
      <c r="M194" s="161">
        <f>VLOOKUP($A194,[1]Notes!$A:$G,7,FALSE)</f>
        <v>3965387.7551020416</v>
      </c>
      <c r="N194" s="154">
        <f t="shared" si="49"/>
        <v>13878857.142857146</v>
      </c>
      <c r="O194" s="45">
        <f t="shared" si="56"/>
        <v>6471957.8623837382</v>
      </c>
      <c r="P194" s="45">
        <f t="shared" si="50"/>
        <v>3883174.7174302428</v>
      </c>
      <c r="Q194" s="45">
        <f t="shared" si="51"/>
        <v>4142053.0319255921</v>
      </c>
      <c r="R194" s="45">
        <f t="shared" si="52"/>
        <v>14497185.611739574</v>
      </c>
      <c r="S194" s="153">
        <f>R194/N194-1</f>
        <v>4.4551828909101143E-2</v>
      </c>
      <c r="T194">
        <f>VLOOKUP($A194,'[2]All month (2)'!$E:$Y,8,FALSE)</f>
        <v>0</v>
      </c>
      <c r="U194">
        <f>VLOOKUP($A194,'[2]All month (2)'!$E:$Y,14,FALSE)</f>
        <v>17371050</v>
      </c>
      <c r="V194">
        <f>VLOOKUP($A194,'[2]All month (2)'!$E:$Y,20,FALSE)</f>
        <v>582750</v>
      </c>
      <c r="W194">
        <f>SUM(T194:V194)</f>
        <v>17953800</v>
      </c>
      <c r="X194" s="152">
        <f t="shared" si="53"/>
        <v>-0.19252828862193105</v>
      </c>
    </row>
    <row r="195" spans="1:24" ht="15" customHeight="1" x14ac:dyDescent="0.3">
      <c r="A195" s="70" t="s">
        <v>144</v>
      </c>
      <c r="B195" s="189">
        <f>VLOOKUP($A195,'Growth Analysis'!A:G,2,FALSE)</f>
        <v>456.66965700000003</v>
      </c>
      <c r="C195" s="189">
        <f>VLOOKUP(A195,'Growth Analysis'!A:G,4,FALSE)</f>
        <v>-0.51155045571595748</v>
      </c>
      <c r="D195" s="50">
        <f t="shared" si="45"/>
        <v>-1.0011201761445603</v>
      </c>
      <c r="E195" s="49">
        <f>VLOOKUP($A195,'Growth Analysis'!$A:$G,5,FALSE)</f>
        <v>17932620</v>
      </c>
      <c r="F195" s="49">
        <f>VLOOKUP($A195,'Growth Analysis'!$A:$G,6,FALSE)</f>
        <v>9111999.1772727259</v>
      </c>
      <c r="G195" s="50">
        <f t="shared" si="46"/>
        <v>-0.49187574502372067</v>
      </c>
      <c r="H195" s="159">
        <f t="shared" si="47"/>
        <v>5.1053884227306784E-3</v>
      </c>
      <c r="I195" s="158">
        <f t="shared" si="48"/>
        <v>1.1146743279813772E-2</v>
      </c>
      <c r="J195" s="157">
        <v>447.71535</v>
      </c>
      <c r="K195" s="162">
        <f>VLOOKUP($A195,[1]Notes!$A:$G,3,FALSE)</f>
        <v>7040816.326530613</v>
      </c>
      <c r="L195" s="161">
        <f>VLOOKUP($A195,[1]Notes!$A:$G,5,FALSE)</f>
        <v>4224489.7959183678</v>
      </c>
      <c r="M195" s="161">
        <f>VLOOKUP($A195,[1]Notes!$A:$G,7,FALSE)</f>
        <v>4506122.448979592</v>
      </c>
      <c r="N195" s="154">
        <f t="shared" si="49"/>
        <v>15771428.571428573</v>
      </c>
      <c r="O195" s="45">
        <f t="shared" si="56"/>
        <v>6892274.3706864156</v>
      </c>
      <c r="P195" s="45">
        <f t="shared" si="50"/>
        <v>4135364.6224118494</v>
      </c>
      <c r="Q195" s="45">
        <f t="shared" si="51"/>
        <v>4411055.5972393062</v>
      </c>
      <c r="R195" s="45">
        <f t="shared" si="52"/>
        <v>15438694.590337571</v>
      </c>
      <c r="S195" s="153">
        <f>R195/N195-1</f>
        <v>-2.1097263293813562E-2</v>
      </c>
      <c r="T195">
        <f>VLOOKUP($A195,'[2]All month (2)'!$E:$Y,8,FALSE)</f>
        <v>5000000</v>
      </c>
      <c r="U195">
        <f>VLOOKUP($A195,'[2]All month (2)'!$E:$Y,14,FALSE)</f>
        <v>3944000</v>
      </c>
      <c r="V195">
        <f>VLOOKUP($A195,'[2]All month (2)'!$E:$Y,20,FALSE)</f>
        <v>992250</v>
      </c>
      <c r="W195">
        <f>SUM(T195:V195)</f>
        <v>9936250</v>
      </c>
      <c r="X195" s="152">
        <f t="shared" si="53"/>
        <v>0.55377477321298985</v>
      </c>
    </row>
    <row r="196" spans="1:24" ht="15" customHeight="1" thickBot="1" x14ac:dyDescent="0.35">
      <c r="A196" s="69" t="s">
        <v>143</v>
      </c>
      <c r="B196" s="189">
        <f>VLOOKUP($A196,'Growth Analysis'!A:G,2,FALSE)</f>
        <v>0</v>
      </c>
      <c r="C196" s="189">
        <f>VLOOKUP(A196,'Growth Analysis'!A:G,4,FALSE)</f>
        <v>1</v>
      </c>
      <c r="D196" s="50">
        <f t="shared" si="45"/>
        <v>1</v>
      </c>
      <c r="E196" s="49">
        <f>VLOOKUP($A196,'Growth Analysis'!$A:$G,5,FALSE)</f>
        <v>0</v>
      </c>
      <c r="F196" s="49">
        <f>VLOOKUP($A196,'Growth Analysis'!$A:$G,6,FALSE)</f>
        <v>8000632.0227272715</v>
      </c>
      <c r="G196" s="50">
        <f t="shared" si="46"/>
        <v>1</v>
      </c>
      <c r="H196" s="159">
        <f t="shared" si="47"/>
        <v>4.482697299319301E-3</v>
      </c>
      <c r="I196" s="158">
        <f t="shared" si="48"/>
        <v>0</v>
      </c>
      <c r="J196" s="157">
        <v>0</v>
      </c>
      <c r="K196" s="156">
        <f>VLOOKUP($A196,[1]Notes!$A:$G,3,FALSE)</f>
        <v>5351020.4081632653</v>
      </c>
      <c r="L196" s="155">
        <f>VLOOKUP($A196,[1]Notes!$A:$G,5,FALSE)</f>
        <v>3210612.2448979593</v>
      </c>
      <c r="M196" s="155">
        <f>VLOOKUP($A196,[1]Notes!$A:$G,7,FALSE)</f>
        <v>3424653.0612244899</v>
      </c>
      <c r="N196" s="154">
        <f t="shared" si="49"/>
        <v>11986285.714285715</v>
      </c>
      <c r="O196" s="45">
        <f t="shared" si="56"/>
        <v>6051641.3540810561</v>
      </c>
      <c r="P196" s="45">
        <f t="shared" si="50"/>
        <v>3630984.8124486338</v>
      </c>
      <c r="Q196" s="45">
        <f t="shared" si="51"/>
        <v>3873050.4666118762</v>
      </c>
      <c r="R196" s="45">
        <f t="shared" si="52"/>
        <v>13555676.633141566</v>
      </c>
      <c r="S196" s="153">
        <f>R196/N196-1</f>
        <v>0.13093221338661998</v>
      </c>
      <c r="T196">
        <f>VLOOKUP($A196,'[2]All month (2)'!$E:$Y,8,FALSE)</f>
        <v>0</v>
      </c>
      <c r="U196">
        <f>VLOOKUP($A196,'[2]All month (2)'!$E:$Y,14,FALSE)</f>
        <v>2720000</v>
      </c>
      <c r="V196">
        <f>VLOOKUP($A196,'[2]All month (2)'!$E:$Y,20,FALSE)</f>
        <v>5342225</v>
      </c>
      <c r="W196">
        <f>SUM(T196:V196)</f>
        <v>8062225</v>
      </c>
      <c r="X196" s="152">
        <f t="shared" si="53"/>
        <v>0.68138158301728935</v>
      </c>
    </row>
    <row r="197" spans="1:24" ht="15" thickBot="1" x14ac:dyDescent="0.35">
      <c r="A197" s="68" t="s">
        <v>142</v>
      </c>
      <c r="B197" s="42">
        <f>SUM(B192:B196)</f>
        <v>456.66965700000003</v>
      </c>
      <c r="C197" s="40">
        <f>SUM(C192:C196)</f>
        <v>3.4884495442840424</v>
      </c>
      <c r="D197" s="41">
        <f t="shared" ref="D197:D260" si="62">IFERROR((C197-B197)/B197,100%)</f>
        <v>-0.99236110941287248</v>
      </c>
      <c r="E197" s="40">
        <f>SUM(E192:E196)</f>
        <v>19581339.84</v>
      </c>
      <c r="F197" s="40">
        <f>SUM(F192:F196)</f>
        <v>31925282.549999997</v>
      </c>
      <c r="G197" s="151">
        <f t="shared" ref="G197:G260" si="63">IFERROR((F197-E197)/E197,100%)</f>
        <v>0.63039316057342876</v>
      </c>
      <c r="H197" s="150">
        <f t="shared" ref="H197:H260" si="64">F197/$F$3</f>
        <v>1.7887509069328063E-2</v>
      </c>
      <c r="I197" s="150">
        <f t="shared" ref="I197:I260" si="65">E197/$E$3</f>
        <v>1.217157159808604E-2</v>
      </c>
      <c r="J197" s="42">
        <f>SUM(J192:J196)</f>
        <v>447.71535</v>
      </c>
      <c r="K197" s="165">
        <f>SUM(K192:K196)</f>
        <v>27600000</v>
      </c>
      <c r="L197" s="165">
        <f>SUM(L192:L196)</f>
        <v>16560000.000000002</v>
      </c>
      <c r="M197" s="165">
        <f>SUM(M192:M196)</f>
        <v>17664000</v>
      </c>
      <c r="N197" s="36">
        <f t="shared" ref="N197:N260" si="66">SUM(K197:M197)</f>
        <v>61824000</v>
      </c>
      <c r="O197" s="36">
        <f t="shared" si="56"/>
        <v>24148137.243592884</v>
      </c>
      <c r="P197" s="36">
        <f t="shared" ref="P197:P260" si="67">$P$3*H197</f>
        <v>14488882.346155731</v>
      </c>
      <c r="Q197" s="36">
        <f t="shared" ref="Q197:Q260" si="68">$Q$3*H197</f>
        <v>15454807.835899446</v>
      </c>
      <c r="R197" s="148">
        <f t="shared" ref="R197:R260" si="69">SUM(O197:Q197)</f>
        <v>54091827.425648063</v>
      </c>
      <c r="S197" s="41"/>
      <c r="T197" s="42">
        <f>SUM(T192:T196)</f>
        <v>5000000</v>
      </c>
      <c r="U197" s="42">
        <f>SUM(U192:U196)</f>
        <v>30081050</v>
      </c>
      <c r="V197" s="42">
        <f>SUM(V192:V196)</f>
        <v>14578725</v>
      </c>
      <c r="W197" s="147">
        <f>SUM(W192:W196)</f>
        <v>49659775</v>
      </c>
      <c r="X197" s="146">
        <f t="shared" ref="X197:X260" si="70">IFERROR((R197-W197)/W197,100%)</f>
        <v>8.9248338834561042E-2</v>
      </c>
    </row>
    <row r="198" spans="1:24" ht="15" customHeight="1" x14ac:dyDescent="0.3">
      <c r="A198" s="72" t="s">
        <v>141</v>
      </c>
      <c r="B198" s="189">
        <f>VLOOKUP($A198,'Growth Analysis'!A:G,2,FALSE)</f>
        <v>74.069850000000002</v>
      </c>
      <c r="C198" s="189">
        <f>VLOOKUP(A198,'Growth Analysis'!A:G,4,FALSE)</f>
        <v>2.0955145717184522</v>
      </c>
      <c r="D198" s="50">
        <f t="shared" si="62"/>
        <v>-0.97170893998410346</v>
      </c>
      <c r="E198" s="49">
        <f>VLOOKUP($A198,'Growth Analysis'!$A:$G,5,FALSE)</f>
        <v>2621400</v>
      </c>
      <c r="F198" s="49">
        <f>VLOOKUP($A198,'Growth Analysis'!$A:$G,6,FALSE)</f>
        <v>10943938.950000001</v>
      </c>
      <c r="G198" s="50">
        <f t="shared" si="63"/>
        <v>3.1748451018539714</v>
      </c>
      <c r="H198" s="159">
        <f t="shared" si="64"/>
        <v>6.1318112663750783E-3</v>
      </c>
      <c r="I198" s="158">
        <f t="shared" si="65"/>
        <v>1.6294369051317555E-3</v>
      </c>
      <c r="J198" s="157">
        <v>72.617500000000007</v>
      </c>
      <c r="K198" s="164">
        <f>VLOOKUP($A198,[1]Notes!$A:$G,3,FALSE)</f>
        <v>5299200</v>
      </c>
      <c r="L198" s="163">
        <f>VLOOKUP($A198,[1]Notes!$A:$G,5,FALSE)</f>
        <v>3179520</v>
      </c>
      <c r="M198" s="163">
        <f>VLOOKUP($A198,[1]Notes!$A:$G,7,FALSE)</f>
        <v>3391488</v>
      </c>
      <c r="N198" s="154">
        <f t="shared" si="66"/>
        <v>11870208</v>
      </c>
      <c r="O198" s="45">
        <f t="shared" si="56"/>
        <v>8277945.209606356</v>
      </c>
      <c r="P198" s="45">
        <f t="shared" si="67"/>
        <v>4966767.125763813</v>
      </c>
      <c r="Q198" s="45">
        <f t="shared" si="68"/>
        <v>5297884.9341480676</v>
      </c>
      <c r="R198" s="45">
        <f t="shared" si="69"/>
        <v>18542597.269518234</v>
      </c>
      <c r="S198" s="153">
        <f t="shared" ref="S198:S203" si="71">R198/N198-1</f>
        <v>0.56211224517028135</v>
      </c>
      <c r="T198">
        <f>VLOOKUP($A198,'[2]All month (2)'!$E:$Y,8,FALSE)</f>
        <v>1900000</v>
      </c>
      <c r="U198">
        <f>VLOOKUP($A198,'[2]All month (2)'!$E:$Y,14,FALSE)</f>
        <v>4225000</v>
      </c>
      <c r="V198">
        <f>VLOOKUP($A198,'[2]All month (2)'!$E:$Y,20,FALSE)</f>
        <v>3000000</v>
      </c>
      <c r="W198">
        <f>SUM(T198:V198)</f>
        <v>9125000</v>
      </c>
      <c r="X198" s="152">
        <f t="shared" si="70"/>
        <v>1.032065454193779</v>
      </c>
    </row>
    <row r="199" spans="1:24" ht="15" customHeight="1" x14ac:dyDescent="0.3">
      <c r="A199" s="70" t="s">
        <v>140</v>
      </c>
      <c r="B199" s="189">
        <f>VLOOKUP($A199,'Growth Analysis'!A:G,2,FALSE)</f>
        <v>346.43840999999998</v>
      </c>
      <c r="C199" s="189">
        <f>VLOOKUP(A199,'Growth Analysis'!A:G,4,FALSE)</f>
        <v>-0.63147237340109019</v>
      </c>
      <c r="D199" s="50">
        <f t="shared" si="62"/>
        <v>-1.0018227550848102</v>
      </c>
      <c r="E199" s="49">
        <f>VLOOKUP($A199,'Growth Analysis'!$A:$G,5,FALSE)</f>
        <v>8586543.5999999996</v>
      </c>
      <c r="F199" s="49">
        <f>VLOOKUP($A199,'Growth Analysis'!$A:$G,6,FALSE)</f>
        <v>6187988.1000000006</v>
      </c>
      <c r="G199" s="50">
        <f t="shared" si="63"/>
        <v>-0.27933888322654055</v>
      </c>
      <c r="H199" s="159">
        <f t="shared" si="64"/>
        <v>3.4670857833846848E-3</v>
      </c>
      <c r="I199" s="158">
        <f t="shared" si="65"/>
        <v>5.3373125159696657E-3</v>
      </c>
      <c r="J199" s="157">
        <v>339.64549999999997</v>
      </c>
      <c r="K199" s="162">
        <f>VLOOKUP($A199,[1]Notes!$A:$G,3,FALSE)</f>
        <v>3974400</v>
      </c>
      <c r="L199" s="161">
        <f>VLOOKUP($A199,[1]Notes!$A:$G,5,FALSE)</f>
        <v>2384640</v>
      </c>
      <c r="M199" s="161">
        <f>VLOOKUP($A199,[1]Notes!$A:$G,7,FALSE)</f>
        <v>2543616</v>
      </c>
      <c r="N199" s="154">
        <f t="shared" si="66"/>
        <v>8902656</v>
      </c>
      <c r="O199" s="45">
        <f t="shared" si="56"/>
        <v>4680565.807569324</v>
      </c>
      <c r="P199" s="45">
        <f t="shared" si="67"/>
        <v>2808339.4845415945</v>
      </c>
      <c r="Q199" s="45">
        <f t="shared" si="68"/>
        <v>2995562.1168443677</v>
      </c>
      <c r="R199" s="45">
        <f t="shared" si="69"/>
        <v>10484467.408955285</v>
      </c>
      <c r="S199" s="153">
        <f t="shared" si="71"/>
        <v>0.17767859489968907</v>
      </c>
      <c r="T199">
        <f>VLOOKUP($A199,'[2]All month (2)'!$E:$Y,8,FALSE)</f>
        <v>4685000</v>
      </c>
      <c r="U199">
        <f>VLOOKUP($A199,'[2]All month (2)'!$E:$Y,14,FALSE)</f>
        <v>3418726</v>
      </c>
      <c r="V199">
        <f>VLOOKUP($A199,'[2]All month (2)'!$E:$Y,20,FALSE)</f>
        <v>3881700</v>
      </c>
      <c r="W199">
        <f>SUM(T199:V199)</f>
        <v>11985426</v>
      </c>
      <c r="X199" s="152">
        <f t="shared" si="70"/>
        <v>-0.12523197682291098</v>
      </c>
    </row>
    <row r="200" spans="1:24" ht="15" customHeight="1" x14ac:dyDescent="0.3">
      <c r="A200" s="173" t="s">
        <v>139</v>
      </c>
      <c r="B200" s="189">
        <f>VLOOKUP($A200,'Growth Analysis'!A:G,2,FALSE)</f>
        <v>0</v>
      </c>
      <c r="C200" s="189">
        <f>VLOOKUP(A200,'Growth Analysis'!A:G,4,FALSE)</f>
        <v>1</v>
      </c>
      <c r="D200" s="50">
        <f t="shared" si="62"/>
        <v>1</v>
      </c>
      <c r="E200" s="49">
        <f>VLOOKUP($A200,'Growth Analysis'!$A:$G,5,FALSE)</f>
        <v>0</v>
      </c>
      <c r="F200" s="49">
        <f>VLOOKUP($A200,'Growth Analysis'!$A:$G,6,FALSE)</f>
        <v>8457942.1500000004</v>
      </c>
      <c r="G200" s="50">
        <f t="shared" si="63"/>
        <v>1</v>
      </c>
      <c r="H200" s="159">
        <f t="shared" si="64"/>
        <v>4.7389249156692933E-3</v>
      </c>
      <c r="I200" s="158">
        <f t="shared" si="65"/>
        <v>0</v>
      </c>
      <c r="J200" s="157">
        <v>0</v>
      </c>
      <c r="K200" s="162">
        <f>VLOOKUP($A200,[1]Notes!$A:$G,3,FALSE)</f>
        <v>1324800</v>
      </c>
      <c r="L200" s="161">
        <f>VLOOKUP($A200,[1]Notes!$A:$G,5,FALSE)</f>
        <v>794880</v>
      </c>
      <c r="M200" s="161">
        <f>VLOOKUP($A200,[1]Notes!$A:$G,7,FALSE)</f>
        <v>847872</v>
      </c>
      <c r="N200" s="154">
        <f t="shared" si="66"/>
        <v>2967552</v>
      </c>
      <c r="O200" s="45">
        <f t="shared" si="56"/>
        <v>6397548.6361535462</v>
      </c>
      <c r="P200" s="45">
        <f t="shared" si="67"/>
        <v>3838529.1816921276</v>
      </c>
      <c r="Q200" s="45">
        <f t="shared" si="68"/>
        <v>4094431.1271382696</v>
      </c>
      <c r="R200" s="45">
        <f t="shared" si="69"/>
        <v>14330508.944983944</v>
      </c>
      <c r="S200" s="153">
        <f t="shared" si="71"/>
        <v>3.8290675091738731</v>
      </c>
      <c r="X200" s="152">
        <f t="shared" si="70"/>
        <v>1</v>
      </c>
    </row>
    <row r="201" spans="1:24" ht="15" customHeight="1" x14ac:dyDescent="0.3">
      <c r="A201" s="71" t="s">
        <v>138</v>
      </c>
      <c r="B201" s="189">
        <f>VLOOKUP($A201,'Growth Analysis'!A:G,2,FALSE)</f>
        <v>99.189389999999989</v>
      </c>
      <c r="C201" s="189">
        <f>VLOOKUP(A201,'Growth Analysis'!A:G,4,FALSE)</f>
        <v>-0.22729411885686548</v>
      </c>
      <c r="D201" s="50">
        <f t="shared" si="62"/>
        <v>-1.0022915164500645</v>
      </c>
      <c r="E201" s="49">
        <f>VLOOKUP($A201,'Growth Analysis'!$A:$G,5,FALSE)</f>
        <v>3650416.8000000003</v>
      </c>
      <c r="F201" s="49">
        <f>VLOOKUP($A201,'Growth Analysis'!$A:$G,6,FALSE)</f>
        <v>3645495</v>
      </c>
      <c r="G201" s="50">
        <f t="shared" si="63"/>
        <v>-1.3482843931685497E-3</v>
      </c>
      <c r="H201" s="159">
        <f t="shared" si="64"/>
        <v>2.0425449570434613E-3</v>
      </c>
      <c r="I201" s="158">
        <f t="shared" si="65"/>
        <v>2.2690638029423081E-3</v>
      </c>
      <c r="J201" s="157">
        <v>97.244499999999988</v>
      </c>
      <c r="K201" s="162">
        <f>VLOOKUP($A201,[1]Notes!$A:$G,3,FALSE)</f>
        <v>1324800</v>
      </c>
      <c r="L201" s="161">
        <f>VLOOKUP($A201,[1]Notes!$A:$G,5,FALSE)</f>
        <v>794880</v>
      </c>
      <c r="M201" s="161">
        <f>VLOOKUP($A201,[1]Notes!$A:$G,7,FALSE)</f>
        <v>847872</v>
      </c>
      <c r="N201" s="154">
        <f t="shared" si="66"/>
        <v>2967552</v>
      </c>
      <c r="O201" s="45">
        <f t="shared" si="56"/>
        <v>2757435.6920086727</v>
      </c>
      <c r="P201" s="45">
        <f t="shared" si="67"/>
        <v>1654461.4152052037</v>
      </c>
      <c r="Q201" s="45">
        <f t="shared" si="68"/>
        <v>1764758.8428855506</v>
      </c>
      <c r="R201" s="45">
        <f t="shared" si="69"/>
        <v>6176655.9500994273</v>
      </c>
      <c r="S201" s="153">
        <f t="shared" si="71"/>
        <v>1.0813977143785274</v>
      </c>
      <c r="T201">
        <f>VLOOKUP($A201,'[2]All month (2)'!$E:$Y,8,FALSE)</f>
        <v>2032100</v>
      </c>
      <c r="U201">
        <f>VLOOKUP($A201,'[2]All month (2)'!$E:$Y,14,FALSE)</f>
        <v>2614000</v>
      </c>
      <c r="V201">
        <f>VLOOKUP($A201,'[2]All month (2)'!$E:$Y,20,FALSE)</f>
        <v>910000</v>
      </c>
      <c r="W201">
        <f>SUM(T201:V201)</f>
        <v>5556100</v>
      </c>
      <c r="X201" s="152">
        <f t="shared" si="70"/>
        <v>0.11168912548359951</v>
      </c>
    </row>
    <row r="202" spans="1:24" ht="15" customHeight="1" x14ac:dyDescent="0.3">
      <c r="A202" s="71" t="s">
        <v>137</v>
      </c>
      <c r="B202" s="189">
        <f>VLOOKUP($A202,'Growth Analysis'!A:G,2,FALSE)</f>
        <v>957.83660999999995</v>
      </c>
      <c r="C202" s="189">
        <f>VLOOKUP(A202,'Growth Analysis'!A:G,4,FALSE)</f>
        <v>-0.82753301995838302</v>
      </c>
      <c r="D202" s="50">
        <f t="shared" si="62"/>
        <v>-1.0008639605244973</v>
      </c>
      <c r="E202" s="49">
        <f>VLOOKUP($A202,'Growth Analysis'!$A:$G,5,FALSE)</f>
        <v>38252109.359999999</v>
      </c>
      <c r="F202" s="49">
        <f>VLOOKUP($A202,'Growth Analysis'!$A:$G,6,FALSE)</f>
        <v>0</v>
      </c>
      <c r="G202" s="50">
        <f t="shared" si="63"/>
        <v>-1</v>
      </c>
      <c r="H202" s="159">
        <f t="shared" si="64"/>
        <v>0</v>
      </c>
      <c r="I202" s="158">
        <f t="shared" si="65"/>
        <v>2.3777141485587797E-2</v>
      </c>
      <c r="J202" s="157">
        <v>939.05549999999994</v>
      </c>
      <c r="K202" s="162">
        <f>VLOOKUP($A202,[1]Notes!$A:$G,3,FALSE)</f>
        <v>12364799.999999998</v>
      </c>
      <c r="L202" s="161">
        <f>VLOOKUP($A202,[1]Notes!$A:$G,5,FALSE)</f>
        <v>7418880</v>
      </c>
      <c r="M202" s="161">
        <f>VLOOKUP($A202,[1]Notes!$A:$G,7,FALSE)</f>
        <v>7913472</v>
      </c>
      <c r="N202" s="154">
        <f t="shared" si="66"/>
        <v>27697152</v>
      </c>
      <c r="O202" s="45">
        <f t="shared" si="56"/>
        <v>0</v>
      </c>
      <c r="P202" s="45">
        <f t="shared" si="67"/>
        <v>0</v>
      </c>
      <c r="Q202" s="45">
        <f t="shared" si="68"/>
        <v>0</v>
      </c>
      <c r="R202" s="45">
        <f t="shared" si="69"/>
        <v>0</v>
      </c>
      <c r="S202" s="153">
        <f t="shared" si="71"/>
        <v>-1</v>
      </c>
      <c r="T202">
        <f>VLOOKUP($A202,'[2]All month (2)'!$E:$Y,8,FALSE)</f>
        <v>18295000</v>
      </c>
      <c r="U202">
        <f>VLOOKUP($A202,'[2]All month (2)'!$E:$Y,14,FALSE)</f>
        <v>2720000</v>
      </c>
      <c r="V202">
        <f>VLOOKUP($A202,'[2]All month (2)'!$E:$Y,20,FALSE)</f>
        <v>5560275</v>
      </c>
      <c r="W202">
        <f>SUM(T202:V202)</f>
        <v>26575275</v>
      </c>
      <c r="X202" s="152">
        <f t="shared" si="70"/>
        <v>-1</v>
      </c>
    </row>
    <row r="203" spans="1:24" ht="15" customHeight="1" x14ac:dyDescent="0.3">
      <c r="A203" s="70" t="s">
        <v>136</v>
      </c>
      <c r="B203" s="189">
        <f>VLOOKUP($A203,'Growth Analysis'!A:G,2,FALSE)</f>
        <v>173.97349499999999</v>
      </c>
      <c r="C203" s="189">
        <f>VLOOKUP(A203,'Growth Analysis'!A:G,4,FALSE)</f>
        <v>-0.12448948042344023</v>
      </c>
      <c r="D203" s="50">
        <f t="shared" si="62"/>
        <v>-1.0007155657844515</v>
      </c>
      <c r="E203" s="49">
        <f>VLOOKUP($A203,'Growth Analysis'!$A:$G,5,FALSE)</f>
        <v>4896000</v>
      </c>
      <c r="F203" s="49">
        <f>VLOOKUP($A203,'Growth Analysis'!$A:$G,6,FALSE)</f>
        <v>6982178.3850000007</v>
      </c>
      <c r="G203" s="50">
        <f t="shared" si="63"/>
        <v>0.42609852634803935</v>
      </c>
      <c r="H203" s="159">
        <f t="shared" si="64"/>
        <v>3.9120649594800187E-3</v>
      </c>
      <c r="I203" s="158">
        <f t="shared" si="65"/>
        <v>3.0433062819581426E-3</v>
      </c>
      <c r="J203" s="157">
        <v>170.56224999999998</v>
      </c>
      <c r="K203" s="162">
        <f>VLOOKUP($A203,[1]Notes!$A:$G,3,FALSE)</f>
        <v>3974400</v>
      </c>
      <c r="L203" s="161">
        <f>VLOOKUP($A203,[1]Notes!$A:$G,5,FALSE)</f>
        <v>2384640</v>
      </c>
      <c r="M203" s="161">
        <f>VLOOKUP($A203,[1]Notes!$A:$G,7,FALSE)</f>
        <v>2543616</v>
      </c>
      <c r="N203" s="154">
        <f t="shared" si="66"/>
        <v>8902656</v>
      </c>
      <c r="O203" s="45">
        <f t="shared" si="56"/>
        <v>5281287.6952980254</v>
      </c>
      <c r="P203" s="45">
        <f t="shared" si="67"/>
        <v>3168772.617178815</v>
      </c>
      <c r="Q203" s="45">
        <f t="shared" si="68"/>
        <v>3380024.1249907361</v>
      </c>
      <c r="R203" s="45">
        <f t="shared" si="69"/>
        <v>11830084.437467575</v>
      </c>
      <c r="S203" s="153">
        <f t="shared" si="71"/>
        <v>0.3288264128668541</v>
      </c>
      <c r="T203">
        <f>VLOOKUP($A203,'[2]All month (2)'!$E:$Y,8,FALSE)</f>
        <v>3541260</v>
      </c>
      <c r="U203">
        <f>VLOOKUP($A203,'[2]All month (2)'!$E:$Y,14,FALSE)</f>
        <v>4019520</v>
      </c>
      <c r="V203">
        <f>VLOOKUP($A203,'[2]All month (2)'!$E:$Y,20,FALSE)</f>
        <v>2713940</v>
      </c>
      <c r="W203">
        <f>SUM(T203:V203)</f>
        <v>10274720</v>
      </c>
      <c r="X203" s="152">
        <f t="shared" si="70"/>
        <v>0.15137779301699464</v>
      </c>
    </row>
    <row r="204" spans="1:24" ht="15" customHeight="1" x14ac:dyDescent="0.3">
      <c r="A204" s="70" t="s">
        <v>135</v>
      </c>
      <c r="B204" s="189">
        <f>VLOOKUP($A204,'Growth Analysis'!A:G,2,FALSE)</f>
        <v>407.246985</v>
      </c>
      <c r="C204" s="189">
        <f>VLOOKUP(A204,'Growth Analysis'!A:G,4,FALSE)</f>
        <v>-0.7805696462062206</v>
      </c>
      <c r="D204" s="50">
        <f t="shared" si="62"/>
        <v>-1.0019166984040562</v>
      </c>
      <c r="E204" s="49">
        <f>VLOOKUP($A204,'Growth Analysis'!$A:$G,5,FALSE)</f>
        <v>12971544</v>
      </c>
      <c r="F204" s="49">
        <f>VLOOKUP($A204,'Growth Analysis'!$A:$G,6,FALSE)</f>
        <v>4266560.55</v>
      </c>
      <c r="G204" s="50">
        <f t="shared" si="63"/>
        <v>-0.67108306073664004</v>
      </c>
      <c r="H204" s="159">
        <f t="shared" si="64"/>
        <v>2.3905235737048266E-3</v>
      </c>
      <c r="I204" s="158">
        <f t="shared" si="65"/>
        <v>8.0629863851912689E-3</v>
      </c>
      <c r="J204" s="157">
        <v>399.26175000000001</v>
      </c>
      <c r="K204" s="162">
        <f>VLOOKUP($A204,[1]Notes!$A:$G,3,FALSE)</f>
        <v>3091199.9999999995</v>
      </c>
      <c r="L204" s="161">
        <f>VLOOKUP($A204,[1]Notes!$A:$G,5,FALSE)</f>
        <v>1854720</v>
      </c>
      <c r="M204" s="161">
        <f>VLOOKUP($A204,[1]Notes!$A:$G,7,FALSE)</f>
        <v>1978368</v>
      </c>
      <c r="N204" s="154">
        <f t="shared" si="66"/>
        <v>6924288</v>
      </c>
      <c r="O204" s="45">
        <f t="shared" si="56"/>
        <v>3227206.8245015158</v>
      </c>
      <c r="P204" s="45">
        <f t="shared" si="67"/>
        <v>1936324.0947009095</v>
      </c>
      <c r="Q204" s="45">
        <f t="shared" si="68"/>
        <v>2065412.3676809701</v>
      </c>
      <c r="R204" s="45">
        <f t="shared" si="69"/>
        <v>7228943.2868833952</v>
      </c>
      <c r="S204" s="153">
        <f>N204/R204-1</f>
        <v>-4.2143820305822421E-2</v>
      </c>
      <c r="T204">
        <f>VLOOKUP($A204,'[2]All month (2)'!$E:$Y,8,FALSE)</f>
        <v>4650000</v>
      </c>
      <c r="U204">
        <f>VLOOKUP($A204,'[2]All month (2)'!$E:$Y,14,FALSE)</f>
        <v>3440750</v>
      </c>
      <c r="V204">
        <f>VLOOKUP($A204,'[2]All month (2)'!$E:$Y,20,FALSE)</f>
        <v>3075000</v>
      </c>
      <c r="W204">
        <f>SUM(T204:V204)</f>
        <v>11165750</v>
      </c>
      <c r="X204" s="152">
        <f t="shared" si="70"/>
        <v>-0.35257879794161656</v>
      </c>
    </row>
    <row r="205" spans="1:24" ht="15" customHeight="1" thickBot="1" x14ac:dyDescent="0.35">
      <c r="A205" s="69" t="s">
        <v>134</v>
      </c>
      <c r="B205" s="189">
        <f>VLOOKUP($A205,'Growth Analysis'!A:G,2,FALSE)</f>
        <v>0</v>
      </c>
      <c r="C205" s="189">
        <f>VLOOKUP(A205,'Growth Analysis'!A:G,4,FALSE)</f>
        <v>1</v>
      </c>
      <c r="D205" s="50">
        <f t="shared" si="62"/>
        <v>1</v>
      </c>
      <c r="E205" s="49">
        <f>VLOOKUP($A205,'Growth Analysis'!$A:$G,5,FALSE)</f>
        <v>0</v>
      </c>
      <c r="F205" s="49">
        <f>VLOOKUP($A205,'Growth Analysis'!$A:$G,6,FALSE)</f>
        <v>4266560.55</v>
      </c>
      <c r="G205" s="50">
        <f t="shared" si="63"/>
        <v>1</v>
      </c>
      <c r="H205" s="159">
        <f t="shared" si="64"/>
        <v>2.3905235737048266E-3</v>
      </c>
      <c r="I205" s="158">
        <f t="shared" si="65"/>
        <v>0</v>
      </c>
      <c r="J205" s="157">
        <v>0</v>
      </c>
      <c r="K205" s="156">
        <f>VLOOKUP($A205,[1]Notes!$A:$G,3,FALSE)</f>
        <v>3091199.9999999995</v>
      </c>
      <c r="L205" s="155">
        <f>VLOOKUP($A205,[1]Notes!$A:$G,5,FALSE)</f>
        <v>1854720</v>
      </c>
      <c r="M205" s="155">
        <f>VLOOKUP($A205,[1]Notes!$A:$G,7,FALSE)</f>
        <v>1978368</v>
      </c>
      <c r="N205" s="154">
        <f t="shared" si="66"/>
        <v>6924288</v>
      </c>
      <c r="O205" s="45">
        <f t="shared" si="56"/>
        <v>3227206.8245015158</v>
      </c>
      <c r="P205" s="45">
        <f t="shared" si="67"/>
        <v>1936324.0947009095</v>
      </c>
      <c r="Q205" s="45">
        <f t="shared" si="68"/>
        <v>2065412.3676809701</v>
      </c>
      <c r="R205" s="45">
        <f t="shared" si="69"/>
        <v>7228943.2868833952</v>
      </c>
      <c r="S205" s="153">
        <f>R205/N205-1</f>
        <v>4.399806693242625E-2</v>
      </c>
      <c r="T205">
        <f>VLOOKUP($A205,'[2]All month (2)'!$E:$Y,8,FALSE)</f>
        <v>0</v>
      </c>
      <c r="U205">
        <f>VLOOKUP($A205,'[2]All month (2)'!$E:$Y,14,FALSE)</f>
        <v>3440750</v>
      </c>
      <c r="V205">
        <f>VLOOKUP($A205,'[2]All month (2)'!$E:$Y,20,FALSE)</f>
        <v>3075000</v>
      </c>
      <c r="W205">
        <f>SUM(T205:V205)</f>
        <v>6515750</v>
      </c>
      <c r="X205" s="152">
        <f t="shared" si="70"/>
        <v>0.10945682183684076</v>
      </c>
    </row>
    <row r="206" spans="1:24" ht="15" thickBot="1" x14ac:dyDescent="0.35">
      <c r="A206" s="68" t="s">
        <v>133</v>
      </c>
      <c r="B206" s="42">
        <f>SUM(B198:B205)</f>
        <v>2058.7547399999999</v>
      </c>
      <c r="C206" s="40">
        <f>SUM(C198:C205)</f>
        <v>1.504155932872453</v>
      </c>
      <c r="D206" s="41">
        <f t="shared" si="62"/>
        <v>-0.99926938556417244</v>
      </c>
      <c r="E206" s="40">
        <f>SUM(E198:E205)</f>
        <v>70978013.75999999</v>
      </c>
      <c r="F206" s="40">
        <f>SUM(F198:F205)</f>
        <v>44750663.684999995</v>
      </c>
      <c r="G206" s="151">
        <f t="shared" si="63"/>
        <v>-0.369513722427952</v>
      </c>
      <c r="H206" s="150">
        <f t="shared" si="64"/>
        <v>2.5073479029362186E-2</v>
      </c>
      <c r="I206" s="150">
        <f t="shared" si="65"/>
        <v>4.4119247376780933E-2</v>
      </c>
      <c r="J206" s="42">
        <f>SUM(J198:J205)</f>
        <v>2018.3869999999997</v>
      </c>
      <c r="K206" s="149">
        <f>SUM(K198:K205)</f>
        <v>34444800</v>
      </c>
      <c r="L206" s="149">
        <f>SUM(L198:L205)</f>
        <v>20666880</v>
      </c>
      <c r="M206" s="149">
        <f>SUM(M198:M205)</f>
        <v>22044672</v>
      </c>
      <c r="N206" s="36">
        <f t="shared" si="66"/>
        <v>77156352</v>
      </c>
      <c r="O206" s="36">
        <f t="shared" si="56"/>
        <v>33849196.68963895</v>
      </c>
      <c r="P206" s="36">
        <f t="shared" si="67"/>
        <v>20309518.013783369</v>
      </c>
      <c r="Q206" s="36">
        <f t="shared" si="68"/>
        <v>21663485.881368928</v>
      </c>
      <c r="R206" s="148">
        <f t="shared" si="69"/>
        <v>75822200.584791243</v>
      </c>
      <c r="S206" s="41"/>
      <c r="T206" s="42">
        <f>SUM(T198:T205)</f>
        <v>35103360</v>
      </c>
      <c r="U206" s="42">
        <f>SUM(U198:U205)</f>
        <v>23878746</v>
      </c>
      <c r="V206" s="42">
        <f>SUM(V198:V205)</f>
        <v>22215915</v>
      </c>
      <c r="W206" s="147">
        <f>SUM(W198:W205)</f>
        <v>81198021</v>
      </c>
      <c r="X206" s="146">
        <f t="shared" si="70"/>
        <v>-6.6206298491052598E-2</v>
      </c>
    </row>
    <row r="207" spans="1:24" ht="15" customHeight="1" thickBot="1" x14ac:dyDescent="0.35">
      <c r="A207" s="172" t="s">
        <v>132</v>
      </c>
      <c r="B207" s="171">
        <f>B206+B197+B191+B184</f>
        <v>5432.4667559999998</v>
      </c>
      <c r="C207" s="32">
        <f>C206+C197+C191+C184</f>
        <v>8.986901361662488</v>
      </c>
      <c r="D207" s="33">
        <f t="shared" si="62"/>
        <v>-0.99834570522650012</v>
      </c>
      <c r="E207" s="32">
        <f>E206+E197+E191+E184</f>
        <v>188030128.25999999</v>
      </c>
      <c r="F207" s="32">
        <f>F206+F197+F191+F184</f>
        <v>180787847.37941644</v>
      </c>
      <c r="G207" s="145">
        <f t="shared" si="63"/>
        <v>-3.8516598098413457E-2</v>
      </c>
      <c r="H207" s="144">
        <f t="shared" si="64"/>
        <v>0.10129414687431199</v>
      </c>
      <c r="I207" s="144">
        <f t="shared" si="65"/>
        <v>0.11687771048428375</v>
      </c>
      <c r="J207" s="171">
        <f>J206+J197+J191+J184</f>
        <v>5325.9477999999999</v>
      </c>
      <c r="K207" s="171">
        <f>K206+K197+K191+K184</f>
        <v>135350400</v>
      </c>
      <c r="L207" s="171">
        <f>L206+L197+L191+L184</f>
        <v>81210240</v>
      </c>
      <c r="M207" s="171">
        <f>M206+M197+M191+M184</f>
        <v>86624256</v>
      </c>
      <c r="N207" s="28">
        <f t="shared" si="66"/>
        <v>303184896</v>
      </c>
      <c r="O207" s="28">
        <f t="shared" si="56"/>
        <v>136747098.28032118</v>
      </c>
      <c r="P207" s="28">
        <f t="shared" si="67"/>
        <v>82048258.968192711</v>
      </c>
      <c r="Q207" s="28">
        <f t="shared" si="68"/>
        <v>87518142.899405554</v>
      </c>
      <c r="R207" s="143">
        <f t="shared" si="69"/>
        <v>306313500.14791942</v>
      </c>
      <c r="S207" s="142"/>
      <c r="T207" s="34">
        <f>T206+T197+T191+T184</f>
        <v>91105761</v>
      </c>
      <c r="U207" s="34">
        <f>U206+U197+U191+U184</f>
        <v>104333936</v>
      </c>
      <c r="V207" s="34">
        <f>V206+V197+V191+V184</f>
        <v>70853573</v>
      </c>
      <c r="W207" s="141">
        <f>W206+W197+W191+W184</f>
        <v>266293270</v>
      </c>
      <c r="X207" s="140">
        <f t="shared" si="70"/>
        <v>0.15028629956708789</v>
      </c>
    </row>
    <row r="208" spans="1:24" ht="15" customHeight="1" thickBot="1" x14ac:dyDescent="0.35">
      <c r="A208" s="170" t="s">
        <v>131</v>
      </c>
      <c r="B208" s="26">
        <f>B207+B175+B144</f>
        <v>18081.126491999999</v>
      </c>
      <c r="C208" s="24">
        <f>C207+C175+C144</f>
        <v>33.296243696699442</v>
      </c>
      <c r="D208" s="25">
        <f t="shared" si="62"/>
        <v>-0.998158508336777</v>
      </c>
      <c r="E208" s="24">
        <f>E207+E175+E144</f>
        <v>508062092.81999999</v>
      </c>
      <c r="F208" s="24">
        <f>F207+F175+F144</f>
        <v>632795698.50932741</v>
      </c>
      <c r="G208" s="139">
        <f t="shared" si="63"/>
        <v>0.24550858537190445</v>
      </c>
      <c r="H208" s="138">
        <f t="shared" si="64"/>
        <v>0.35455093555992295</v>
      </c>
      <c r="I208" s="138">
        <f t="shared" si="65"/>
        <v>0.31580648666337968</v>
      </c>
      <c r="J208" s="26">
        <f>J207+J175+J144</f>
        <v>17726.594599999997</v>
      </c>
      <c r="K208" s="168">
        <f>K207+K175+K144</f>
        <v>441443178.33156389</v>
      </c>
      <c r="L208" s="168">
        <f>L207+L175+L144</f>
        <v>264865906.99893832</v>
      </c>
      <c r="M208" s="168">
        <f>M207+M175+M144</f>
        <v>282523634.1322009</v>
      </c>
      <c r="N208" s="20">
        <f t="shared" si="66"/>
        <v>988832719.46270323</v>
      </c>
      <c r="O208" s="20">
        <f t="shared" si="56"/>
        <v>478643763.00589597</v>
      </c>
      <c r="P208" s="20">
        <f t="shared" si="67"/>
        <v>287186257.80353761</v>
      </c>
      <c r="Q208" s="20">
        <f t="shared" si="68"/>
        <v>306332008.32377344</v>
      </c>
      <c r="R208" s="137">
        <f t="shared" si="69"/>
        <v>1072162029.1332071</v>
      </c>
      <c r="S208" s="136"/>
      <c r="T208" s="26">
        <f>T207+T175+T144</f>
        <v>285770833</v>
      </c>
      <c r="U208" s="26">
        <f>U207+U175+U144</f>
        <v>314612575.5</v>
      </c>
      <c r="V208" s="26">
        <f>V207+V175+V144</f>
        <v>258549279</v>
      </c>
      <c r="W208" s="135">
        <f>W207+W175+W144</f>
        <v>858932687.5</v>
      </c>
      <c r="X208" s="134">
        <f t="shared" si="70"/>
        <v>0.24824918731854304</v>
      </c>
    </row>
    <row r="209" spans="1:24" ht="16.2" customHeight="1" x14ac:dyDescent="0.3">
      <c r="A209" s="53" t="s">
        <v>130</v>
      </c>
      <c r="B209" s="189">
        <f>VLOOKUP($A209,'Growth Analysis'!A:G,2,FALSE)</f>
        <v>582.73971900000004</v>
      </c>
      <c r="C209" s="189">
        <f>VLOOKUP(A209,'Growth Analysis'!A:G,4,FALSE)</f>
        <v>-0.77304770777088561</v>
      </c>
      <c r="D209" s="50">
        <f t="shared" si="62"/>
        <v>-1.0013265745967983</v>
      </c>
      <c r="E209" s="49">
        <f>VLOOKUP($A209,'Growth Analysis'!$A:$G,5,FALSE)</f>
        <v>15084780</v>
      </c>
      <c r="F209" s="49">
        <f>VLOOKUP($A209,'Growth Analysis'!$A:$G,6,FALSE)</f>
        <v>5941699.6016026875</v>
      </c>
      <c r="G209" s="50">
        <f t="shared" si="63"/>
        <v>-0.60611294287336714</v>
      </c>
      <c r="H209" s="159">
        <f t="shared" si="64"/>
        <v>3.3290920869513503E-3</v>
      </c>
      <c r="I209" s="158">
        <f t="shared" si="65"/>
        <v>9.3765534591414516E-3</v>
      </c>
      <c r="J209" s="157">
        <v>571.31344999999999</v>
      </c>
      <c r="K209" s="164">
        <f>VLOOKUP($A209,[1]Notes!$A:$G,3,FALSE)</f>
        <v>5836390.2439024402</v>
      </c>
      <c r="L209" s="163">
        <f>VLOOKUP($A209,[1]Notes!$A:$G,5,FALSE)</f>
        <v>3501834.1463414645</v>
      </c>
      <c r="M209" s="163">
        <f>VLOOKUP($A209,[1]Notes!$A:$G,7,FALSE)</f>
        <v>3735289.7560975621</v>
      </c>
      <c r="N209" s="154">
        <f t="shared" si="66"/>
        <v>13073514.146341467</v>
      </c>
      <c r="O209" s="45">
        <f t="shared" si="56"/>
        <v>4494274.3173843231</v>
      </c>
      <c r="P209" s="45">
        <f t="shared" si="67"/>
        <v>2696564.5904305936</v>
      </c>
      <c r="Q209" s="45">
        <f t="shared" si="68"/>
        <v>2876335.5631259666</v>
      </c>
      <c r="R209" s="45">
        <f t="shared" si="69"/>
        <v>10067174.470940882</v>
      </c>
      <c r="S209" s="153">
        <f t="shared" ref="S209:S214" si="72">R209/N209-1</f>
        <v>-0.22995650914883425</v>
      </c>
      <c r="T209">
        <f>VLOOKUP($A209,'[2]All month (2)'!$E:$Y,8,FALSE)</f>
        <v>6948000</v>
      </c>
      <c r="U209">
        <f>VLOOKUP($A209,'[2]All month (2)'!$E:$Y,14,FALSE)</f>
        <v>3117226</v>
      </c>
      <c r="V209">
        <f>VLOOKUP($A209,'[2]All month (2)'!$E:$Y,20,FALSE)</f>
        <v>3754982</v>
      </c>
      <c r="W209">
        <f t="shared" ref="W209:W214" si="73">SUM(T209:V209)</f>
        <v>13820208</v>
      </c>
      <c r="X209" s="152">
        <f t="shared" si="70"/>
        <v>-0.27156129119468519</v>
      </c>
    </row>
    <row r="210" spans="1:24" ht="16.2" customHeight="1" x14ac:dyDescent="0.3">
      <c r="A210" s="52" t="s">
        <v>129</v>
      </c>
      <c r="B210" s="189">
        <f>VLOOKUP($A210,'Growth Analysis'!A:G,2,FALSE)</f>
        <v>0</v>
      </c>
      <c r="C210" s="189">
        <f>VLOOKUP(A210,'Growth Analysis'!A:G,4,FALSE)</f>
        <v>1</v>
      </c>
      <c r="D210" s="50">
        <f t="shared" si="62"/>
        <v>1</v>
      </c>
      <c r="E210" s="49">
        <f>VLOOKUP($A210,'Growth Analysis'!$A:$G,5,FALSE)</f>
        <v>0</v>
      </c>
      <c r="F210" s="49">
        <f>VLOOKUP($A210,'Growth Analysis'!$A:$G,6,FALSE)</f>
        <v>5739621.501011516</v>
      </c>
      <c r="G210" s="50">
        <f t="shared" si="63"/>
        <v>1</v>
      </c>
      <c r="H210" s="159">
        <f t="shared" si="64"/>
        <v>3.2158691624125926E-3</v>
      </c>
      <c r="I210" s="158">
        <f t="shared" si="65"/>
        <v>0</v>
      </c>
      <c r="J210" s="157">
        <v>0</v>
      </c>
      <c r="K210" s="162">
        <f>VLOOKUP($A210,[1]Notes!$A:$G,3,FALSE)</f>
        <v>5544570.7317073168</v>
      </c>
      <c r="L210" s="161">
        <f>VLOOKUP($A210,[1]Notes!$A:$G,5,FALSE)</f>
        <v>3326742.4390243897</v>
      </c>
      <c r="M210" s="161">
        <f>VLOOKUP($A210,[1]Notes!$A:$G,7,FALSE)</f>
        <v>3548525.2682926827</v>
      </c>
      <c r="N210" s="154">
        <f t="shared" si="66"/>
        <v>12419838.439024389</v>
      </c>
      <c r="O210" s="45">
        <f t="shared" si="56"/>
        <v>4341423.3692570003</v>
      </c>
      <c r="P210" s="45">
        <f t="shared" si="67"/>
        <v>2604854.0215542</v>
      </c>
      <c r="Q210" s="45">
        <f t="shared" si="68"/>
        <v>2778510.95632448</v>
      </c>
      <c r="R210" s="45">
        <f t="shared" si="69"/>
        <v>9724788.3471356798</v>
      </c>
      <c r="S210" s="153">
        <f t="shared" si="72"/>
        <v>-0.21699558372841543</v>
      </c>
      <c r="T210">
        <f>VLOOKUP($A210,'[2]All month (2)'!$E:$Y,8,FALSE)</f>
        <v>0</v>
      </c>
      <c r="U210">
        <f>VLOOKUP($A210,'[2]All month (2)'!$E:$Y,14,FALSE)</f>
        <v>1669942.5</v>
      </c>
      <c r="V210">
        <f>VLOOKUP($A210,'[2]All month (2)'!$E:$Y,20,FALSE)</f>
        <v>2011597.5</v>
      </c>
      <c r="W210">
        <f t="shared" si="73"/>
        <v>3681540</v>
      </c>
      <c r="X210" s="152">
        <f t="shared" si="70"/>
        <v>1.6415001187371805</v>
      </c>
    </row>
    <row r="211" spans="1:24" ht="16.2" customHeight="1" x14ac:dyDescent="0.3">
      <c r="A211" s="52" t="s">
        <v>128</v>
      </c>
      <c r="B211" s="189">
        <f>VLOOKUP($A211,'Growth Analysis'!A:G,2,FALSE)</f>
        <v>997.90685100000007</v>
      </c>
      <c r="C211" s="189">
        <f>VLOOKUP(A211,'Growth Analysis'!A:G,4,FALSE)</f>
        <v>-0.86625647637727254</v>
      </c>
      <c r="D211" s="50">
        <f t="shared" si="62"/>
        <v>-1.0008680734835214</v>
      </c>
      <c r="E211" s="49">
        <f>VLOOKUP($A211,'Growth Analysis'!$A:$G,5,FALSE)</f>
        <v>35416429.799999997</v>
      </c>
      <c r="F211" s="49">
        <f>VLOOKUP($A211,'Growth Analysis'!$A:$G,6,FALSE)</f>
        <v>6856727.0849388437</v>
      </c>
      <c r="G211" s="50">
        <f t="shared" si="63"/>
        <v>-0.80639699925544606</v>
      </c>
      <c r="H211" s="159">
        <f t="shared" si="64"/>
        <v>3.8417754870504963E-3</v>
      </c>
      <c r="I211" s="158">
        <f t="shared" si="65"/>
        <v>2.201451047689329E-2</v>
      </c>
      <c r="J211" s="157">
        <v>978.34005000000002</v>
      </c>
      <c r="K211" s="162">
        <f>VLOOKUP($A211,[1]Notes!$A:$G,3,FALSE)</f>
        <v>5252751.2195121944</v>
      </c>
      <c r="L211" s="161">
        <f>VLOOKUP($A211,[1]Notes!$A:$G,5,FALSE)</f>
        <v>3151650.7317073164</v>
      </c>
      <c r="M211" s="161">
        <f>VLOOKUP($A211,[1]Notes!$A:$G,7,FALSE)</f>
        <v>3361760.7804878042</v>
      </c>
      <c r="N211" s="154">
        <f t="shared" si="66"/>
        <v>11766162.731707314</v>
      </c>
      <c r="O211" s="45">
        <f t="shared" si="56"/>
        <v>5186396.9075181698</v>
      </c>
      <c r="P211" s="45">
        <f t="shared" si="67"/>
        <v>3111838.144510902</v>
      </c>
      <c r="Q211" s="45">
        <f t="shared" si="68"/>
        <v>3319294.0208116286</v>
      </c>
      <c r="R211" s="45">
        <f t="shared" si="69"/>
        <v>11617529.0728407</v>
      </c>
      <c r="S211" s="153">
        <f t="shared" si="72"/>
        <v>-1.2632296718630087E-2</v>
      </c>
      <c r="T211">
        <f>VLOOKUP($A211,'[2]All month (2)'!$E:$Y,8,FALSE)</f>
        <v>20994400</v>
      </c>
      <c r="U211">
        <f>VLOOKUP($A211,'[2]All month (2)'!$E:$Y,14,FALSE)</f>
        <v>1447283.5</v>
      </c>
      <c r="V211">
        <f>VLOOKUP($A211,'[2]All month (2)'!$E:$Y,20,FALSE)</f>
        <v>1743384.5</v>
      </c>
      <c r="W211">
        <f t="shared" si="73"/>
        <v>24185068</v>
      </c>
      <c r="X211" s="152">
        <f t="shared" si="70"/>
        <v>-0.5196404214021354</v>
      </c>
    </row>
    <row r="212" spans="1:24" ht="16.2" customHeight="1" x14ac:dyDescent="0.3">
      <c r="A212" s="52" t="s">
        <v>127</v>
      </c>
      <c r="B212" s="189">
        <f>VLOOKUP($A212,'Growth Analysis'!A:G,2,FALSE)</f>
        <v>0</v>
      </c>
      <c r="C212" s="189">
        <f>VLOOKUP(A212,'Growth Analysis'!A:G,4,FALSE)</f>
        <v>1</v>
      </c>
      <c r="D212" s="50">
        <f t="shared" si="62"/>
        <v>1</v>
      </c>
      <c r="E212" s="49">
        <f>VLOOKUP($A212,'Growth Analysis'!$A:$G,5,FALSE)</f>
        <v>0</v>
      </c>
      <c r="F212" s="49">
        <f>VLOOKUP($A212,'Growth Analysis'!$A:$G,6,FALSE)</f>
        <v>5315967.2524052542</v>
      </c>
      <c r="G212" s="50">
        <f t="shared" si="63"/>
        <v>1</v>
      </c>
      <c r="H212" s="159">
        <f t="shared" si="64"/>
        <v>2.9784986958447447E-3</v>
      </c>
      <c r="I212" s="158">
        <f t="shared" si="65"/>
        <v>0</v>
      </c>
      <c r="J212" s="157">
        <v>0</v>
      </c>
      <c r="K212" s="162">
        <f>VLOOKUP($A212,[1]Notes!$A:$G,3,FALSE)</f>
        <v>5252751.2195121944</v>
      </c>
      <c r="L212" s="161">
        <f>VLOOKUP($A212,[1]Notes!$A:$G,5,FALSE)</f>
        <v>3151650.7317073164</v>
      </c>
      <c r="M212" s="161">
        <f>VLOOKUP($A212,[1]Notes!$A:$G,7,FALSE)</f>
        <v>3361760.7804878042</v>
      </c>
      <c r="N212" s="154">
        <f t="shared" si="66"/>
        <v>11766162.731707314</v>
      </c>
      <c r="O212" s="45">
        <f t="shared" si="56"/>
        <v>4020973.2393904054</v>
      </c>
      <c r="P212" s="45">
        <f t="shared" si="67"/>
        <v>2412583.9436342432</v>
      </c>
      <c r="Q212" s="45">
        <f t="shared" si="68"/>
        <v>2573422.8732098592</v>
      </c>
      <c r="R212" s="45">
        <f t="shared" si="69"/>
        <v>9006980.0562345088</v>
      </c>
      <c r="S212" s="153">
        <f t="shared" si="72"/>
        <v>-0.23450148858109809</v>
      </c>
      <c r="T212">
        <f>VLOOKUP($A212,'[2]All month (2)'!$E:$Y,8,FALSE)</f>
        <v>0</v>
      </c>
      <c r="U212">
        <f>VLOOKUP($A212,'[2]All month (2)'!$E:$Y,14,FALSE)</f>
        <v>2226590</v>
      </c>
      <c r="V212">
        <f>VLOOKUP($A212,'[2]All month (2)'!$E:$Y,20,FALSE)</f>
        <v>2682130</v>
      </c>
      <c r="W212">
        <f t="shared" si="73"/>
        <v>4908720</v>
      </c>
      <c r="X212" s="152">
        <f t="shared" si="70"/>
        <v>0.83489383306330545</v>
      </c>
    </row>
    <row r="213" spans="1:24" ht="16.2" customHeight="1" x14ac:dyDescent="0.3">
      <c r="A213" s="52" t="s">
        <v>126</v>
      </c>
      <c r="B213" s="189">
        <f>VLOOKUP($A213,'Growth Analysis'!A:G,2,FALSE)</f>
        <v>0</v>
      </c>
      <c r="C213" s="189">
        <f>VLOOKUP(A213,'Growth Analysis'!A:G,4,FALSE)</f>
        <v>1</v>
      </c>
      <c r="D213" s="50">
        <f t="shared" si="62"/>
        <v>1</v>
      </c>
      <c r="E213" s="49">
        <f>VLOOKUP($A213,'Growth Analysis'!$A:$G,5,FALSE)</f>
        <v>0</v>
      </c>
      <c r="F213" s="49">
        <f>VLOOKUP($A213,'Growth Analysis'!$A:$G,6,FALSE)</f>
        <v>9514834.7495551743</v>
      </c>
      <c r="G213" s="50">
        <f t="shared" si="63"/>
        <v>1</v>
      </c>
      <c r="H213" s="159">
        <f t="shared" si="64"/>
        <v>5.3310943328151068E-3</v>
      </c>
      <c r="I213" s="158">
        <f t="shared" si="65"/>
        <v>0</v>
      </c>
      <c r="J213" s="157">
        <v>0</v>
      </c>
      <c r="K213" s="162">
        <f>VLOOKUP($A213,[1]Notes!$A:$G,3,FALSE)</f>
        <v>7295487.8048780467</v>
      </c>
      <c r="L213" s="161">
        <f>VLOOKUP($A213,[1]Notes!$A:$G,5,FALSE)</f>
        <v>4377292.682926828</v>
      </c>
      <c r="M213" s="161">
        <f>VLOOKUP($A213,[1]Notes!$A:$G,7,FALSE)</f>
        <v>4669112.1951219505</v>
      </c>
      <c r="N213" s="154">
        <f t="shared" si="66"/>
        <v>16341892.682926826</v>
      </c>
      <c r="O213" s="45">
        <f t="shared" ref="O213:O276" si="74">$O$3*H213</f>
        <v>7196977.3493003938</v>
      </c>
      <c r="P213" s="45">
        <f t="shared" si="67"/>
        <v>4318186.4095802363</v>
      </c>
      <c r="Q213" s="45">
        <f t="shared" si="68"/>
        <v>4606065.5035522524</v>
      </c>
      <c r="R213" s="45">
        <f t="shared" si="69"/>
        <v>16121229.262432883</v>
      </c>
      <c r="S213" s="153">
        <f t="shared" si="72"/>
        <v>-1.3502929236861361E-2</v>
      </c>
      <c r="T213">
        <f>VLOOKUP($A213,'[2]All month (2)'!$E:$Y,8,FALSE)</f>
        <v>0</v>
      </c>
      <c r="U213">
        <f>VLOOKUP($A213,'[2]All month (2)'!$E:$Y,14,FALSE)</f>
        <v>2671908</v>
      </c>
      <c r="V213">
        <f>VLOOKUP($A213,'[2]All month (2)'!$E:$Y,20,FALSE)</f>
        <v>3218556</v>
      </c>
      <c r="W213">
        <f t="shared" si="73"/>
        <v>5890464</v>
      </c>
      <c r="X213" s="152">
        <f t="shared" si="70"/>
        <v>1.7368352072829716</v>
      </c>
    </row>
    <row r="214" spans="1:24" ht="16.2" customHeight="1" thickBot="1" x14ac:dyDescent="0.35">
      <c r="A214" s="51" t="s">
        <v>125</v>
      </c>
      <c r="B214" s="189">
        <f>VLOOKUP($A214,'Growth Analysis'!A:G,2,FALSE)</f>
        <v>134.62383299999999</v>
      </c>
      <c r="C214" s="189">
        <f>VLOOKUP(A214,'Growth Analysis'!A:G,4,FALSE)</f>
        <v>1.4850858540033016E-2</v>
      </c>
      <c r="D214" s="50">
        <f t="shared" si="62"/>
        <v>-0.99988968625978714</v>
      </c>
      <c r="E214" s="49">
        <f>VLOOKUP($A214,'Growth Analysis'!$A:$G,5,FALSE)</f>
        <v>4743000</v>
      </c>
      <c r="F214" s="49">
        <f>VLOOKUP($A214,'Growth Analysis'!$A:$G,6,FALSE)</f>
        <v>5937583.0499999998</v>
      </c>
      <c r="G214" s="50">
        <f t="shared" si="63"/>
        <v>0.25186233396584434</v>
      </c>
      <c r="H214" s="159">
        <f t="shared" si="64"/>
        <v>3.3267856123254135E-3</v>
      </c>
      <c r="I214" s="158">
        <f t="shared" si="65"/>
        <v>2.9482029606469505E-3</v>
      </c>
      <c r="J214" s="157">
        <v>131.98415</v>
      </c>
      <c r="K214" s="156">
        <f>VLOOKUP($A214,[1]Notes!$A:$G,3,FALSE)</f>
        <v>3938048.7804878051</v>
      </c>
      <c r="L214" s="155">
        <f>VLOOKUP($A214,[1]Notes!$A:$G,5,FALSE)</f>
        <v>2362829.2682926827</v>
      </c>
      <c r="M214" s="155">
        <f>VLOOKUP($A214,[1]Notes!$A:$G,7,FALSE)</f>
        <v>2520351.2195121949</v>
      </c>
      <c r="N214" s="154">
        <f t="shared" si="66"/>
        <v>8821229.2682926822</v>
      </c>
      <c r="O214" s="45">
        <f t="shared" si="74"/>
        <v>4491160.5766393086</v>
      </c>
      <c r="P214" s="45">
        <f t="shared" si="67"/>
        <v>2694696.3459835849</v>
      </c>
      <c r="Q214" s="45">
        <f t="shared" si="68"/>
        <v>2874342.7690491574</v>
      </c>
      <c r="R214" s="45">
        <f t="shared" si="69"/>
        <v>10060199.691672049</v>
      </c>
      <c r="S214" s="153">
        <f t="shared" si="72"/>
        <v>0.14045326175035067</v>
      </c>
      <c r="T214">
        <f>VLOOKUP($A214,'[2]All month (2)'!$E:$Y,8,FALSE)</f>
        <v>3970000</v>
      </c>
      <c r="U214">
        <f>VLOOKUP($A214,'[2]All month (2)'!$E:$Y,14,FALSE)</f>
        <v>405000</v>
      </c>
      <c r="V214">
        <f>VLOOKUP($A214,'[2]All month (2)'!$E:$Y,20,FALSE)</f>
        <v>1635000</v>
      </c>
      <c r="W214">
        <f t="shared" si="73"/>
        <v>6010000</v>
      </c>
      <c r="X214" s="152">
        <f t="shared" si="70"/>
        <v>0.67391009844792837</v>
      </c>
    </row>
    <row r="215" spans="1:24" ht="16.2" thickBot="1" x14ac:dyDescent="0.35">
      <c r="A215" s="56" t="s">
        <v>124</v>
      </c>
      <c r="B215" s="42">
        <f>SUM(B209:B214)</f>
        <v>1715.270403</v>
      </c>
      <c r="C215" s="40">
        <f>SUM(C209:C214)</f>
        <v>1.3755466743918749</v>
      </c>
      <c r="D215" s="41">
        <f t="shared" si="62"/>
        <v>-0.99919805840992415</v>
      </c>
      <c r="E215" s="40">
        <f>SUM(E209:E214)</f>
        <v>55244209.799999997</v>
      </c>
      <c r="F215" s="40">
        <f>SUM(F209:F214)</f>
        <v>39306433.239513479</v>
      </c>
      <c r="G215" s="151">
        <f t="shared" si="63"/>
        <v>-0.28849677854359534</v>
      </c>
      <c r="H215" s="150">
        <f t="shared" si="64"/>
        <v>2.2023115377399705E-2</v>
      </c>
      <c r="I215" s="150">
        <f t="shared" si="65"/>
        <v>3.4339266896681694E-2</v>
      </c>
      <c r="J215" s="42">
        <f>SUM(J209:J214)</f>
        <v>1681.6376499999999</v>
      </c>
      <c r="K215" s="165">
        <f>SUM(K209:K214)</f>
        <v>33120000</v>
      </c>
      <c r="L215" s="165">
        <f>SUM(L209:L214)</f>
        <v>19871999.999999996</v>
      </c>
      <c r="M215" s="165">
        <f>SUM(M209:M214)</f>
        <v>21196799.999999996</v>
      </c>
      <c r="N215" s="36">
        <f t="shared" si="66"/>
        <v>74188800</v>
      </c>
      <c r="O215" s="36">
        <f t="shared" si="74"/>
        <v>29731205.7594896</v>
      </c>
      <c r="P215" s="36">
        <f t="shared" si="67"/>
        <v>17838723.455693759</v>
      </c>
      <c r="Q215" s="36">
        <f t="shared" si="68"/>
        <v>19027971.686073344</v>
      </c>
      <c r="R215" s="148">
        <f t="shared" si="69"/>
        <v>66597900.90125671</v>
      </c>
      <c r="S215" s="41"/>
      <c r="T215" s="42">
        <f>SUM(T209:T214)</f>
        <v>31912400</v>
      </c>
      <c r="U215" s="42">
        <f>SUM(U209:U214)</f>
        <v>11537950</v>
      </c>
      <c r="V215" s="42">
        <f>SUM(V209:V214)</f>
        <v>15045650</v>
      </c>
      <c r="W215" s="147">
        <f>SUM(W209:W214)</f>
        <v>58496000</v>
      </c>
      <c r="X215" s="146">
        <f t="shared" si="70"/>
        <v>0.13850350282509419</v>
      </c>
    </row>
    <row r="216" spans="1:24" ht="16.2" customHeight="1" x14ac:dyDescent="0.3">
      <c r="A216" s="58" t="s">
        <v>123</v>
      </c>
      <c r="B216" s="189">
        <f>VLOOKUP($A216,'Growth Analysis'!A:G,2,FALSE)</f>
        <v>0</v>
      </c>
      <c r="C216" s="189">
        <f>VLOOKUP(A216,'Growth Analysis'!A:G,4,FALSE)</f>
        <v>1</v>
      </c>
      <c r="D216" s="50">
        <f t="shared" si="62"/>
        <v>1</v>
      </c>
      <c r="E216" s="49">
        <f>VLOOKUP($A216,'Growth Analysis'!$A:$G,5,FALSE)</f>
        <v>0</v>
      </c>
      <c r="F216" s="49">
        <f>VLOOKUP($A216,'Growth Analysis'!$A:$G,6,FALSE)</f>
        <v>8129599.8000000007</v>
      </c>
      <c r="G216" s="50">
        <f t="shared" si="63"/>
        <v>1</v>
      </c>
      <c r="H216" s="159">
        <f t="shared" si="64"/>
        <v>4.5549570289553365E-3</v>
      </c>
      <c r="I216" s="158">
        <f t="shared" si="65"/>
        <v>0</v>
      </c>
      <c r="J216" s="157">
        <v>0</v>
      </c>
      <c r="K216" s="164">
        <f>VLOOKUP($A216,[1]Notes!$A:$G,3,FALSE)</f>
        <v>3643200</v>
      </c>
      <c r="L216" s="163">
        <f>VLOOKUP($A216,[1]Notes!$A:$G,5,FALSE)</f>
        <v>2185920</v>
      </c>
      <c r="M216" s="163">
        <f>VLOOKUP($A216,[1]Notes!$A:$G,7,FALSE)</f>
        <v>2331648</v>
      </c>
      <c r="N216" s="154">
        <f t="shared" si="66"/>
        <v>8160768</v>
      </c>
      <c r="O216" s="45">
        <f t="shared" si="74"/>
        <v>6149191.9890897041</v>
      </c>
      <c r="P216" s="45">
        <f t="shared" si="67"/>
        <v>3689515.1934538228</v>
      </c>
      <c r="Q216" s="45">
        <f t="shared" si="68"/>
        <v>3935482.8730174107</v>
      </c>
      <c r="R216" s="45">
        <f t="shared" si="69"/>
        <v>13774190.055560939</v>
      </c>
      <c r="S216" s="153">
        <f t="shared" ref="S216:S223" si="75">R216/N216-1</f>
        <v>0.68785463029471483</v>
      </c>
      <c r="T216">
        <f>VLOOKUP($A216,'[2]All month (2)'!$E:$Y,8,FALSE)</f>
        <v>0</v>
      </c>
      <c r="U216">
        <f>VLOOKUP($A216,'[2]All month (2)'!$E:$Y,14,FALSE)</f>
        <v>1463511.39</v>
      </c>
      <c r="V216">
        <f>VLOOKUP($A216,'[2]All month (2)'!$E:$Y,20,FALSE)</f>
        <v>3248283.56</v>
      </c>
      <c r="W216">
        <f t="shared" ref="W216:W222" si="76">SUM(T216:V216)</f>
        <v>4711794.95</v>
      </c>
      <c r="X216" s="152">
        <f t="shared" si="70"/>
        <v>1.9233424208243484</v>
      </c>
    </row>
    <row r="217" spans="1:24" ht="16.2" customHeight="1" x14ac:dyDescent="0.3">
      <c r="A217" s="57" t="s">
        <v>122</v>
      </c>
      <c r="B217" s="189">
        <f>VLOOKUP($A217,'Growth Analysis'!A:G,2,FALSE)</f>
        <v>1115.1684480000001</v>
      </c>
      <c r="C217" s="189">
        <f>VLOOKUP(A217,'Growth Analysis'!A:G,4,FALSE)</f>
        <v>-0.92943841789899706</v>
      </c>
      <c r="D217" s="50">
        <f t="shared" si="62"/>
        <v>-1.0008334511432475</v>
      </c>
      <c r="E217" s="49">
        <f>VLOOKUP($A217,'Growth Analysis'!$A:$G,5,FALSE)</f>
        <v>32412132</v>
      </c>
      <c r="F217" s="49">
        <f>VLOOKUP($A217,'Growth Analysis'!$A:$G,6,FALSE)</f>
        <v>5321910.3</v>
      </c>
      <c r="G217" s="50">
        <f t="shared" si="63"/>
        <v>-0.83580499116812179</v>
      </c>
      <c r="H217" s="159">
        <f t="shared" si="64"/>
        <v>2.9818285432026801E-3</v>
      </c>
      <c r="I217" s="158">
        <f t="shared" si="65"/>
        <v>2.0147067999848146E-2</v>
      </c>
      <c r="J217" s="157">
        <v>1093.3024</v>
      </c>
      <c r="K217" s="162">
        <f>VLOOKUP($A217,[1]Notes!$A:$G,3,FALSE)</f>
        <v>5297419.3548387103</v>
      </c>
      <c r="L217" s="161">
        <f>VLOOKUP($A217,[1]Notes!$A:$G,5,FALSE)</f>
        <v>3178451.6129032262</v>
      </c>
      <c r="M217" s="161">
        <f>VLOOKUP($A217,[1]Notes!$A:$G,7,FALSE)</f>
        <v>3390348.3870967748</v>
      </c>
      <c r="N217" s="154">
        <f t="shared" si="66"/>
        <v>11866219.35483871</v>
      </c>
      <c r="O217" s="45">
        <f t="shared" si="74"/>
        <v>4025468.5333236181</v>
      </c>
      <c r="P217" s="45">
        <f t="shared" si="67"/>
        <v>2415281.119994171</v>
      </c>
      <c r="Q217" s="45">
        <f t="shared" si="68"/>
        <v>2576299.8613271154</v>
      </c>
      <c r="R217" s="45">
        <f t="shared" si="69"/>
        <v>9017049.5146449041</v>
      </c>
      <c r="S217" s="153">
        <f t="shared" si="75"/>
        <v>-0.24010763285207559</v>
      </c>
      <c r="T217">
        <f>VLOOKUP($A217,'[2]All month (2)'!$E:$Y,8,FALSE)</f>
        <v>16118400</v>
      </c>
      <c r="U217">
        <f>VLOOKUP($A217,'[2]All month (2)'!$E:$Y,14,FALSE)</f>
        <v>2863391.85</v>
      </c>
      <c r="V217">
        <f>VLOOKUP($A217,'[2]All month (2)'!$E:$Y,20,FALSE)</f>
        <v>6355337.4000000004</v>
      </c>
      <c r="W217">
        <f t="shared" si="76"/>
        <v>25337129.25</v>
      </c>
      <c r="X217" s="152">
        <f t="shared" si="70"/>
        <v>-0.64411716001153119</v>
      </c>
    </row>
    <row r="218" spans="1:24" ht="16.2" customHeight="1" x14ac:dyDescent="0.3">
      <c r="A218" s="57" t="s">
        <v>121</v>
      </c>
      <c r="B218" s="189">
        <f>VLOOKUP($A218,'Growth Analysis'!A:G,2,FALSE)</f>
        <v>0</v>
      </c>
      <c r="C218" s="189">
        <f>VLOOKUP(A218,'Growth Analysis'!A:G,4,FALSE)</f>
        <v>1</v>
      </c>
      <c r="D218" s="50">
        <f t="shared" si="62"/>
        <v>1</v>
      </c>
      <c r="E218" s="49">
        <f>VLOOKUP($A218,'Growth Analysis'!$A:$G,5,FALSE)</f>
        <v>0</v>
      </c>
      <c r="F218" s="49">
        <f>VLOOKUP($A218,'Growth Analysis'!$A:$G,6,FALSE)</f>
        <v>12432569.436000001</v>
      </c>
      <c r="G218" s="50">
        <f t="shared" si="63"/>
        <v>1</v>
      </c>
      <c r="H218" s="159">
        <f t="shared" si="64"/>
        <v>6.9658803549571381E-3</v>
      </c>
      <c r="I218" s="158">
        <f t="shared" si="65"/>
        <v>0</v>
      </c>
      <c r="J218" s="157">
        <v>0</v>
      </c>
      <c r="K218" s="162">
        <f>VLOOKUP($A218,[1]Notes!$A:$G,3,FALSE)</f>
        <v>10027258.064516129</v>
      </c>
      <c r="L218" s="161">
        <f>VLOOKUP($A218,[1]Notes!$A:$G,5,FALSE)</f>
        <v>6016354.8387096785</v>
      </c>
      <c r="M218" s="161">
        <f>VLOOKUP($A218,[1]Notes!$A:$G,7,FALSE)</f>
        <v>6417445.1612903234</v>
      </c>
      <c r="N218" s="154">
        <f t="shared" si="66"/>
        <v>22461058.064516131</v>
      </c>
      <c r="O218" s="45">
        <f t="shared" si="74"/>
        <v>9403938.4791921359</v>
      </c>
      <c r="P218" s="45">
        <f t="shared" si="67"/>
        <v>5642363.0875152815</v>
      </c>
      <c r="Q218" s="45">
        <f t="shared" si="68"/>
        <v>6018520.6266829669</v>
      </c>
      <c r="R218" s="45">
        <f t="shared" si="69"/>
        <v>21064822.193390384</v>
      </c>
      <c r="S218" s="153">
        <f t="shared" si="75"/>
        <v>-6.216251554647434E-2</v>
      </c>
      <c r="T218">
        <f>VLOOKUP($A218,'[2]All month (2)'!$E:$Y,8,FALSE)</f>
        <v>0</v>
      </c>
      <c r="U218">
        <f>VLOOKUP($A218,'[2]All month (2)'!$E:$Y,14,FALSE)</f>
        <v>2036189.76</v>
      </c>
      <c r="V218">
        <f>VLOOKUP($A218,'[2]All month (2)'!$E:$Y,20,FALSE)</f>
        <v>4519351.04</v>
      </c>
      <c r="W218">
        <f t="shared" si="76"/>
        <v>6555540.7999999998</v>
      </c>
      <c r="X218" s="152">
        <f t="shared" si="70"/>
        <v>2.213285194318428</v>
      </c>
    </row>
    <row r="219" spans="1:24" ht="16.2" customHeight="1" x14ac:dyDescent="0.3">
      <c r="A219" s="57" t="s">
        <v>120</v>
      </c>
      <c r="B219" s="189">
        <f>VLOOKUP($A219,'Growth Analysis'!A:G,2,FALSE)</f>
        <v>0</v>
      </c>
      <c r="C219" s="189">
        <f>VLOOKUP(A219,'Growth Analysis'!A:G,4,FALSE)</f>
        <v>1</v>
      </c>
      <c r="D219" s="50">
        <f t="shared" si="62"/>
        <v>1</v>
      </c>
      <c r="E219" s="49">
        <f>VLOOKUP($A219,'Growth Analysis'!$A:$G,5,FALSE)</f>
        <v>0</v>
      </c>
      <c r="F219" s="49">
        <f>VLOOKUP($A219,'Growth Analysis'!$A:$G,6,FALSE)</f>
        <v>6115312.7725726375</v>
      </c>
      <c r="G219" s="50">
        <f t="shared" si="63"/>
        <v>1</v>
      </c>
      <c r="H219" s="159">
        <f t="shared" si="64"/>
        <v>3.4263663135902555E-3</v>
      </c>
      <c r="I219" s="158">
        <f t="shared" si="65"/>
        <v>0</v>
      </c>
      <c r="J219" s="157">
        <v>0</v>
      </c>
      <c r="K219" s="162">
        <f>VLOOKUP($A219,[1]Notes!$A:$G,3,FALSE)</f>
        <v>3500080.6451612911</v>
      </c>
      <c r="L219" s="161">
        <f>VLOOKUP($A219,[1]Notes!$A:$G,5,FALSE)</f>
        <v>2100048.3870967748</v>
      </c>
      <c r="M219" s="161">
        <f>VLOOKUP($A219,[1]Notes!$A:$G,7,FALSE)</f>
        <v>2240051.6129032266</v>
      </c>
      <c r="N219" s="154">
        <f t="shared" si="66"/>
        <v>7840180.6451612916</v>
      </c>
      <c r="O219" s="45">
        <f t="shared" si="74"/>
        <v>4625594.5233468451</v>
      </c>
      <c r="P219" s="45">
        <f t="shared" si="67"/>
        <v>2775356.7140081069</v>
      </c>
      <c r="Q219" s="45">
        <f t="shared" si="68"/>
        <v>2960380.4949419806</v>
      </c>
      <c r="R219" s="45">
        <f t="shared" si="69"/>
        <v>10361331.732296932</v>
      </c>
      <c r="S219" s="153">
        <f t="shared" si="75"/>
        <v>0.32156798436673961</v>
      </c>
      <c r="T219">
        <f>VLOOKUP($A219,'[2]All month (2)'!$E:$Y,8,FALSE)</f>
        <v>0</v>
      </c>
      <c r="U219">
        <f>VLOOKUP($A219,'[2]All month (2)'!$E:$Y,14,FALSE)</f>
        <v>1950841.2</v>
      </c>
      <c r="V219">
        <f>VLOOKUP($A219,'[2]All month (2)'!$E:$Y,20,FALSE)</f>
        <v>2712369</v>
      </c>
      <c r="W219">
        <f t="shared" si="76"/>
        <v>4663210.2</v>
      </c>
      <c r="X219" s="152">
        <f t="shared" si="70"/>
        <v>1.2219310920826456</v>
      </c>
    </row>
    <row r="220" spans="1:24" ht="16.2" customHeight="1" x14ac:dyDescent="0.3">
      <c r="A220" s="57" t="s">
        <v>119</v>
      </c>
      <c r="B220" s="189">
        <f>VLOOKUP($A220,'Growth Analysis'!A:G,2,FALSE)</f>
        <v>0</v>
      </c>
      <c r="C220" s="189">
        <f>VLOOKUP(A220,'Growth Analysis'!A:G,4,FALSE)</f>
        <v>1</v>
      </c>
      <c r="D220" s="50">
        <f t="shared" si="62"/>
        <v>1</v>
      </c>
      <c r="E220" s="49">
        <f>VLOOKUP($A220,'Growth Analysis'!$A:$G,5,FALSE)</f>
        <v>0</v>
      </c>
      <c r="F220" s="49">
        <f>VLOOKUP($A220,'Growth Analysis'!$A:$G,6,FALSE)</f>
        <v>9472094.7094720304</v>
      </c>
      <c r="G220" s="50">
        <f t="shared" si="63"/>
        <v>1</v>
      </c>
      <c r="H220" s="159">
        <f t="shared" si="64"/>
        <v>5.3071473919097806E-3</v>
      </c>
      <c r="I220" s="158">
        <f t="shared" si="65"/>
        <v>0</v>
      </c>
      <c r="J220" s="157">
        <v>0</v>
      </c>
      <c r="K220" s="162">
        <f>VLOOKUP($A220,[1]Notes!$A:$G,3,FALSE)</f>
        <v>5250120.9677419355</v>
      </c>
      <c r="L220" s="161">
        <f>VLOOKUP($A220,[1]Notes!$A:$G,5,FALSE)</f>
        <v>3150072.5806451612</v>
      </c>
      <c r="M220" s="161">
        <f>VLOOKUP($A220,[1]Notes!$A:$G,7,FALSE)</f>
        <v>3360077.4193548388</v>
      </c>
      <c r="N220" s="154">
        <f t="shared" si="66"/>
        <v>11760270.967741936</v>
      </c>
      <c r="O220" s="45">
        <f t="shared" si="74"/>
        <v>7164648.9790782034</v>
      </c>
      <c r="P220" s="45">
        <f t="shared" si="67"/>
        <v>4298789.3874469223</v>
      </c>
      <c r="Q220" s="45">
        <f t="shared" si="68"/>
        <v>4585375.3466100506</v>
      </c>
      <c r="R220" s="45">
        <f t="shared" si="69"/>
        <v>16048813.713135175</v>
      </c>
      <c r="S220" s="153">
        <f t="shared" si="75"/>
        <v>0.36466359977219742</v>
      </c>
      <c r="T220">
        <f>VLOOKUP($A220,'[2]All month (2)'!$E:$Y,8,FALSE)</f>
        <v>0</v>
      </c>
      <c r="U220">
        <f>VLOOKUP($A220,'[2]All month (2)'!$E:$Y,14,FALSE)</f>
        <v>1773492</v>
      </c>
      <c r="V220">
        <f>VLOOKUP($A220,'[2]All month (2)'!$E:$Y,20,FALSE)</f>
        <v>2465790</v>
      </c>
      <c r="W220">
        <f t="shared" si="76"/>
        <v>4239282</v>
      </c>
      <c r="X220" s="152">
        <f t="shared" si="70"/>
        <v>2.7857386494069458</v>
      </c>
    </row>
    <row r="221" spans="1:24" ht="16.2" customHeight="1" x14ac:dyDescent="0.3">
      <c r="A221" s="57" t="s">
        <v>118</v>
      </c>
      <c r="B221" s="189">
        <f>VLOOKUP($A221,'Growth Analysis'!A:G,2,FALSE)</f>
        <v>640.42015800000013</v>
      </c>
      <c r="C221" s="189">
        <f>VLOOKUP(A221,'Growth Analysis'!A:G,4,FALSE)</f>
        <v>-0.47824396011594639</v>
      </c>
      <c r="D221" s="50">
        <f t="shared" si="62"/>
        <v>-1.0007467659381764</v>
      </c>
      <c r="E221" s="49">
        <f>VLOOKUP($A221,'Growth Analysis'!$A:$G,5,FALSE)</f>
        <v>15270782.1</v>
      </c>
      <c r="F221" s="49">
        <f>VLOOKUP($A221,'Growth Analysis'!$A:$G,6,FALSE)</f>
        <v>16271575.967955334</v>
      </c>
      <c r="G221" s="50">
        <f t="shared" si="63"/>
        <v>6.5536516820270424E-2</v>
      </c>
      <c r="H221" s="159">
        <f t="shared" si="64"/>
        <v>9.1168484489751716E-3</v>
      </c>
      <c r="I221" s="158">
        <f t="shared" si="65"/>
        <v>9.4921705668594685E-3</v>
      </c>
      <c r="J221" s="157">
        <v>627.86290000000008</v>
      </c>
      <c r="K221" s="162">
        <f>VLOOKUP($A221,[1]Notes!$A:$G,3,FALSE)</f>
        <v>8750201.6129032262</v>
      </c>
      <c r="L221" s="161">
        <f>VLOOKUP($A221,[1]Notes!$A:$G,5,FALSE)</f>
        <v>5250120.9677419364</v>
      </c>
      <c r="M221" s="161">
        <f>VLOOKUP($A221,[1]Notes!$A:$G,7,FALSE)</f>
        <v>5600129.0322580645</v>
      </c>
      <c r="N221" s="154">
        <f t="shared" si="66"/>
        <v>19600451.612903226</v>
      </c>
      <c r="O221" s="45">
        <f t="shared" si="74"/>
        <v>12307745.406116482</v>
      </c>
      <c r="P221" s="45">
        <f t="shared" si="67"/>
        <v>7384647.2436698889</v>
      </c>
      <c r="Q221" s="45">
        <f t="shared" si="68"/>
        <v>7876957.059914548</v>
      </c>
      <c r="R221" s="45">
        <f t="shared" si="69"/>
        <v>27569349.70970092</v>
      </c>
      <c r="S221" s="153">
        <f t="shared" si="75"/>
        <v>0.40656706560534905</v>
      </c>
      <c r="T221">
        <f>VLOOKUP($A221,'[2]All month (2)'!$E:$Y,8,FALSE)</f>
        <v>10677300</v>
      </c>
      <c r="U221">
        <f>VLOOKUP($A221,'[2]All month (2)'!$E:$Y,14,FALSE)</f>
        <v>2187306.7999999998</v>
      </c>
      <c r="V221">
        <f>VLOOKUP($A221,'[2]All month (2)'!$E:$Y,20,FALSE)</f>
        <v>3041141</v>
      </c>
      <c r="W221">
        <f t="shared" si="76"/>
        <v>15905747.800000001</v>
      </c>
      <c r="X221" s="152">
        <f t="shared" si="70"/>
        <v>0.73329478477591092</v>
      </c>
    </row>
    <row r="222" spans="1:24" ht="16.2" customHeight="1" x14ac:dyDescent="0.3">
      <c r="A222" s="57" t="s">
        <v>117</v>
      </c>
      <c r="B222" s="189">
        <f>VLOOKUP($A222,'Growth Analysis'!A:G,2,FALSE)</f>
        <v>0</v>
      </c>
      <c r="C222" s="189">
        <f>VLOOKUP(A222,'Growth Analysis'!A:G,4,FALSE)</f>
        <v>1</v>
      </c>
      <c r="D222" s="50">
        <f t="shared" si="62"/>
        <v>1</v>
      </c>
      <c r="E222" s="49">
        <f>VLOOKUP($A222,'Growth Analysis'!$A:$G,5,FALSE)</f>
        <v>0</v>
      </c>
      <c r="F222" s="49">
        <f>VLOOKUP($A222,'Growth Analysis'!$A:$G,6,FALSE)</f>
        <v>12202062.107655503</v>
      </c>
      <c r="G222" s="50">
        <f t="shared" si="63"/>
        <v>1</v>
      </c>
      <c r="H222" s="159">
        <f t="shared" si="64"/>
        <v>6.8367287360215434E-3</v>
      </c>
      <c r="I222" s="158">
        <f t="shared" si="65"/>
        <v>0</v>
      </c>
      <c r="J222" s="157">
        <v>0</v>
      </c>
      <c r="K222" s="162">
        <f>VLOOKUP($A222,[1]Notes!$A:$G,3,FALSE)</f>
        <v>5202822.5806451617</v>
      </c>
      <c r="L222" s="161">
        <f>VLOOKUP($A222,[1]Notes!$A:$G,5,FALSE)</f>
        <v>3121693.5483870972</v>
      </c>
      <c r="M222" s="161">
        <f>VLOOKUP($A222,[1]Notes!$A:$G,7,FALSE)</f>
        <v>3329806.4516129037</v>
      </c>
      <c r="N222" s="154">
        <f t="shared" si="66"/>
        <v>11654322.580645163</v>
      </c>
      <c r="O222" s="45">
        <f t="shared" si="74"/>
        <v>9229583.7936290838</v>
      </c>
      <c r="P222" s="45">
        <f t="shared" si="67"/>
        <v>5537750.2761774501</v>
      </c>
      <c r="Q222" s="45">
        <f t="shared" si="68"/>
        <v>5906933.6279226132</v>
      </c>
      <c r="R222" s="45">
        <f t="shared" si="69"/>
        <v>20674267.697729148</v>
      </c>
      <c r="S222" s="153">
        <f t="shared" si="75"/>
        <v>0.77395704938387389</v>
      </c>
      <c r="T222">
        <f>VLOOKUP($A222,'[2]All month (2)'!$E:$Y,8,FALSE)</f>
        <v>0</v>
      </c>
      <c r="U222">
        <f>VLOOKUP($A222,'[2]All month (2)'!$E:$Y,14,FALSE)</f>
        <v>3165000</v>
      </c>
      <c r="V222">
        <f>VLOOKUP($A222,'[2]All month (2)'!$E:$Y,20,FALSE)</f>
        <v>4975000</v>
      </c>
      <c r="W222">
        <f t="shared" si="76"/>
        <v>8140000</v>
      </c>
      <c r="X222" s="152">
        <f t="shared" si="70"/>
        <v>1.5398363265023522</v>
      </c>
    </row>
    <row r="223" spans="1:24" ht="16.2" customHeight="1" thickBot="1" x14ac:dyDescent="0.35">
      <c r="A223" s="160" t="s">
        <v>116</v>
      </c>
      <c r="B223" s="189">
        <f>VLOOKUP($A223,'Growth Analysis'!A:G,2,FALSE)</f>
        <v>0</v>
      </c>
      <c r="C223" s="189">
        <f>VLOOKUP(A223,'Growth Analysis'!A:G,4,FALSE)</f>
        <v>1</v>
      </c>
      <c r="D223" s="50">
        <f t="shared" si="62"/>
        <v>1</v>
      </c>
      <c r="E223" s="49">
        <f>VLOOKUP($A223,'Growth Analysis'!$A:$G,5,FALSE)</f>
        <v>0</v>
      </c>
      <c r="F223" s="49">
        <f>VLOOKUP($A223,'Growth Analysis'!$A:$G,6,FALSE)</f>
        <v>14884928.592344498</v>
      </c>
      <c r="G223" s="50">
        <f t="shared" si="63"/>
        <v>1</v>
      </c>
      <c r="H223" s="159">
        <f t="shared" si="64"/>
        <v>8.3399197728279105E-3</v>
      </c>
      <c r="I223" s="158">
        <f t="shared" si="65"/>
        <v>0</v>
      </c>
      <c r="J223" s="157">
        <v>0</v>
      </c>
      <c r="K223" s="156">
        <f>VLOOKUP($A223,[1]Notes!$A:$G,3,FALSE)</f>
        <v>5202822.5806451617</v>
      </c>
      <c r="L223" s="155">
        <f>VLOOKUP($A223,[1]Notes!$A:$G,5,FALSE)</f>
        <v>3121693.5483870972</v>
      </c>
      <c r="M223" s="155">
        <f>VLOOKUP($A223,[1]Notes!$A:$G,7,FALSE)</f>
        <v>3329806.4516129037</v>
      </c>
      <c r="N223" s="154">
        <f t="shared" si="66"/>
        <v>11654322.580645163</v>
      </c>
      <c r="O223" s="45">
        <f t="shared" si="74"/>
        <v>11258891.69331768</v>
      </c>
      <c r="P223" s="45">
        <f t="shared" si="67"/>
        <v>6755335.0159906074</v>
      </c>
      <c r="Q223" s="45">
        <f t="shared" si="68"/>
        <v>7205690.6837233147</v>
      </c>
      <c r="R223" s="45">
        <f t="shared" si="69"/>
        <v>25219917.393031605</v>
      </c>
      <c r="S223" s="153">
        <f t="shared" si="75"/>
        <v>1.1639968534005924</v>
      </c>
      <c r="X223" s="152">
        <f t="shared" si="70"/>
        <v>1</v>
      </c>
    </row>
    <row r="224" spans="1:24" ht="16.2" thickBot="1" x14ac:dyDescent="0.35">
      <c r="A224" s="56" t="s">
        <v>115</v>
      </c>
      <c r="B224" s="42">
        <f>SUM(B216:B223)</f>
        <v>1755.5886060000003</v>
      </c>
      <c r="C224" s="40">
        <f>SUM(C216:C223)</f>
        <v>4.5923176219850568</v>
      </c>
      <c r="D224" s="41">
        <f t="shared" si="62"/>
        <v>-0.99738417211965824</v>
      </c>
      <c r="E224" s="40">
        <f>SUM(E216:E223)</f>
        <v>47682914.100000001</v>
      </c>
      <c r="F224" s="40">
        <f>SUM(F216:F223)</f>
        <v>84830053.68599999</v>
      </c>
      <c r="G224" s="151">
        <f t="shared" si="63"/>
        <v>0.77904507908420784</v>
      </c>
      <c r="H224" s="150">
        <f t="shared" si="64"/>
        <v>4.7529676590439808E-2</v>
      </c>
      <c r="I224" s="150">
        <f t="shared" si="65"/>
        <v>2.9639238566707617E-2</v>
      </c>
      <c r="J224" s="42">
        <f>SUM(J216:J223)</f>
        <v>1721.1653000000001</v>
      </c>
      <c r="K224" s="165">
        <f>SUM(K216:K223)</f>
        <v>46873925.806451611</v>
      </c>
      <c r="L224" s="165">
        <f>SUM(L216:L223)</f>
        <v>28124355.483870968</v>
      </c>
      <c r="M224" s="165">
        <f>SUM(M216:M223)</f>
        <v>29999312.516129036</v>
      </c>
      <c r="N224" s="36">
        <f t="shared" si="66"/>
        <v>104997593.8064516</v>
      </c>
      <c r="O224" s="36">
        <f t="shared" si="74"/>
        <v>64165063.397093743</v>
      </c>
      <c r="P224" s="36">
        <f t="shared" si="67"/>
        <v>38499038.038256243</v>
      </c>
      <c r="Q224" s="36">
        <f t="shared" si="68"/>
        <v>41065640.574139997</v>
      </c>
      <c r="R224" s="148">
        <f t="shared" si="69"/>
        <v>143729742.00948998</v>
      </c>
      <c r="S224" s="41"/>
      <c r="T224" s="42">
        <f>SUM(T216:T223)</f>
        <v>26795700</v>
      </c>
      <c r="U224" s="42">
        <f>SUM(U216:U223)</f>
        <v>15439733</v>
      </c>
      <c r="V224" s="42">
        <f>SUM(V216:V223)</f>
        <v>27317272</v>
      </c>
      <c r="W224" s="147">
        <f>SUM(W216:W223)</f>
        <v>69552705</v>
      </c>
      <c r="X224" s="146">
        <f t="shared" si="70"/>
        <v>1.0664867313139006</v>
      </c>
    </row>
    <row r="225" spans="1:24" ht="16.2" customHeight="1" x14ac:dyDescent="0.3">
      <c r="A225" s="58" t="s">
        <v>114</v>
      </c>
      <c r="B225" s="189">
        <f>VLOOKUP($A225,'Growth Analysis'!A:G,2,FALSE)</f>
        <v>0</v>
      </c>
      <c r="C225" s="189">
        <f>VLOOKUP(A225,'Growth Analysis'!A:G,4,FALSE)</f>
        <v>1</v>
      </c>
      <c r="D225" s="50">
        <f t="shared" si="62"/>
        <v>1</v>
      </c>
      <c r="E225" s="49">
        <f>VLOOKUP($A225,'Growth Analysis'!$A:$G,5,FALSE)</f>
        <v>0</v>
      </c>
      <c r="F225" s="49">
        <f>VLOOKUP($A225,'Growth Analysis'!$A:$G,6,FALSE)</f>
        <v>1454970.681818181</v>
      </c>
      <c r="G225" s="50">
        <f t="shared" si="63"/>
        <v>1</v>
      </c>
      <c r="H225" s="159">
        <f t="shared" si="64"/>
        <v>8.15209739361544E-4</v>
      </c>
      <c r="I225" s="158">
        <f t="shared" si="65"/>
        <v>0</v>
      </c>
      <c r="J225" s="157">
        <v>0</v>
      </c>
      <c r="K225" s="164">
        <f>VLOOKUP($A225,[1]Notes!$A:$G,3,FALSE)</f>
        <v>1324800</v>
      </c>
      <c r="L225" s="163">
        <f>VLOOKUP($A225,[1]Notes!$A:$G,5,FALSE)</f>
        <v>794880</v>
      </c>
      <c r="M225" s="163">
        <f>VLOOKUP($A225,[1]Notes!$A:$G,7,FALSE)</f>
        <v>847872</v>
      </c>
      <c r="N225" s="154">
        <f t="shared" si="66"/>
        <v>2967552</v>
      </c>
      <c r="O225" s="45">
        <f t="shared" si="74"/>
        <v>1100533.1481380844</v>
      </c>
      <c r="P225" s="45">
        <f t="shared" si="67"/>
        <v>660319.88888285065</v>
      </c>
      <c r="Q225" s="45">
        <f t="shared" si="68"/>
        <v>704341.21480837406</v>
      </c>
      <c r="R225" s="45">
        <f t="shared" si="69"/>
        <v>2465194.2518293094</v>
      </c>
      <c r="S225" s="153">
        <f>R225/N225-1</f>
        <v>-0.16928355363973091</v>
      </c>
      <c r="T225">
        <f>VLOOKUP($A225,'[2]All month (2)'!$E:$Y,8,FALSE)</f>
        <v>0</v>
      </c>
      <c r="U225">
        <f>VLOOKUP($A225,'[2]All month (2)'!$E:$Y,14,FALSE)</f>
        <v>140464.79999999999</v>
      </c>
      <c r="V225">
        <f>VLOOKUP($A225,'[2]All month (2)'!$E:$Y,20,FALSE)</f>
        <v>227580</v>
      </c>
      <c r="W225">
        <f>SUM(T225:V225)</f>
        <v>368044.79999999999</v>
      </c>
      <c r="X225" s="152">
        <f t="shared" si="70"/>
        <v>5.6980820047703684</v>
      </c>
    </row>
    <row r="226" spans="1:24" ht="16.2" customHeight="1" x14ac:dyDescent="0.3">
      <c r="A226" s="57" t="s">
        <v>113</v>
      </c>
      <c r="B226" s="189">
        <f>VLOOKUP($A226,'Growth Analysis'!A:G,2,FALSE)</f>
        <v>350.49005400000004</v>
      </c>
      <c r="C226" s="189">
        <f>VLOOKUP(A226,'Growth Analysis'!A:G,4,FALSE)</f>
        <v>-0.62740287346356483</v>
      </c>
      <c r="D226" s="50">
        <f t="shared" si="62"/>
        <v>-1.0017900732597209</v>
      </c>
      <c r="E226" s="49">
        <f>VLOOKUP($A226,'Growth Analysis'!$A:$G,5,FALSE)</f>
        <v>9087261.5999999996</v>
      </c>
      <c r="F226" s="49">
        <f>VLOOKUP($A226,'Growth Analysis'!$A:$G,6,FALSE)</f>
        <v>4364912.0454545468</v>
      </c>
      <c r="G226" s="50">
        <f t="shared" si="63"/>
        <v>-0.51966695385389294</v>
      </c>
      <c r="H226" s="159">
        <f t="shared" si="64"/>
        <v>2.4456292180846345E-3</v>
      </c>
      <c r="I226" s="158">
        <f t="shared" si="65"/>
        <v>5.6485539855140928E-3</v>
      </c>
      <c r="J226" s="157">
        <v>343.61770000000001</v>
      </c>
      <c r="K226" s="162">
        <f>VLOOKUP($A226,[1]Notes!$A:$G,3,FALSE)</f>
        <v>3974400</v>
      </c>
      <c r="L226" s="161">
        <f>VLOOKUP($A226,[1]Notes!$A:$G,5,FALSE)</f>
        <v>2384640</v>
      </c>
      <c r="M226" s="161">
        <f>VLOOKUP($A226,[1]Notes!$A:$G,7,FALSE)</f>
        <v>2543616</v>
      </c>
      <c r="N226" s="154">
        <f t="shared" si="66"/>
        <v>8902656</v>
      </c>
      <c r="O226" s="45">
        <f t="shared" si="74"/>
        <v>3301599.4444142566</v>
      </c>
      <c r="P226" s="45">
        <f t="shared" si="67"/>
        <v>1980959.6666485539</v>
      </c>
      <c r="Q226" s="45">
        <f t="shared" si="68"/>
        <v>2113023.6444251244</v>
      </c>
      <c r="R226" s="45">
        <f t="shared" si="69"/>
        <v>7395582.7554879356</v>
      </c>
      <c r="S226" s="153">
        <f>R226/N226-1</f>
        <v>-0.16928355363973002</v>
      </c>
      <c r="T226">
        <f>VLOOKUP($A226,'[2]All month (2)'!$E:$Y,8,FALSE)</f>
        <v>3650000</v>
      </c>
      <c r="U226">
        <f>VLOOKUP($A226,'[2]All month (2)'!$E:$Y,14,FALSE)</f>
        <v>795967.2</v>
      </c>
      <c r="V226">
        <f>VLOOKUP($A226,'[2]All month (2)'!$E:$Y,20,FALSE)</f>
        <v>1289620</v>
      </c>
      <c r="W226">
        <f>SUM(T226:V226)</f>
        <v>5735587.2000000002</v>
      </c>
      <c r="X226" s="152">
        <f t="shared" si="70"/>
        <v>0.28942033267107076</v>
      </c>
    </row>
    <row r="227" spans="1:24" ht="16.2" customHeight="1" x14ac:dyDescent="0.3">
      <c r="A227" s="57" t="s">
        <v>112</v>
      </c>
      <c r="B227" s="189">
        <f>VLOOKUP($A227,'Growth Analysis'!A:G,2,FALSE)</f>
        <v>0</v>
      </c>
      <c r="C227" s="189">
        <f>VLOOKUP(A227,'Growth Analysis'!A:G,4,FALSE)</f>
        <v>1</v>
      </c>
      <c r="D227" s="50">
        <f t="shared" si="62"/>
        <v>1</v>
      </c>
      <c r="E227" s="49">
        <f>VLOOKUP($A227,'Growth Analysis'!$A:$G,5,FALSE)</f>
        <v>0</v>
      </c>
      <c r="F227" s="49">
        <f>VLOOKUP($A227,'Growth Analysis'!$A:$G,6,FALSE)</f>
        <v>3394931.5909090913</v>
      </c>
      <c r="G227" s="50">
        <f t="shared" si="63"/>
        <v>1</v>
      </c>
      <c r="H227" s="159">
        <f t="shared" si="64"/>
        <v>1.9021560585102707E-3</v>
      </c>
      <c r="I227" s="158">
        <f t="shared" si="65"/>
        <v>0</v>
      </c>
      <c r="J227" s="157">
        <v>0</v>
      </c>
      <c r="K227" s="162">
        <f>VLOOKUP($A227,[1]Notes!$A:$G,3,FALSE)</f>
        <v>3091199.9999999995</v>
      </c>
      <c r="L227" s="161">
        <f>VLOOKUP($A227,[1]Notes!$A:$G,5,FALSE)</f>
        <v>1854720</v>
      </c>
      <c r="M227" s="161">
        <f>VLOOKUP($A227,[1]Notes!$A:$G,7,FALSE)</f>
        <v>1978368</v>
      </c>
      <c r="N227" s="154">
        <f t="shared" si="66"/>
        <v>6924288</v>
      </c>
      <c r="O227" s="45">
        <f t="shared" si="74"/>
        <v>2567910.6789888656</v>
      </c>
      <c r="P227" s="45">
        <f t="shared" si="67"/>
        <v>1540746.4073933193</v>
      </c>
      <c r="Q227" s="45">
        <f t="shared" si="68"/>
        <v>1643462.8345528739</v>
      </c>
      <c r="R227" s="45">
        <f t="shared" si="69"/>
        <v>5752119.920935059</v>
      </c>
      <c r="S227" s="153">
        <f>R227/N227-1</f>
        <v>-0.16928355363973036</v>
      </c>
      <c r="T227">
        <f>VLOOKUP($A227,'[2]All month (2)'!$E:$Y,8,FALSE)</f>
        <v>0</v>
      </c>
      <c r="U227">
        <f>VLOOKUP($A227,'[2]All month (2)'!$E:$Y,14,FALSE)</f>
        <v>1123718.3999999999</v>
      </c>
      <c r="V227">
        <f>VLOOKUP($A227,'[2]All month (2)'!$E:$Y,20,FALSE)</f>
        <v>1820640</v>
      </c>
      <c r="W227">
        <f>SUM(T227:V227)</f>
        <v>2944358.3999999999</v>
      </c>
      <c r="X227" s="152">
        <f t="shared" si="70"/>
        <v>0.95360725139135882</v>
      </c>
    </row>
    <row r="228" spans="1:24" ht="16.2" customHeight="1" thickBot="1" x14ac:dyDescent="0.35">
      <c r="A228" s="59" t="s">
        <v>111</v>
      </c>
      <c r="B228" s="189">
        <f>VLOOKUP($A228,'Growth Analysis'!A:G,2,FALSE)</f>
        <v>0</v>
      </c>
      <c r="C228" s="189">
        <f>VLOOKUP(A228,'Growth Analysis'!A:G,4,FALSE)</f>
        <v>1</v>
      </c>
      <c r="D228" s="50">
        <f t="shared" si="62"/>
        <v>1</v>
      </c>
      <c r="E228" s="49">
        <f>VLOOKUP($A228,'Growth Analysis'!$A:$G,5,FALSE)</f>
        <v>0</v>
      </c>
      <c r="F228" s="49">
        <f>VLOOKUP($A228,'Growth Analysis'!$A:$G,6,FALSE)</f>
        <v>1454970.681818181</v>
      </c>
      <c r="G228" s="50">
        <f t="shared" si="63"/>
        <v>1</v>
      </c>
      <c r="H228" s="159">
        <f t="shared" si="64"/>
        <v>8.15209739361544E-4</v>
      </c>
      <c r="I228" s="158">
        <f t="shared" si="65"/>
        <v>0</v>
      </c>
      <c r="J228" s="157">
        <v>0</v>
      </c>
      <c r="K228" s="156">
        <f>VLOOKUP($A228,[1]Notes!$A:$G,3,FALSE)</f>
        <v>1324800</v>
      </c>
      <c r="L228" s="155">
        <f>VLOOKUP($A228,[1]Notes!$A:$G,5,FALSE)</f>
        <v>794880</v>
      </c>
      <c r="M228" s="155">
        <f>VLOOKUP($A228,[1]Notes!$A:$G,7,FALSE)</f>
        <v>847872</v>
      </c>
      <c r="N228" s="154">
        <f t="shared" si="66"/>
        <v>2967552</v>
      </c>
      <c r="O228" s="45">
        <f t="shared" si="74"/>
        <v>1100533.1481380844</v>
      </c>
      <c r="P228" s="45">
        <f t="shared" si="67"/>
        <v>660319.88888285065</v>
      </c>
      <c r="Q228" s="45">
        <f t="shared" si="68"/>
        <v>704341.21480837406</v>
      </c>
      <c r="R228" s="45">
        <f t="shared" si="69"/>
        <v>2465194.2518293094</v>
      </c>
      <c r="S228" s="153">
        <f>R228/N228-1</f>
        <v>-0.16928355363973091</v>
      </c>
      <c r="T228">
        <f>VLOOKUP($A228,'[2]All month (2)'!$E:$Y,8,FALSE)</f>
        <v>0</v>
      </c>
      <c r="U228">
        <f>VLOOKUP($A228,'[2]All month (2)'!$E:$Y,14,FALSE)</f>
        <v>280929.59999999998</v>
      </c>
      <c r="V228">
        <f>VLOOKUP($A228,'[2]All month (2)'!$E:$Y,20,FALSE)</f>
        <v>455160</v>
      </c>
      <c r="W228">
        <f>SUM(T228:V228)</f>
        <v>736089.59999999998</v>
      </c>
      <c r="X228" s="152">
        <f t="shared" si="70"/>
        <v>2.3490410023851842</v>
      </c>
    </row>
    <row r="229" spans="1:24" ht="16.2" thickBot="1" x14ac:dyDescent="0.35">
      <c r="A229" s="56" t="s">
        <v>110</v>
      </c>
      <c r="B229" s="42">
        <f>SUM(B225:B228)</f>
        <v>350.49005400000004</v>
      </c>
      <c r="C229" s="40">
        <f>SUM(C225:C228)</f>
        <v>2.3725971265364354</v>
      </c>
      <c r="D229" s="41">
        <f t="shared" si="62"/>
        <v>-0.99323062923053318</v>
      </c>
      <c r="E229" s="40">
        <f>SUM(E225:E228)</f>
        <v>9087261.5999999996</v>
      </c>
      <c r="F229" s="40">
        <f>SUM(F225:F228)</f>
        <v>10669785</v>
      </c>
      <c r="G229" s="151">
        <f t="shared" si="63"/>
        <v>0.17414744613492808</v>
      </c>
      <c r="H229" s="150">
        <f t="shared" si="64"/>
        <v>5.978204755317993E-3</v>
      </c>
      <c r="I229" s="150">
        <f t="shared" si="65"/>
        <v>5.6485539855140928E-3</v>
      </c>
      <c r="J229" s="42">
        <f>SUM(J225:J228)</f>
        <v>343.61770000000001</v>
      </c>
      <c r="K229" s="149">
        <f>SUM(K225:K228)</f>
        <v>9715200</v>
      </c>
      <c r="L229" s="149">
        <f>SUM(L225:L228)</f>
        <v>5829120</v>
      </c>
      <c r="M229" s="149">
        <f>SUM(M225:M228)</f>
        <v>6217728</v>
      </c>
      <c r="N229" s="36">
        <f t="shared" si="66"/>
        <v>21762048</v>
      </c>
      <c r="O229" s="36">
        <f t="shared" si="74"/>
        <v>8070576.4196792906</v>
      </c>
      <c r="P229" s="36">
        <f t="shared" si="67"/>
        <v>4842345.8518075747</v>
      </c>
      <c r="Q229" s="36">
        <f t="shared" si="68"/>
        <v>5165168.9085947461</v>
      </c>
      <c r="R229" s="148">
        <f t="shared" si="69"/>
        <v>18078091.180081613</v>
      </c>
      <c r="S229" s="41"/>
      <c r="T229" s="42">
        <f>SUM(T225:T228)</f>
        <v>3650000</v>
      </c>
      <c r="U229" s="42">
        <f>SUM(U225:U228)</f>
        <v>2341080</v>
      </c>
      <c r="V229" s="42">
        <f>SUM(V225:V228)</f>
        <v>3793000</v>
      </c>
      <c r="W229" s="147">
        <f>SUM(W225:W228)</f>
        <v>9784080</v>
      </c>
      <c r="X229" s="146">
        <f t="shared" si="70"/>
        <v>0.84770475916811938</v>
      </c>
    </row>
    <row r="230" spans="1:24" ht="16.2" customHeight="1" thickBot="1" x14ac:dyDescent="0.35">
      <c r="A230" s="65" t="s">
        <v>109</v>
      </c>
      <c r="B230" s="34">
        <f>B229+B224+B215</f>
        <v>3821.3490630000001</v>
      </c>
      <c r="C230" s="32">
        <f>C229+C224+C215</f>
        <v>8.3404614229133678</v>
      </c>
      <c r="D230" s="33">
        <f t="shared" si="62"/>
        <v>-0.99781740393630369</v>
      </c>
      <c r="E230" s="32">
        <f>E229+E224+E215</f>
        <v>112014385.5</v>
      </c>
      <c r="F230" s="32">
        <f>F229+F224+F215</f>
        <v>134806271.92551348</v>
      </c>
      <c r="G230" s="145">
        <f t="shared" si="63"/>
        <v>0.20347285148936051</v>
      </c>
      <c r="H230" s="144">
        <f t="shared" si="64"/>
        <v>7.5530996723157509E-2</v>
      </c>
      <c r="I230" s="144">
        <f t="shared" si="65"/>
        <v>6.9627059448903406E-2</v>
      </c>
      <c r="J230" s="34">
        <f>J229+J224+J215</f>
        <v>3746.42065</v>
      </c>
      <c r="K230" s="167">
        <f>K229+K224+K215</f>
        <v>89709125.806451619</v>
      </c>
      <c r="L230" s="167">
        <f>L229+L224+L215</f>
        <v>53825475.483870968</v>
      </c>
      <c r="M230" s="167">
        <f>M229+M224+M215</f>
        <v>57413840.516129032</v>
      </c>
      <c r="N230" s="28">
        <f t="shared" si="66"/>
        <v>200948441.80645162</v>
      </c>
      <c r="O230" s="28">
        <f t="shared" si="74"/>
        <v>101966845.57626264</v>
      </c>
      <c r="P230" s="28">
        <f t="shared" si="67"/>
        <v>61180107.345757581</v>
      </c>
      <c r="Q230" s="28">
        <f t="shared" si="68"/>
        <v>65258781.168808088</v>
      </c>
      <c r="R230" s="143">
        <f t="shared" si="69"/>
        <v>228405734.0908283</v>
      </c>
      <c r="S230" s="142"/>
      <c r="T230" s="34">
        <f>T229+T224+T215</f>
        <v>62358100</v>
      </c>
      <c r="U230" s="34">
        <f>U229+U224+U215</f>
        <v>29318763</v>
      </c>
      <c r="V230" s="34">
        <f>V229+V224+V215</f>
        <v>46155922</v>
      </c>
      <c r="W230" s="141">
        <f>W229+W224+W215</f>
        <v>137832785</v>
      </c>
      <c r="X230" s="140">
        <f t="shared" si="70"/>
        <v>0.65712195462660283</v>
      </c>
    </row>
    <row r="231" spans="1:24" ht="16.2" customHeight="1" x14ac:dyDescent="0.3">
      <c r="A231" s="58" t="s">
        <v>108</v>
      </c>
      <c r="B231" s="189">
        <f>VLOOKUP($A231,'Growth Analysis'!A:G,2,FALSE)</f>
        <v>565.28813100000002</v>
      </c>
      <c r="C231" s="189">
        <f>VLOOKUP(A231,'Growth Analysis'!A:G,4,FALSE)</f>
        <v>-0.81717797193587283</v>
      </c>
      <c r="D231" s="50">
        <f t="shared" si="62"/>
        <v>-1.0014455954886055</v>
      </c>
      <c r="E231" s="49">
        <f>VLOOKUP($A231,'Growth Analysis'!$A:$G,5,FALSE)</f>
        <v>27198300</v>
      </c>
      <c r="F231" s="49">
        <f>VLOOKUP($A231,'Growth Analysis'!$A:$G,6,FALSE)</f>
        <v>8006382.6459497828</v>
      </c>
      <c r="G231" s="50">
        <f t="shared" si="63"/>
        <v>-0.70562929867124857</v>
      </c>
      <c r="H231" s="159">
        <f t="shared" si="64"/>
        <v>4.4859193326681323E-3</v>
      </c>
      <c r="I231" s="158">
        <f t="shared" si="65"/>
        <v>1.6906200418419556E-2</v>
      </c>
      <c r="J231" s="157">
        <v>554.20405000000005</v>
      </c>
      <c r="K231" s="164">
        <f>VLOOKUP($A231,[1]Notes!$A:$G,3,FALSE)</f>
        <v>4977355.9322033906</v>
      </c>
      <c r="L231" s="163">
        <f>VLOOKUP($A231,[1]Notes!$A:$G,5,FALSE)</f>
        <v>2986413.5593220345</v>
      </c>
      <c r="M231" s="163">
        <f>VLOOKUP($A231,[1]Notes!$A:$G,7,FALSE)</f>
        <v>3185507.79661017</v>
      </c>
      <c r="N231" s="154">
        <f t="shared" si="66"/>
        <v>11149277.288135596</v>
      </c>
      <c r="O231" s="45">
        <f t="shared" si="74"/>
        <v>6055991.0991019784</v>
      </c>
      <c r="P231" s="45">
        <f t="shared" si="67"/>
        <v>3633594.6594611872</v>
      </c>
      <c r="Q231" s="45">
        <f t="shared" si="68"/>
        <v>3875834.3034252664</v>
      </c>
      <c r="R231" s="45">
        <f t="shared" si="69"/>
        <v>13565420.061988432</v>
      </c>
      <c r="S231" s="153">
        <f t="shared" ref="S231:S236" si="77">R231/N231-1</f>
        <v>0.21670846561722468</v>
      </c>
      <c r="T231">
        <f>VLOOKUP($A231,'[2]All month (2)'!$E:$Y,8,FALSE)</f>
        <v>10000000</v>
      </c>
      <c r="U231">
        <f>VLOOKUP($A231,'[2]All month (2)'!$E:$Y,14,FALSE)</f>
        <v>0</v>
      </c>
      <c r="V231">
        <f>VLOOKUP($A231,'[2]All month (2)'!$E:$Y,20,FALSE)</f>
        <v>6500000</v>
      </c>
      <c r="W231">
        <f>SUM(T231:V231)</f>
        <v>16500000</v>
      </c>
      <c r="X231" s="152">
        <f t="shared" si="70"/>
        <v>-0.17785332957645866</v>
      </c>
    </row>
    <row r="232" spans="1:24" ht="16.2" customHeight="1" x14ac:dyDescent="0.3">
      <c r="A232" s="57" t="s">
        <v>107</v>
      </c>
      <c r="B232" s="189">
        <f>VLOOKUP($A232,'Growth Analysis'!A:G,2,FALSE)</f>
        <v>0</v>
      </c>
      <c r="C232" s="189">
        <f>VLOOKUP(A232,'Growth Analysis'!A:G,4,FALSE)</f>
        <v>1</v>
      </c>
      <c r="D232" s="50">
        <f t="shared" si="62"/>
        <v>1</v>
      </c>
      <c r="E232" s="49">
        <f>VLOOKUP($A232,'Growth Analysis'!$A:$G,5,FALSE)</f>
        <v>0</v>
      </c>
      <c r="F232" s="49">
        <f>VLOOKUP($A232,'Growth Analysis'!$A:$G,6,FALSE)</f>
        <v>5486929.2296397388</v>
      </c>
      <c r="G232" s="50">
        <f t="shared" si="63"/>
        <v>1</v>
      </c>
      <c r="H232" s="159">
        <f t="shared" si="64"/>
        <v>3.0742874774632835E-3</v>
      </c>
      <c r="I232" s="158">
        <f t="shared" si="65"/>
        <v>0</v>
      </c>
      <c r="J232" s="157">
        <v>0</v>
      </c>
      <c r="K232" s="162">
        <f>VLOOKUP($A232,[1]Notes!$A:$G,3,FALSE)</f>
        <v>3555254.2372881351</v>
      </c>
      <c r="L232" s="161">
        <f>VLOOKUP($A232,[1]Notes!$A:$G,5,FALSE)</f>
        <v>2133152.5423728814</v>
      </c>
      <c r="M232" s="161">
        <f>VLOOKUP($A232,[1]Notes!$A:$G,7,FALSE)</f>
        <v>2275362.7118644067</v>
      </c>
      <c r="N232" s="154">
        <f t="shared" si="66"/>
        <v>7963769.4915254228</v>
      </c>
      <c r="O232" s="45">
        <f t="shared" si="74"/>
        <v>4150288.0945754326</v>
      </c>
      <c r="P232" s="45">
        <f t="shared" si="67"/>
        <v>2490172.8567452598</v>
      </c>
      <c r="Q232" s="45">
        <f t="shared" si="68"/>
        <v>2656184.3805282768</v>
      </c>
      <c r="R232" s="45">
        <f t="shared" si="69"/>
        <v>9296645.3318489697</v>
      </c>
      <c r="S232" s="153">
        <f t="shared" si="77"/>
        <v>0.16736745604476821</v>
      </c>
      <c r="T232">
        <f>VLOOKUP($A232,'[2]All month (2)'!$E:$Y,8,FALSE)</f>
        <v>0</v>
      </c>
      <c r="U232">
        <f>VLOOKUP($A232,'[2]All month (2)'!$E:$Y,14,FALSE)</f>
        <v>0</v>
      </c>
      <c r="V232">
        <f>VLOOKUP($A232,'[2]All month (2)'!$E:$Y,20,FALSE)</f>
        <v>1100000</v>
      </c>
      <c r="W232">
        <f>SUM(T232:V232)</f>
        <v>1100000</v>
      </c>
      <c r="X232" s="152">
        <f t="shared" si="70"/>
        <v>7.4514957562263362</v>
      </c>
    </row>
    <row r="233" spans="1:24" ht="16.2" customHeight="1" x14ac:dyDescent="0.3">
      <c r="A233" s="57" t="s">
        <v>106</v>
      </c>
      <c r="B233" s="189">
        <f>VLOOKUP($A233,'Growth Analysis'!A:G,2,FALSE)</f>
        <v>0</v>
      </c>
      <c r="C233" s="189">
        <f>VLOOKUP(A233,'Growth Analysis'!A:G,4,FALSE)</f>
        <v>1</v>
      </c>
      <c r="D233" s="50">
        <f t="shared" si="62"/>
        <v>1</v>
      </c>
      <c r="E233" s="49">
        <f>VLOOKUP($A233,'Growth Analysis'!$A:$G,5,FALSE)</f>
        <v>0</v>
      </c>
      <c r="F233" s="49">
        <f>VLOOKUP($A233,'Growth Analysis'!$A:$G,6,FALSE)</f>
        <v>8871852.9744104818</v>
      </c>
      <c r="G233" s="50">
        <f t="shared" si="63"/>
        <v>1</v>
      </c>
      <c r="H233" s="159">
        <f t="shared" si="64"/>
        <v>4.9708362108611213E-3</v>
      </c>
      <c r="I233" s="158">
        <f t="shared" si="65"/>
        <v>0</v>
      </c>
      <c r="J233" s="157">
        <v>0</v>
      </c>
      <c r="K233" s="162">
        <f>VLOOKUP($A233,[1]Notes!$A:$G,3,FALSE)</f>
        <v>5688406.7796610175</v>
      </c>
      <c r="L233" s="161">
        <f>VLOOKUP($A233,[1]Notes!$A:$G,5,FALSE)</f>
        <v>3413044.0677966112</v>
      </c>
      <c r="M233" s="161">
        <f>VLOOKUP($A233,[1]Notes!$A:$G,7,FALSE)</f>
        <v>3640580.3389830515</v>
      </c>
      <c r="N233" s="154">
        <f t="shared" si="66"/>
        <v>12742031.18644068</v>
      </c>
      <c r="O233" s="45">
        <f t="shared" si="74"/>
        <v>6710628.8846625136</v>
      </c>
      <c r="P233" s="45">
        <f t="shared" si="67"/>
        <v>4026377.3307975084</v>
      </c>
      <c r="Q233" s="45">
        <f t="shared" si="68"/>
        <v>4294802.4861840084</v>
      </c>
      <c r="R233" s="45">
        <f t="shared" si="69"/>
        <v>15031808.701644029</v>
      </c>
      <c r="S233" s="153">
        <f t="shared" si="77"/>
        <v>0.17970270843788194</v>
      </c>
      <c r="T233">
        <f>VLOOKUP($A233,'[2]All month (2)'!$E:$Y,8,FALSE)</f>
        <v>0</v>
      </c>
      <c r="U233">
        <f>VLOOKUP($A233,'[2]All month (2)'!$E:$Y,14,FALSE)</f>
        <v>0</v>
      </c>
      <c r="V233">
        <f>VLOOKUP($A233,'[2]All month (2)'!$E:$Y,20,FALSE)</f>
        <v>2400000</v>
      </c>
      <c r="W233">
        <f>SUM(T233:V233)</f>
        <v>2400000</v>
      </c>
      <c r="X233" s="152">
        <f t="shared" si="70"/>
        <v>5.263253625685012</v>
      </c>
    </row>
    <row r="234" spans="1:24" ht="16.2" customHeight="1" x14ac:dyDescent="0.3">
      <c r="A234" s="57" t="s">
        <v>105</v>
      </c>
      <c r="B234" s="189">
        <f>VLOOKUP($A234,'Growth Analysis'!A:G,2,FALSE)</f>
        <v>168.52338</v>
      </c>
      <c r="C234" s="189">
        <f>VLOOKUP(A234,'Growth Analysis'!A:G,4,FALSE)</f>
        <v>-0.75585123559710221</v>
      </c>
      <c r="D234" s="50">
        <f t="shared" si="62"/>
        <v>-1.004485141679434</v>
      </c>
      <c r="E234" s="49">
        <f>VLOOKUP($A234,'Growth Analysis'!$A:$G,5,FALSE)</f>
        <v>4966910.4101999998</v>
      </c>
      <c r="F234" s="49">
        <f>VLOOKUP($A234,'Growth Analysis'!$A:$G,6,FALSE)</f>
        <v>1946847</v>
      </c>
      <c r="G234" s="50">
        <f t="shared" si="63"/>
        <v>-0.60803661849789492</v>
      </c>
      <c r="H234" s="159">
        <f t="shared" si="64"/>
        <v>1.0908045469778978E-3</v>
      </c>
      <c r="I234" s="158">
        <f t="shared" si="65"/>
        <v>3.0873835076153907E-3</v>
      </c>
      <c r="J234" s="157">
        <v>165.21899999999999</v>
      </c>
      <c r="K234" s="162">
        <f>VLOOKUP($A234,[1]Notes!$A:$G,3,FALSE)</f>
        <v>2432542.3728813557</v>
      </c>
      <c r="L234" s="161">
        <f>VLOOKUP($A234,[1]Notes!$A:$G,5,FALSE)</f>
        <v>1459525.4237288134</v>
      </c>
      <c r="M234" s="161">
        <f>VLOOKUP($A234,[1]Notes!$A:$G,7,FALSE)</f>
        <v>1556827.1186440678</v>
      </c>
      <c r="N234" s="154">
        <f t="shared" si="66"/>
        <v>5448894.9152542371</v>
      </c>
      <c r="O234" s="45">
        <f t="shared" si="74"/>
        <v>1472586.138420162</v>
      </c>
      <c r="P234" s="45">
        <f t="shared" si="67"/>
        <v>883551.68305209721</v>
      </c>
      <c r="Q234" s="45">
        <f t="shared" si="68"/>
        <v>942455.1285889037</v>
      </c>
      <c r="R234" s="45">
        <f t="shared" si="69"/>
        <v>3298592.9500611629</v>
      </c>
      <c r="S234" s="153">
        <f t="shared" si="77"/>
        <v>-0.39463083774533469</v>
      </c>
      <c r="T234">
        <f>VLOOKUP($A234,'[2]All month (2)'!$E:$Y,8,FALSE)</f>
        <v>3167281.02</v>
      </c>
      <c r="U234">
        <f>VLOOKUP($A234,'[2]All month (2)'!$E:$Y,14,FALSE)</f>
        <v>1649750.03</v>
      </c>
      <c r="V234">
        <f>VLOOKUP($A234,'[2]All month (2)'!$E:$Y,20,FALSE)</f>
        <v>2298140.0099999998</v>
      </c>
      <c r="W234">
        <f>SUM(T234:V234)</f>
        <v>7115171.0599999996</v>
      </c>
      <c r="X234" s="152">
        <f t="shared" si="70"/>
        <v>-0.53640004966217025</v>
      </c>
    </row>
    <row r="235" spans="1:24" ht="16.2" customHeight="1" x14ac:dyDescent="0.3">
      <c r="A235" s="166" t="s">
        <v>104</v>
      </c>
      <c r="B235" s="189">
        <f>VLOOKUP($A235,'Growth Analysis'!A:G,2,FALSE)</f>
        <v>0</v>
      </c>
      <c r="C235" s="189">
        <f>VLOOKUP(A235,'Growth Analysis'!A:G,4,FALSE)</f>
        <v>1</v>
      </c>
      <c r="D235" s="50">
        <f t="shared" si="62"/>
        <v>1</v>
      </c>
      <c r="E235" s="49">
        <f>VLOOKUP($A235,'Growth Analysis'!$A:$G,5,FALSE)</f>
        <v>0</v>
      </c>
      <c r="F235" s="49">
        <f>VLOOKUP($A235,'Growth Analysis'!$A:$G,6,FALSE)</f>
        <v>1946847</v>
      </c>
      <c r="G235" s="50">
        <f t="shared" si="63"/>
        <v>1</v>
      </c>
      <c r="H235" s="159">
        <f t="shared" si="64"/>
        <v>1.0908045469778978E-3</v>
      </c>
      <c r="I235" s="158">
        <f t="shared" si="65"/>
        <v>0</v>
      </c>
      <c r="J235" s="157">
        <v>0</v>
      </c>
      <c r="K235" s="162">
        <f>VLOOKUP($A235,[1]Notes!$A:$G,3,FALSE)</f>
        <v>2432542.3728813557</v>
      </c>
      <c r="L235" s="161">
        <f>VLOOKUP($A235,[1]Notes!$A:$G,5,FALSE)</f>
        <v>1459525.4237288134</v>
      </c>
      <c r="M235" s="161">
        <f>VLOOKUP($A235,[1]Notes!$A:$G,7,FALSE)</f>
        <v>1556827.1186440678</v>
      </c>
      <c r="N235" s="154">
        <f t="shared" si="66"/>
        <v>5448894.9152542371</v>
      </c>
      <c r="O235" s="45">
        <f t="shared" si="74"/>
        <v>1472586.138420162</v>
      </c>
      <c r="P235" s="45">
        <f t="shared" si="67"/>
        <v>883551.68305209721</v>
      </c>
      <c r="Q235" s="45">
        <f t="shared" si="68"/>
        <v>942455.1285889037</v>
      </c>
      <c r="R235" s="45">
        <f t="shared" si="69"/>
        <v>3298592.9500611629</v>
      </c>
      <c r="S235" s="153">
        <f t="shared" si="77"/>
        <v>-0.39463083774533469</v>
      </c>
      <c r="X235" s="152">
        <f t="shared" si="70"/>
        <v>1</v>
      </c>
    </row>
    <row r="236" spans="1:24" ht="16.2" customHeight="1" x14ac:dyDescent="0.3">
      <c r="A236" s="57" t="s">
        <v>103</v>
      </c>
      <c r="B236" s="189">
        <f>VLOOKUP($A236,'Growth Analysis'!A:G,2,FALSE)</f>
        <v>0</v>
      </c>
      <c r="C236" s="189">
        <f>VLOOKUP(A236,'Growth Analysis'!A:G,4,FALSE)</f>
        <v>1</v>
      </c>
      <c r="D236" s="50">
        <f t="shared" si="62"/>
        <v>1</v>
      </c>
      <c r="E236" s="49">
        <f>VLOOKUP($A236,'Growth Analysis'!$A:$G,5,FALSE)</f>
        <v>0</v>
      </c>
      <c r="F236" s="49">
        <f>VLOOKUP($A236,'Growth Analysis'!$A:$G,6,FALSE)</f>
        <v>6610518.4740000023</v>
      </c>
      <c r="G236" s="50">
        <f t="shared" si="63"/>
        <v>1</v>
      </c>
      <c r="H236" s="159">
        <f t="shared" si="64"/>
        <v>3.7038265509927574E-3</v>
      </c>
      <c r="I236" s="158">
        <f t="shared" si="65"/>
        <v>0</v>
      </c>
      <c r="J236" s="157">
        <v>0</v>
      </c>
      <c r="K236" s="162">
        <f>VLOOKUP($A236,[1]Notes!$A:$G,3,FALSE)</f>
        <v>3508474.5762711861</v>
      </c>
      <c r="L236" s="161">
        <f>VLOOKUP($A236,[1]Notes!$A:$G,5,FALSE)</f>
        <v>2105084.7457627119</v>
      </c>
      <c r="M236" s="161">
        <f>VLOOKUP($A236,[1]Notes!$A:$G,7,FALSE)</f>
        <v>2245423.7288135593</v>
      </c>
      <c r="N236" s="154">
        <f t="shared" si="66"/>
        <v>7858983.0508474577</v>
      </c>
      <c r="O236" s="45">
        <f t="shared" si="74"/>
        <v>5000165.8438402228</v>
      </c>
      <c r="P236" s="45">
        <f t="shared" si="67"/>
        <v>3000099.5063041337</v>
      </c>
      <c r="Q236" s="45">
        <f t="shared" si="68"/>
        <v>3200106.1400577426</v>
      </c>
      <c r="R236" s="45">
        <f t="shared" si="69"/>
        <v>11200371.490202099</v>
      </c>
      <c r="S236" s="153">
        <f t="shared" si="77"/>
        <v>0.42516804244721329</v>
      </c>
      <c r="T236">
        <f>VLOOKUP($A236,'[2]All month (2)'!$E:$Y,8,FALSE)</f>
        <v>0</v>
      </c>
      <c r="U236">
        <f>VLOOKUP($A236,'[2]All month (2)'!$E:$Y,14,FALSE)</f>
        <v>986240.43</v>
      </c>
      <c r="V236">
        <f>VLOOKUP($A236,'[2]All month (2)'!$E:$Y,20,FALSE)</f>
        <v>1199700.18</v>
      </c>
      <c r="W236">
        <f>SUM(T236:V236)</f>
        <v>2185940.61</v>
      </c>
      <c r="X236" s="152">
        <f t="shared" si="70"/>
        <v>4.1238224126327481</v>
      </c>
    </row>
    <row r="237" spans="1:24" ht="16.2" customHeight="1" x14ac:dyDescent="0.3">
      <c r="A237" s="57" t="s">
        <v>102</v>
      </c>
      <c r="B237" s="189">
        <f>VLOOKUP($A237,'Growth Analysis'!A:G,2,FALSE)</f>
        <v>701.16748199999995</v>
      </c>
      <c r="C237" s="189">
        <f>VLOOKUP(A237,'Growth Analysis'!A:G,4,FALSE)</f>
        <v>-0.83562024971374804</v>
      </c>
      <c r="D237" s="50">
        <f t="shared" si="62"/>
        <v>-1.0011917555664878</v>
      </c>
      <c r="E237" s="49">
        <f>VLOOKUP($A237,'Growth Analysis'!$A:$G,5,FALSE)</f>
        <v>21299074.920000002</v>
      </c>
      <c r="F237" s="49">
        <f>VLOOKUP($A237,'Growth Analysis'!$A:$G,6,FALSE)</f>
        <v>6183508.3379999986</v>
      </c>
      <c r="G237" s="50">
        <f t="shared" si="63"/>
        <v>-0.70968183542123531</v>
      </c>
      <c r="H237" s="159">
        <f t="shared" si="64"/>
        <v>3.4645758045527678E-3</v>
      </c>
      <c r="I237" s="158">
        <f t="shared" si="65"/>
        <v>1.3239299122535362E-2</v>
      </c>
      <c r="J237" s="157">
        <v>687.41909999999996</v>
      </c>
      <c r="K237" s="162">
        <f>VLOOKUP($A237,[1]Notes!$A:$G,3,FALSE)</f>
        <v>3508474.5762711861</v>
      </c>
      <c r="L237" s="161">
        <f>VLOOKUP($A237,[1]Notes!$A:$G,5,FALSE)</f>
        <v>2105084.7457627119</v>
      </c>
      <c r="M237" s="161">
        <f>VLOOKUP($A237,[1]Notes!$A:$G,7,FALSE)</f>
        <v>2245423.7288135593</v>
      </c>
      <c r="N237" s="154">
        <f t="shared" si="66"/>
        <v>7858983.0508474577</v>
      </c>
      <c r="O237" s="45">
        <f t="shared" si="74"/>
        <v>4677177.3361462364</v>
      </c>
      <c r="P237" s="45">
        <f t="shared" si="67"/>
        <v>2806306.4016877417</v>
      </c>
      <c r="Q237" s="45">
        <f t="shared" si="68"/>
        <v>2993393.4951335914</v>
      </c>
      <c r="R237" s="45">
        <f t="shared" si="69"/>
        <v>10476877.23296757</v>
      </c>
      <c r="S237" s="153">
        <f>N237/R237-1</f>
        <v>-0.24987351897971943</v>
      </c>
      <c r="T237">
        <f>VLOOKUP($A237,'[2]All month (2)'!$E:$Y,8,FALSE)</f>
        <v>11023559</v>
      </c>
      <c r="U237">
        <f>VLOOKUP($A237,'[2]All month (2)'!$E:$Y,14,FALSE)</f>
        <v>1596770.22</v>
      </c>
      <c r="V237">
        <f>VLOOKUP($A237,'[2]All month (2)'!$E:$Y,20,FALSE)</f>
        <v>1942371.72</v>
      </c>
      <c r="W237">
        <f>SUM(T237:V237)</f>
        <v>14562700.940000001</v>
      </c>
      <c r="X237" s="152">
        <f t="shared" si="70"/>
        <v>-0.280567713631317</v>
      </c>
    </row>
    <row r="238" spans="1:24" ht="16.2" customHeight="1" x14ac:dyDescent="0.3">
      <c r="A238" s="57" t="s">
        <v>101</v>
      </c>
      <c r="B238" s="189">
        <f>VLOOKUP($A238,'Growth Analysis'!A:G,2,FALSE)</f>
        <v>0</v>
      </c>
      <c r="C238" s="189">
        <f>VLOOKUP(A238,'Growth Analysis'!A:G,4,FALSE)</f>
        <v>1</v>
      </c>
      <c r="D238" s="50">
        <f t="shared" si="62"/>
        <v>1</v>
      </c>
      <c r="E238" s="49">
        <f>VLOOKUP($A238,'Growth Analysis'!$A:$G,5,FALSE)</f>
        <v>0</v>
      </c>
      <c r="F238" s="49">
        <f>VLOOKUP($A238,'Growth Analysis'!$A:$G,6,FALSE)</f>
        <v>4475467.7939999998</v>
      </c>
      <c r="G238" s="50">
        <f t="shared" si="63"/>
        <v>1</v>
      </c>
      <c r="H238" s="159">
        <f t="shared" si="64"/>
        <v>2.5075728187928178E-3</v>
      </c>
      <c r="I238" s="158">
        <f t="shared" si="65"/>
        <v>0</v>
      </c>
      <c r="J238" s="157">
        <v>0</v>
      </c>
      <c r="K238" s="162">
        <f>VLOOKUP($A238,[1]Notes!$A:$G,3,FALSE)</f>
        <v>3508474.5762711861</v>
      </c>
      <c r="L238" s="161">
        <f>VLOOKUP($A238,[1]Notes!$A:$G,5,FALSE)</f>
        <v>2105084.7457627119</v>
      </c>
      <c r="M238" s="161">
        <f>VLOOKUP($A238,[1]Notes!$A:$G,7,FALSE)</f>
        <v>2245423.7288135593</v>
      </c>
      <c r="N238" s="154">
        <f t="shared" si="66"/>
        <v>7858983.0508474577</v>
      </c>
      <c r="O238" s="45">
        <f t="shared" si="74"/>
        <v>3385223.3053703043</v>
      </c>
      <c r="P238" s="45">
        <f t="shared" si="67"/>
        <v>2031133.9832221824</v>
      </c>
      <c r="Q238" s="45">
        <f t="shared" si="68"/>
        <v>2166542.9154369948</v>
      </c>
      <c r="R238" s="45">
        <f t="shared" si="69"/>
        <v>7582900.2040294819</v>
      </c>
      <c r="S238" s="153">
        <f>R238/N238-1</f>
        <v>-3.5129589290589625E-2</v>
      </c>
      <c r="T238">
        <f>VLOOKUP($A238,'[2]All month (2)'!$E:$Y,8,FALSE)</f>
        <v>0</v>
      </c>
      <c r="U238">
        <f>VLOOKUP($A238,'[2]All month (2)'!$E:$Y,14,FALSE)</f>
        <v>986240.43</v>
      </c>
      <c r="V238">
        <f>VLOOKUP($A238,'[2]All month (2)'!$E:$Y,20,FALSE)</f>
        <v>1199700.18</v>
      </c>
      <c r="W238">
        <f>SUM(T238:V238)</f>
        <v>2185940.61</v>
      </c>
      <c r="X238" s="152">
        <f t="shared" si="70"/>
        <v>2.4689415482470416</v>
      </c>
    </row>
    <row r="239" spans="1:24" ht="16.2" customHeight="1" thickBot="1" x14ac:dyDescent="0.35">
      <c r="A239" s="59" t="s">
        <v>100</v>
      </c>
      <c r="B239" s="189">
        <f>VLOOKUP($A239,'Growth Analysis'!A:G,2,FALSE)</f>
        <v>0</v>
      </c>
      <c r="C239" s="189">
        <f>VLOOKUP(A239,'Growth Analysis'!A:G,4,FALSE)</f>
        <v>1</v>
      </c>
      <c r="D239" s="50">
        <f t="shared" si="62"/>
        <v>1</v>
      </c>
      <c r="E239" s="49">
        <f>VLOOKUP($A239,'Growth Analysis'!$A:$G,5,FALSE)</f>
        <v>0</v>
      </c>
      <c r="F239" s="49">
        <f>VLOOKUP($A239,'Growth Analysis'!$A:$G,6,FALSE)</f>
        <v>4475467.7939999998</v>
      </c>
      <c r="G239" s="50">
        <f t="shared" si="63"/>
        <v>1</v>
      </c>
      <c r="H239" s="159">
        <f t="shared" si="64"/>
        <v>2.5075728187928178E-3</v>
      </c>
      <c r="I239" s="158">
        <f t="shared" si="65"/>
        <v>0</v>
      </c>
      <c r="J239" s="157">
        <v>0</v>
      </c>
      <c r="K239" s="156">
        <f>VLOOKUP($A239,[1]Notes!$A:$G,3,FALSE)</f>
        <v>3508474.5762711861</v>
      </c>
      <c r="L239" s="155">
        <f>VLOOKUP($A239,[1]Notes!$A:$G,5,FALSE)</f>
        <v>2105084.7457627119</v>
      </c>
      <c r="M239" s="155">
        <f>VLOOKUP($A239,[1]Notes!$A:$G,7,FALSE)</f>
        <v>2245423.7288135593</v>
      </c>
      <c r="N239" s="154">
        <f t="shared" si="66"/>
        <v>7858983.0508474577</v>
      </c>
      <c r="O239" s="45">
        <f t="shared" si="74"/>
        <v>3385223.3053703043</v>
      </c>
      <c r="P239" s="45">
        <f t="shared" si="67"/>
        <v>2031133.9832221824</v>
      </c>
      <c r="Q239" s="45">
        <f t="shared" si="68"/>
        <v>2166542.9154369948</v>
      </c>
      <c r="R239" s="45">
        <f t="shared" si="69"/>
        <v>7582900.2040294819</v>
      </c>
      <c r="S239" s="153">
        <f>R239/N239-1</f>
        <v>-3.5129589290589625E-2</v>
      </c>
      <c r="T239">
        <f>VLOOKUP($A239,'[2]All month (2)'!$E:$Y,8,FALSE)</f>
        <v>0</v>
      </c>
      <c r="U239">
        <f>VLOOKUP($A239,'[2]All month (2)'!$E:$Y,14,FALSE)</f>
        <v>1127131.92</v>
      </c>
      <c r="V239">
        <f>VLOOKUP($A239,'[2]All month (2)'!$E:$Y,20,FALSE)</f>
        <v>1371085.92</v>
      </c>
      <c r="W239">
        <f>SUM(T239:V239)</f>
        <v>2498217.84</v>
      </c>
      <c r="X239" s="152">
        <f t="shared" si="70"/>
        <v>2.0353238547161614</v>
      </c>
    </row>
    <row r="240" spans="1:24" ht="16.2" thickBot="1" x14ac:dyDescent="0.35">
      <c r="A240" s="56" t="s">
        <v>99</v>
      </c>
      <c r="B240" s="42">
        <f>SUM(B231:B239)</f>
        <v>1434.9789929999999</v>
      </c>
      <c r="C240" s="40">
        <f>SUM(C231:C239)</f>
        <v>3.5913505427532773</v>
      </c>
      <c r="D240" s="41">
        <f t="shared" si="62"/>
        <v>-0.9974972800575671</v>
      </c>
      <c r="E240" s="40">
        <f>SUM(E231:E239)</f>
        <v>53464285.330200002</v>
      </c>
      <c r="F240" s="40">
        <f>SUM(F231:F239)</f>
        <v>48003821.25</v>
      </c>
      <c r="G240" s="151">
        <f t="shared" si="63"/>
        <v>-0.10213292942149527</v>
      </c>
      <c r="H240" s="150">
        <f t="shared" si="64"/>
        <v>2.6896200108079492E-2</v>
      </c>
      <c r="I240" s="150">
        <f t="shared" si="65"/>
        <v>3.3232883048570305E-2</v>
      </c>
      <c r="J240" s="42">
        <f>SUM(J231:J239)</f>
        <v>1406.8421499999999</v>
      </c>
      <c r="K240" s="165">
        <f>SUM(K231:K239)</f>
        <v>33120000.000000007</v>
      </c>
      <c r="L240" s="165">
        <f>SUM(L231:L239)</f>
        <v>19872000</v>
      </c>
      <c r="M240" s="165">
        <f>SUM(M231:M239)</f>
        <v>21196800</v>
      </c>
      <c r="N240" s="36">
        <f t="shared" si="66"/>
        <v>74188800</v>
      </c>
      <c r="O240" s="36">
        <f t="shared" si="74"/>
        <v>36309870.145907313</v>
      </c>
      <c r="P240" s="36">
        <f t="shared" si="67"/>
        <v>21785922.087544389</v>
      </c>
      <c r="Q240" s="36">
        <f t="shared" si="68"/>
        <v>23238316.893380679</v>
      </c>
      <c r="R240" s="148">
        <f t="shared" si="69"/>
        <v>81334109.126832381</v>
      </c>
      <c r="S240" s="41"/>
      <c r="T240" s="42">
        <f>SUM(T231:T239)</f>
        <v>24190840.02</v>
      </c>
      <c r="U240" s="42">
        <f>SUM(U231:U239)</f>
        <v>6346133.0299999993</v>
      </c>
      <c r="V240" s="42">
        <f>SUM(V231:V239)</f>
        <v>18010998.009999998</v>
      </c>
      <c r="W240" s="147">
        <f>SUM(W231:W239)</f>
        <v>48547971.060000002</v>
      </c>
      <c r="X240" s="146">
        <f t="shared" si="70"/>
        <v>0.67533487705000661</v>
      </c>
    </row>
    <row r="241" spans="1:24" ht="16.2" customHeight="1" x14ac:dyDescent="0.3">
      <c r="A241" s="64" t="s">
        <v>98</v>
      </c>
      <c r="B241" s="189">
        <f>VLOOKUP($A241,'Growth Analysis'!A:G,2,FALSE)</f>
        <v>0</v>
      </c>
      <c r="C241" s="189">
        <f>VLOOKUP(A241,'Growth Analysis'!A:G,4,FALSE)</f>
        <v>1</v>
      </c>
      <c r="D241" s="50">
        <f t="shared" si="62"/>
        <v>1</v>
      </c>
      <c r="E241" s="49">
        <f>VLOOKUP($A241,'Growth Analysis'!$A:$G,5,FALSE)</f>
        <v>0</v>
      </c>
      <c r="F241" s="49">
        <f>VLOOKUP($A241,'Growth Analysis'!$A:$G,6,FALSE)</f>
        <v>8316734.887884534</v>
      </c>
      <c r="G241" s="50">
        <f t="shared" si="63"/>
        <v>1</v>
      </c>
      <c r="H241" s="159">
        <f t="shared" si="64"/>
        <v>4.6598074896045593E-3</v>
      </c>
      <c r="I241" s="158">
        <f t="shared" si="65"/>
        <v>0</v>
      </c>
      <c r="J241" s="157">
        <v>0</v>
      </c>
      <c r="K241" s="164">
        <f>VLOOKUP($A241,[1]Notes!$A:$G,3,FALSE)</f>
        <v>5872340.4255319154</v>
      </c>
      <c r="L241" s="163">
        <f>VLOOKUP($A241,[1]Notes!$A:$G,5,FALSE)</f>
        <v>3523404.2553191492</v>
      </c>
      <c r="M241" s="163">
        <f>VLOOKUP($A241,[1]Notes!$A:$G,7,FALSE)</f>
        <v>3758297.8723404254</v>
      </c>
      <c r="N241" s="154">
        <f t="shared" si="66"/>
        <v>13154042.55319149</v>
      </c>
      <c r="O241" s="45">
        <f t="shared" si="74"/>
        <v>6290740.1109661553</v>
      </c>
      <c r="P241" s="45">
        <f t="shared" si="67"/>
        <v>3774444.066579693</v>
      </c>
      <c r="Q241" s="45">
        <f t="shared" si="68"/>
        <v>4026073.6710183392</v>
      </c>
      <c r="R241" s="45">
        <f t="shared" si="69"/>
        <v>14091257.848564189</v>
      </c>
      <c r="S241" s="153">
        <f>R241/N241-1</f>
        <v>7.1249221794961182E-2</v>
      </c>
      <c r="T241">
        <f>VLOOKUP($A241,'[2]All month (2)'!$E:$Y,8,FALSE)</f>
        <v>0</v>
      </c>
      <c r="U241">
        <f>VLOOKUP($A241,'[2]All month (2)'!$E:$Y,14,FALSE)</f>
        <v>1531181.4</v>
      </c>
      <c r="V241">
        <f>VLOOKUP($A241,'[2]All month (2)'!$E:$Y,20,FALSE)</f>
        <v>2762625.6</v>
      </c>
      <c r="W241">
        <f t="shared" ref="W241:W246" si="78">SUM(T241:V241)</f>
        <v>4293807</v>
      </c>
      <c r="X241" s="152">
        <f t="shared" si="70"/>
        <v>2.2817632111932813</v>
      </c>
    </row>
    <row r="242" spans="1:24" ht="16.2" customHeight="1" x14ac:dyDescent="0.3">
      <c r="A242" s="55" t="s">
        <v>97</v>
      </c>
      <c r="B242" s="189">
        <f>VLOOKUP($A242,'Growth Analysis'!A:G,2,FALSE)</f>
        <v>0</v>
      </c>
      <c r="C242" s="189">
        <f>VLOOKUP(A242,'Growth Analysis'!A:G,4,FALSE)</f>
        <v>1</v>
      </c>
      <c r="D242" s="50">
        <f t="shared" si="62"/>
        <v>1</v>
      </c>
      <c r="E242" s="49">
        <f>VLOOKUP($A242,'Growth Analysis'!$A:$G,5,FALSE)</f>
        <v>0</v>
      </c>
      <c r="F242" s="49">
        <f>VLOOKUP($A242,'Growth Analysis'!$A:$G,6,FALSE)</f>
        <v>9564245.1538418271</v>
      </c>
      <c r="G242" s="50">
        <f t="shared" si="63"/>
        <v>1</v>
      </c>
      <c r="H242" s="159">
        <f t="shared" si="64"/>
        <v>5.3587786314086257E-3</v>
      </c>
      <c r="I242" s="158">
        <f t="shared" si="65"/>
        <v>0</v>
      </c>
      <c r="J242" s="157">
        <v>0</v>
      </c>
      <c r="K242" s="162">
        <f>VLOOKUP($A242,[1]Notes!$A:$G,3,FALSE)</f>
        <v>6753191.4893617025</v>
      </c>
      <c r="L242" s="161">
        <f>VLOOKUP($A242,[1]Notes!$A:$G,5,FALSE)</f>
        <v>4051914.8936170219</v>
      </c>
      <c r="M242" s="161">
        <f>VLOOKUP($A242,[1]Notes!$A:$G,7,FALSE)</f>
        <v>4322042.5531914895</v>
      </c>
      <c r="N242" s="154">
        <f t="shared" si="66"/>
        <v>15127148.936170213</v>
      </c>
      <c r="O242" s="45">
        <f t="shared" si="74"/>
        <v>7234351.1524016447</v>
      </c>
      <c r="P242" s="45">
        <f t="shared" si="67"/>
        <v>4340610.6914409865</v>
      </c>
      <c r="Q242" s="45">
        <f t="shared" si="68"/>
        <v>4629984.7375370525</v>
      </c>
      <c r="R242" s="45">
        <f t="shared" si="69"/>
        <v>16204946.581379684</v>
      </c>
      <c r="S242" s="153">
        <f>R242/N242-1</f>
        <v>7.1249225465902066E-2</v>
      </c>
      <c r="T242">
        <f>VLOOKUP($A242,'[2]All month (2)'!$E:$Y,8,FALSE)</f>
        <v>0</v>
      </c>
      <c r="U242">
        <f>VLOOKUP($A242,'[2]All month (2)'!$E:$Y,14,FALSE)</f>
        <v>2187402</v>
      </c>
      <c r="V242">
        <f>VLOOKUP($A242,'[2]All month (2)'!$E:$Y,20,FALSE)</f>
        <v>3946608</v>
      </c>
      <c r="W242">
        <f t="shared" si="78"/>
        <v>6134010</v>
      </c>
      <c r="X242" s="152">
        <f t="shared" si="70"/>
        <v>1.6418193940635382</v>
      </c>
    </row>
    <row r="243" spans="1:24" ht="16.2" customHeight="1" x14ac:dyDescent="0.3">
      <c r="A243" s="55" t="s">
        <v>96</v>
      </c>
      <c r="B243" s="189">
        <f>VLOOKUP($A243,'Growth Analysis'!A:G,2,FALSE)</f>
        <v>0</v>
      </c>
      <c r="C243" s="189">
        <f>VLOOKUP(A243,'Growth Analysis'!A:G,4,FALSE)</f>
        <v>1</v>
      </c>
      <c r="D243" s="50">
        <f t="shared" si="62"/>
        <v>1</v>
      </c>
      <c r="E243" s="49">
        <f>VLOOKUP($A243,'Growth Analysis'!$A:$G,5,FALSE)</f>
        <v>0</v>
      </c>
      <c r="F243" s="49">
        <f>VLOOKUP($A243,'Growth Analysis'!$A:$G,6,FALSE)</f>
        <v>4158367.7716881814</v>
      </c>
      <c r="G243" s="50">
        <f t="shared" si="63"/>
        <v>1</v>
      </c>
      <c r="H243" s="159">
        <f t="shared" si="64"/>
        <v>2.3299039284359877E-3</v>
      </c>
      <c r="I243" s="158">
        <f t="shared" si="65"/>
        <v>0</v>
      </c>
      <c r="J243" s="157">
        <v>0</v>
      </c>
      <c r="K243" s="162">
        <f>VLOOKUP($A243,[1]Notes!$A:$G,3,FALSE)</f>
        <v>2936170.2127659577</v>
      </c>
      <c r="L243" s="161">
        <f>VLOOKUP($A243,[1]Notes!$A:$G,5,FALSE)</f>
        <v>1761702.1276595746</v>
      </c>
      <c r="M243" s="161">
        <f>VLOOKUP($A243,[1]Notes!$A:$G,7,FALSE)</f>
        <v>1879148.9361702127</v>
      </c>
      <c r="N243" s="154">
        <f t="shared" si="66"/>
        <v>6577021.2765957452</v>
      </c>
      <c r="O243" s="45">
        <f t="shared" si="74"/>
        <v>3145370.3033885835</v>
      </c>
      <c r="P243" s="45">
        <f t="shared" si="67"/>
        <v>1887222.18203315</v>
      </c>
      <c r="Q243" s="45">
        <f t="shared" si="68"/>
        <v>2013036.9941686934</v>
      </c>
      <c r="R243" s="45">
        <f t="shared" si="69"/>
        <v>7045629.4795904271</v>
      </c>
      <c r="S243" s="153">
        <f>R243/N243-1</f>
        <v>7.1249306226546461E-2</v>
      </c>
      <c r="T243">
        <f>VLOOKUP($A243,'[2]All month (2)'!$E:$Y,8,FALSE)</f>
        <v>0</v>
      </c>
      <c r="U243">
        <f>VLOOKUP($A243,'[2]All month (2)'!$E:$Y,14,FALSE)</f>
        <v>583307.19999999995</v>
      </c>
      <c r="V243">
        <f>VLOOKUP($A243,'[2]All month (2)'!$E:$Y,20,FALSE)</f>
        <v>1052428.8</v>
      </c>
      <c r="W243">
        <f t="shared" si="78"/>
        <v>1635736</v>
      </c>
      <c r="X243" s="152">
        <f t="shared" si="70"/>
        <v>3.307314554176485</v>
      </c>
    </row>
    <row r="244" spans="1:24" ht="16.2" customHeight="1" x14ac:dyDescent="0.3">
      <c r="A244" s="55" t="s">
        <v>95</v>
      </c>
      <c r="B244" s="189">
        <f>VLOOKUP($A244,'Growth Analysis'!A:G,2,FALSE)</f>
        <v>1268.6131680000003</v>
      </c>
      <c r="C244" s="189">
        <f>VLOOKUP(A244,'Growth Analysis'!A:G,4,FALSE)</f>
        <v>-0.94940886330134633</v>
      </c>
      <c r="D244" s="50">
        <f t="shared" si="62"/>
        <v>-1.0007483832639055</v>
      </c>
      <c r="E244" s="49">
        <f>VLOOKUP($A244,'Growth Analysis'!$A:$G,5,FALSE)</f>
        <v>37712378.399999999</v>
      </c>
      <c r="F244" s="49">
        <f>VLOOKUP($A244,'Growth Analysis'!$A:$G,6,FALSE)</f>
        <v>3326693.8240554594</v>
      </c>
      <c r="G244" s="50">
        <f t="shared" si="63"/>
        <v>-0.9117877480764921</v>
      </c>
      <c r="H244" s="159">
        <f t="shared" si="64"/>
        <v>1.8639229223883468E-3</v>
      </c>
      <c r="I244" s="158">
        <f t="shared" si="65"/>
        <v>2.3441649937153301E-2</v>
      </c>
      <c r="J244" s="157">
        <v>1243.7384000000002</v>
      </c>
      <c r="K244" s="162">
        <f>VLOOKUP($A244,[1]Notes!$A:$G,3,FALSE)</f>
        <v>2348936.1702127662</v>
      </c>
      <c r="L244" s="161">
        <f>VLOOKUP($A244,[1]Notes!$A:$G,5,FALSE)</f>
        <v>1409361.7021276597</v>
      </c>
      <c r="M244" s="161">
        <f>VLOOKUP($A244,[1]Notes!$A:$G,7,FALSE)</f>
        <v>1503319.1489361704</v>
      </c>
      <c r="N244" s="154">
        <f t="shared" si="66"/>
        <v>5261617.021276596</v>
      </c>
      <c r="O244" s="45">
        <f t="shared" si="74"/>
        <v>2516295.9452242679</v>
      </c>
      <c r="P244" s="45">
        <f t="shared" si="67"/>
        <v>1509777.5671345608</v>
      </c>
      <c r="Q244" s="45">
        <f t="shared" si="68"/>
        <v>1610429.4049435316</v>
      </c>
      <c r="R244" s="45">
        <f t="shared" si="69"/>
        <v>5636502.9173023598</v>
      </c>
      <c r="S244" s="153">
        <f>N244/R244-1</f>
        <v>-6.6510370264331375E-2</v>
      </c>
      <c r="T244">
        <f>VLOOKUP($A244,'[2]All month (2)'!$E:$Y,8,FALSE)</f>
        <v>21702775</v>
      </c>
      <c r="U244">
        <f>VLOOKUP($A244,'[2]All month (2)'!$E:$Y,14,FALSE)</f>
        <v>145826.79999999999</v>
      </c>
      <c r="V244">
        <f>VLOOKUP($A244,'[2]All month (2)'!$E:$Y,20,FALSE)</f>
        <v>263107.20000000001</v>
      </c>
      <c r="W244">
        <f t="shared" si="78"/>
        <v>22111709</v>
      </c>
      <c r="X244" s="152">
        <f t="shared" si="70"/>
        <v>-0.74508967546098048</v>
      </c>
    </row>
    <row r="245" spans="1:24" ht="16.2" customHeight="1" x14ac:dyDescent="0.3">
      <c r="A245" s="55" t="s">
        <v>94</v>
      </c>
      <c r="B245" s="189">
        <f>VLOOKUP($A245,'Growth Analysis'!A:G,2,FALSE)</f>
        <v>0</v>
      </c>
      <c r="C245" s="189">
        <f>VLOOKUP(A245,'Growth Analysis'!A:G,4,FALSE)</f>
        <v>1</v>
      </c>
      <c r="D245" s="50">
        <f t="shared" si="62"/>
        <v>1</v>
      </c>
      <c r="E245" s="49">
        <f>VLOOKUP($A245,'Growth Analysis'!$A:$G,5,FALSE)</f>
        <v>0</v>
      </c>
      <c r="F245" s="49">
        <f>VLOOKUP($A245,'Growth Analysis'!$A:$G,6,FALSE)</f>
        <v>4158367.7716881814</v>
      </c>
      <c r="G245" s="50">
        <f t="shared" si="63"/>
        <v>1</v>
      </c>
      <c r="H245" s="159">
        <f t="shared" si="64"/>
        <v>2.3299039284359877E-3</v>
      </c>
      <c r="I245" s="158">
        <f t="shared" si="65"/>
        <v>0</v>
      </c>
      <c r="J245" s="157">
        <v>0</v>
      </c>
      <c r="K245" s="162">
        <f>VLOOKUP($A245,[1]Notes!$A:$G,3,FALSE)</f>
        <v>2936170.2127659577</v>
      </c>
      <c r="L245" s="161">
        <f>VLOOKUP($A245,[1]Notes!$A:$G,5,FALSE)</f>
        <v>1761702.1276595746</v>
      </c>
      <c r="M245" s="161">
        <f>VLOOKUP($A245,[1]Notes!$A:$G,7,FALSE)</f>
        <v>1879148.9361702127</v>
      </c>
      <c r="N245" s="154">
        <f t="shared" si="66"/>
        <v>6577021.2765957452</v>
      </c>
      <c r="O245" s="45">
        <f t="shared" si="74"/>
        <v>3145370.3033885835</v>
      </c>
      <c r="P245" s="45">
        <f t="shared" si="67"/>
        <v>1887222.18203315</v>
      </c>
      <c r="Q245" s="45">
        <f t="shared" si="68"/>
        <v>2013036.9941686934</v>
      </c>
      <c r="R245" s="45">
        <f t="shared" si="69"/>
        <v>7045629.4795904271</v>
      </c>
      <c r="S245" s="153">
        <f>R245/N245-1</f>
        <v>7.1249306226546461E-2</v>
      </c>
      <c r="T245">
        <f>VLOOKUP($A245,'[2]All month (2)'!$E:$Y,8,FALSE)</f>
        <v>0</v>
      </c>
      <c r="U245">
        <f>VLOOKUP($A245,'[2]All month (2)'!$E:$Y,14,FALSE)</f>
        <v>583307.19999999995</v>
      </c>
      <c r="V245">
        <f>VLOOKUP($A245,'[2]All month (2)'!$E:$Y,20,FALSE)</f>
        <v>1052428.8</v>
      </c>
      <c r="W245">
        <f t="shared" si="78"/>
        <v>1635736</v>
      </c>
      <c r="X245" s="152">
        <f t="shared" si="70"/>
        <v>3.307314554176485</v>
      </c>
    </row>
    <row r="246" spans="1:24" ht="16.2" customHeight="1" x14ac:dyDescent="0.3">
      <c r="A246" s="55" t="s">
        <v>93</v>
      </c>
      <c r="B246" s="189">
        <f>VLOOKUP($A246,'Growth Analysis'!A:G,2,FALSE)</f>
        <v>0</v>
      </c>
      <c r="C246" s="189">
        <f>VLOOKUP(A246,'Growth Analysis'!A:G,4,FALSE)</f>
        <v>1</v>
      </c>
      <c r="D246" s="50">
        <f t="shared" si="62"/>
        <v>1</v>
      </c>
      <c r="E246" s="49">
        <f>VLOOKUP($A246,'Growth Analysis'!$A:$G,5,FALSE)</f>
        <v>0</v>
      </c>
      <c r="F246" s="49">
        <f>VLOOKUP($A246,'Growth Analysis'!$A:$G,6,FALSE)</f>
        <v>4990041.0638290904</v>
      </c>
      <c r="G246" s="50">
        <f t="shared" si="63"/>
        <v>1</v>
      </c>
      <c r="H246" s="159">
        <f t="shared" si="64"/>
        <v>2.7958845672162208E-3</v>
      </c>
      <c r="I246" s="158">
        <f t="shared" si="65"/>
        <v>0</v>
      </c>
      <c r="J246" s="157">
        <v>0</v>
      </c>
      <c r="K246" s="162">
        <f>VLOOKUP($A246,[1]Notes!$A:$G,3,FALSE)</f>
        <v>3523404.2553191478</v>
      </c>
      <c r="L246" s="161">
        <f>VLOOKUP($A246,[1]Notes!$A:$G,5,FALSE)</f>
        <v>2114042.5531914891</v>
      </c>
      <c r="M246" s="161">
        <f>VLOOKUP($A246,[1]Notes!$A:$G,7,FALSE)</f>
        <v>2254978.7234042548</v>
      </c>
      <c r="N246" s="154">
        <f t="shared" si="66"/>
        <v>7892425.5319148917</v>
      </c>
      <c r="O246" s="45">
        <f t="shared" si="74"/>
        <v>3774444.1657418981</v>
      </c>
      <c r="P246" s="45">
        <f t="shared" si="67"/>
        <v>2264666.499445139</v>
      </c>
      <c r="Q246" s="45">
        <f t="shared" si="68"/>
        <v>2415644.2660748148</v>
      </c>
      <c r="R246" s="45">
        <f t="shared" si="69"/>
        <v>8454754.9312618524</v>
      </c>
      <c r="S246" s="153">
        <f>R246/N246-1</f>
        <v>7.1249249938823978E-2</v>
      </c>
      <c r="T246">
        <f>VLOOKUP($A246,'[2]All month (2)'!$E:$Y,8,FALSE)</f>
        <v>0</v>
      </c>
      <c r="U246">
        <f>VLOOKUP($A246,'[2]All month (2)'!$E:$Y,14,FALSE)</f>
        <v>2041575.2</v>
      </c>
      <c r="V246">
        <f>VLOOKUP($A246,'[2]All month (2)'!$E:$Y,20,FALSE)</f>
        <v>3683500.8</v>
      </c>
      <c r="W246">
        <f t="shared" si="78"/>
        <v>5725076</v>
      </c>
      <c r="X246" s="152">
        <f t="shared" si="70"/>
        <v>0.47679348383529796</v>
      </c>
    </row>
    <row r="247" spans="1:24" ht="16.2" customHeight="1" x14ac:dyDescent="0.3">
      <c r="A247" s="166" t="s">
        <v>92</v>
      </c>
      <c r="B247" s="189">
        <f>VLOOKUP($A247,'Growth Analysis'!A:G,2,FALSE)</f>
        <v>0</v>
      </c>
      <c r="C247" s="189">
        <f>VLOOKUP(A247,'Growth Analysis'!A:G,4,FALSE)</f>
        <v>1</v>
      </c>
      <c r="D247" s="50">
        <f t="shared" si="62"/>
        <v>1</v>
      </c>
      <c r="E247" s="49">
        <f>VLOOKUP($A247,'Growth Analysis'!$A:$G,5,FALSE)</f>
        <v>0</v>
      </c>
      <c r="F247" s="49">
        <f>VLOOKUP($A247,'Growth Analysis'!$A:$G,6,FALSE)</f>
        <v>2495020.5319145452</v>
      </c>
      <c r="G247" s="50">
        <f t="shared" si="63"/>
        <v>1</v>
      </c>
      <c r="H247" s="159">
        <f t="shared" si="64"/>
        <v>1.3979422836081104E-3</v>
      </c>
      <c r="I247" s="158">
        <f t="shared" si="65"/>
        <v>0</v>
      </c>
      <c r="J247" s="157">
        <v>0</v>
      </c>
      <c r="K247" s="162">
        <f>VLOOKUP($A247,[1]Notes!$A:$G,3,FALSE)</f>
        <v>1761702.1276595739</v>
      </c>
      <c r="L247" s="161">
        <f>VLOOKUP($A247,[1]Notes!$A:$G,5,FALSE)</f>
        <v>1057021.2765957445</v>
      </c>
      <c r="M247" s="161">
        <f>VLOOKUP($A247,[1]Notes!$A:$G,7,FALSE)</f>
        <v>1127489.3617021274</v>
      </c>
      <c r="N247" s="154">
        <f t="shared" si="66"/>
        <v>3946212.7659574458</v>
      </c>
      <c r="O247" s="45">
        <f t="shared" si="74"/>
        <v>1887222.0828709491</v>
      </c>
      <c r="P247" s="45">
        <f t="shared" si="67"/>
        <v>1132333.2497225695</v>
      </c>
      <c r="Q247" s="45">
        <f t="shared" si="68"/>
        <v>1207822.1330374074</v>
      </c>
      <c r="R247" s="45">
        <f t="shared" si="69"/>
        <v>4227377.4656309262</v>
      </c>
      <c r="S247" s="153">
        <f>R247/N247-1</f>
        <v>7.1249249938823978E-2</v>
      </c>
      <c r="X247" s="152">
        <f t="shared" si="70"/>
        <v>1</v>
      </c>
    </row>
    <row r="248" spans="1:24" ht="16.2" customHeight="1" thickBot="1" x14ac:dyDescent="0.35">
      <c r="A248" s="54" t="s">
        <v>91</v>
      </c>
      <c r="B248" s="189">
        <f>VLOOKUP($A248,'Growth Analysis'!A:G,2,FALSE)</f>
        <v>0</v>
      </c>
      <c r="C248" s="189">
        <f>VLOOKUP(A248,'Growth Analysis'!A:G,4,FALSE)</f>
        <v>1</v>
      </c>
      <c r="D248" s="50">
        <f t="shared" si="62"/>
        <v>1</v>
      </c>
      <c r="E248" s="49">
        <f>VLOOKUP($A248,'Growth Analysis'!$A:$G,5,FALSE)</f>
        <v>0</v>
      </c>
      <c r="F248" s="49">
        <f>VLOOKUP($A248,'Growth Analysis'!$A:$G,6,FALSE)</f>
        <v>2079183.5580981825</v>
      </c>
      <c r="G248" s="50">
        <f t="shared" si="63"/>
        <v>1</v>
      </c>
      <c r="H248" s="159">
        <f t="shared" si="64"/>
        <v>1.1649517805842893E-3</v>
      </c>
      <c r="I248" s="158">
        <f t="shared" si="65"/>
        <v>0</v>
      </c>
      <c r="J248" s="157">
        <v>0</v>
      </c>
      <c r="K248" s="156">
        <f>VLOOKUP($A248,[1]Notes!$A:$G,3,FALSE)</f>
        <v>1468085.1063829788</v>
      </c>
      <c r="L248" s="155">
        <f>VLOOKUP($A248,[1]Notes!$A:$G,5,FALSE)</f>
        <v>880851.06382978731</v>
      </c>
      <c r="M248" s="155">
        <f>VLOOKUP($A248,[1]Notes!$A:$G,7,FALSE)</f>
        <v>939574.46808510635</v>
      </c>
      <c r="N248" s="154">
        <f t="shared" si="66"/>
        <v>3288510.6382978726</v>
      </c>
      <c r="O248" s="45">
        <f t="shared" si="74"/>
        <v>1572684.9037887906</v>
      </c>
      <c r="P248" s="45">
        <f t="shared" si="67"/>
        <v>943610.9422732743</v>
      </c>
      <c r="Q248" s="45">
        <f t="shared" si="68"/>
        <v>1006518.3384248259</v>
      </c>
      <c r="R248" s="45">
        <f t="shared" si="69"/>
        <v>3522814.1844868911</v>
      </c>
      <c r="S248" s="153">
        <f>R248/N248-1</f>
        <v>7.1249137363379011E-2</v>
      </c>
      <c r="T248">
        <f>VLOOKUP($A248,'[2]All month (2)'!$E:$Y,8,FALSE)</f>
        <v>0</v>
      </c>
      <c r="U248">
        <f>VLOOKUP($A248,'[2]All month (2)'!$E:$Y,14,FALSE)</f>
        <v>218740.2</v>
      </c>
      <c r="V248">
        <f>VLOOKUP($A248,'[2]All month (2)'!$E:$Y,20,FALSE)</f>
        <v>394660.8</v>
      </c>
      <c r="W248">
        <f>SUM(T248:V248)</f>
        <v>613401</v>
      </c>
      <c r="X248" s="152">
        <f t="shared" si="70"/>
        <v>4.7430851669411869</v>
      </c>
    </row>
    <row r="249" spans="1:24" ht="16.2" thickBot="1" x14ac:dyDescent="0.35">
      <c r="A249" s="56" t="s">
        <v>90</v>
      </c>
      <c r="B249" s="42">
        <f>SUM(B241:B248)</f>
        <v>1268.6131680000003</v>
      </c>
      <c r="C249" s="40">
        <f>SUM(C241:C248)</f>
        <v>6.0505911366986531</v>
      </c>
      <c r="D249" s="41">
        <f t="shared" si="62"/>
        <v>-0.99523054679762035</v>
      </c>
      <c r="E249" s="40">
        <f>SUM(E241:E248)</f>
        <v>37712378.399999999</v>
      </c>
      <c r="F249" s="40">
        <f>SUM(F241:F248)</f>
        <v>39088654.563000008</v>
      </c>
      <c r="G249" s="151">
        <f t="shared" si="63"/>
        <v>3.6494016590584752E-2</v>
      </c>
      <c r="H249" s="150">
        <f t="shared" si="64"/>
        <v>2.1901095531682131E-2</v>
      </c>
      <c r="I249" s="150">
        <f t="shared" si="65"/>
        <v>2.3441649937153301E-2</v>
      </c>
      <c r="J249" s="42">
        <f>SUM(J241:J248)</f>
        <v>1243.7384000000002</v>
      </c>
      <c r="K249" s="149">
        <f>SUM(K241:K248)</f>
        <v>27600000</v>
      </c>
      <c r="L249" s="149">
        <f>SUM(L241:L248)</f>
        <v>16560000</v>
      </c>
      <c r="M249" s="149">
        <f>SUM(M241:M248)</f>
        <v>17664000</v>
      </c>
      <c r="N249" s="36">
        <f t="shared" si="66"/>
        <v>61824000</v>
      </c>
      <c r="O249" s="36">
        <f t="shared" si="74"/>
        <v>29566478.967770878</v>
      </c>
      <c r="P249" s="36">
        <f t="shared" si="67"/>
        <v>17739887.380662527</v>
      </c>
      <c r="Q249" s="36">
        <f t="shared" si="68"/>
        <v>18922546.539373361</v>
      </c>
      <c r="R249" s="148">
        <f t="shared" si="69"/>
        <v>66228912.887806766</v>
      </c>
      <c r="S249" s="41"/>
      <c r="T249" s="42">
        <f>SUM(T241:T248)</f>
        <v>21702775</v>
      </c>
      <c r="U249" s="42">
        <f>SUM(U241:U248)</f>
        <v>7291340</v>
      </c>
      <c r="V249" s="42">
        <f>SUM(V241:V248)</f>
        <v>13155360</v>
      </c>
      <c r="W249" s="147">
        <f>SUM(W241:W248)</f>
        <v>42149475</v>
      </c>
      <c r="X249" s="146">
        <f t="shared" si="70"/>
        <v>0.57128678086279283</v>
      </c>
    </row>
    <row r="250" spans="1:24" ht="16.2" customHeight="1" thickBot="1" x14ac:dyDescent="0.35">
      <c r="A250" s="35" t="s">
        <v>89</v>
      </c>
      <c r="B250" s="34">
        <f>B249+B240</f>
        <v>2703.5921610000005</v>
      </c>
      <c r="C250" s="32">
        <f>C249+C240</f>
        <v>9.6419416794519304</v>
      </c>
      <c r="D250" s="33">
        <f t="shared" si="62"/>
        <v>-0.99643365526112282</v>
      </c>
      <c r="E250" s="32">
        <f>E249+E240</f>
        <v>91176663.730199993</v>
      </c>
      <c r="F250" s="32">
        <f>F249+F240</f>
        <v>87092475.813000008</v>
      </c>
      <c r="G250" s="145">
        <f t="shared" si="63"/>
        <v>-4.4794224202866932E-2</v>
      </c>
      <c r="H250" s="144">
        <f t="shared" si="64"/>
        <v>4.8797295639761623E-2</v>
      </c>
      <c r="I250" s="144">
        <f t="shared" si="65"/>
        <v>5.6674532985723607E-2</v>
      </c>
      <c r="J250" s="34">
        <f>J249+J240</f>
        <v>2650.5805500000001</v>
      </c>
      <c r="K250" s="167">
        <f>K249+K240</f>
        <v>60720000.000000007</v>
      </c>
      <c r="L250" s="167">
        <f>L249+L240</f>
        <v>36432000</v>
      </c>
      <c r="M250" s="167">
        <f>M249+M240</f>
        <v>38860800</v>
      </c>
      <c r="N250" s="28">
        <f t="shared" si="66"/>
        <v>136012800</v>
      </c>
      <c r="O250" s="28">
        <f t="shared" si="74"/>
        <v>65876349.113678195</v>
      </c>
      <c r="P250" s="28">
        <f t="shared" si="67"/>
        <v>39525809.468206912</v>
      </c>
      <c r="Q250" s="28">
        <f t="shared" si="68"/>
        <v>42160863.43275404</v>
      </c>
      <c r="R250" s="143">
        <f t="shared" si="69"/>
        <v>147563022.01463914</v>
      </c>
      <c r="S250" s="142"/>
      <c r="T250" s="34">
        <f>T249+T240</f>
        <v>45893615.019999996</v>
      </c>
      <c r="U250" s="34">
        <f>U249+U240</f>
        <v>13637473.029999999</v>
      </c>
      <c r="V250" s="34">
        <f>V249+V240</f>
        <v>31166358.009999998</v>
      </c>
      <c r="W250" s="141">
        <f>W249+W240</f>
        <v>90697446.060000002</v>
      </c>
      <c r="X250" s="140">
        <f t="shared" si="70"/>
        <v>0.62698100580495153</v>
      </c>
    </row>
    <row r="251" spans="1:24" ht="16.2" customHeight="1" x14ac:dyDescent="0.3">
      <c r="A251" s="58" t="s">
        <v>88</v>
      </c>
      <c r="B251" s="189">
        <f>VLOOKUP($A251,'Growth Analysis'!A:G,2,FALSE)</f>
        <v>0</v>
      </c>
      <c r="C251" s="189">
        <f>VLOOKUP(A251,'Growth Analysis'!A:G,4,FALSE)</f>
        <v>1</v>
      </c>
      <c r="D251" s="50">
        <f t="shared" si="62"/>
        <v>1</v>
      </c>
      <c r="E251" s="49">
        <f>VLOOKUP($A251,'Growth Analysis'!$A:$G,5,FALSE)</f>
        <v>0</v>
      </c>
      <c r="F251" s="49">
        <f>VLOOKUP($A251,'Growth Analysis'!$A:$G,6,FALSE)</f>
        <v>3429367.6825997033</v>
      </c>
      <c r="G251" s="50">
        <f t="shared" si="63"/>
        <v>1</v>
      </c>
      <c r="H251" s="159">
        <f t="shared" si="64"/>
        <v>1.9214503561085245E-3</v>
      </c>
      <c r="I251" s="158">
        <f t="shared" si="65"/>
        <v>0</v>
      </c>
      <c r="J251" s="157">
        <v>0</v>
      </c>
      <c r="K251" s="164">
        <f>VLOOKUP($A251,[1]Notes!$A:$G,3,FALSE)</f>
        <v>2090892.4830723447</v>
      </c>
      <c r="L251" s="163">
        <f>VLOOKUP($A251,[1]Notes!$A:$G,5,FALSE)</f>
        <v>1254535.4898434067</v>
      </c>
      <c r="M251" s="163">
        <f>VLOOKUP($A251,[1]Notes!$A:$G,7,FALSE)</f>
        <v>1338171.1891663007</v>
      </c>
      <c r="N251" s="154">
        <f t="shared" si="66"/>
        <v>4683599.1620820519</v>
      </c>
      <c r="O251" s="45">
        <f t="shared" si="74"/>
        <v>2593957.9807465081</v>
      </c>
      <c r="P251" s="45">
        <f t="shared" si="67"/>
        <v>1556374.7884479049</v>
      </c>
      <c r="Q251" s="45">
        <f t="shared" si="68"/>
        <v>1660133.1076777652</v>
      </c>
      <c r="R251" s="45">
        <f t="shared" si="69"/>
        <v>5810465.8768721782</v>
      </c>
      <c r="S251" s="153">
        <f t="shared" ref="S251:S256" si="79">R251/N251-1</f>
        <v>0.2405984534101735</v>
      </c>
      <c r="T251">
        <f>VLOOKUP($A251,'[2]All month (2)'!$E:$Y,8,FALSE)</f>
        <v>0</v>
      </c>
      <c r="U251">
        <f>VLOOKUP($A251,'[2]All month (2)'!$E:$Y,14,FALSE)</f>
        <v>1328349.1200000001</v>
      </c>
      <c r="V251">
        <f>VLOOKUP($A251,'[2]All month (2)'!$E:$Y,20,FALSE)</f>
        <v>1732680</v>
      </c>
      <c r="W251">
        <f>SUM(T251:V251)</f>
        <v>3061029.12</v>
      </c>
      <c r="X251" s="152">
        <f t="shared" si="70"/>
        <v>0.89820666484616063</v>
      </c>
    </row>
    <row r="252" spans="1:24" ht="16.2" customHeight="1" x14ac:dyDescent="0.3">
      <c r="A252" s="166" t="s">
        <v>87</v>
      </c>
      <c r="B252" s="189">
        <f>VLOOKUP($A252,'Growth Analysis'!A:G,2,FALSE)</f>
        <v>0</v>
      </c>
      <c r="C252" s="189">
        <f>VLOOKUP(A252,'Growth Analysis'!A:G,4,FALSE)</f>
        <v>1</v>
      </c>
      <c r="D252" s="50">
        <f t="shared" si="62"/>
        <v>1</v>
      </c>
      <c r="E252" s="49">
        <f>VLOOKUP($A252,'Growth Analysis'!$A:$G,5,FALSE)</f>
        <v>0</v>
      </c>
      <c r="F252" s="49">
        <f>VLOOKUP($A252,'Growth Analysis'!$A:$G,6,FALSE)</f>
        <v>3507858.3102326086</v>
      </c>
      <c r="G252" s="50">
        <f t="shared" si="63"/>
        <v>1</v>
      </c>
      <c r="H252" s="159">
        <f t="shared" si="64"/>
        <v>1.9654280973060208E-3</v>
      </c>
      <c r="I252" s="158">
        <f t="shared" si="65"/>
        <v>0</v>
      </c>
      <c r="J252" s="157">
        <v>0</v>
      </c>
      <c r="K252" s="162">
        <f>VLOOKUP($A252,[1]Notes!$A:$G,3,FALSE)</f>
        <v>2049074.6334108983</v>
      </c>
      <c r="L252" s="161">
        <f>VLOOKUP($A252,[1]Notes!$A:$G,5,FALSE)</f>
        <v>1229444.7800465389</v>
      </c>
      <c r="M252" s="161">
        <f>VLOOKUP($A252,[1]Notes!$A:$G,7,FALSE)</f>
        <v>1311407.7653829749</v>
      </c>
      <c r="N252" s="154">
        <f t="shared" si="66"/>
        <v>4589927.1788404118</v>
      </c>
      <c r="O252" s="45">
        <f t="shared" si="74"/>
        <v>2653327.9313631281</v>
      </c>
      <c r="P252" s="45">
        <f t="shared" si="67"/>
        <v>1591996.7588178769</v>
      </c>
      <c r="Q252" s="45">
        <f t="shared" si="68"/>
        <v>1698129.8760724021</v>
      </c>
      <c r="R252" s="45">
        <f t="shared" si="69"/>
        <v>5943454.5662534069</v>
      </c>
      <c r="S252" s="153">
        <f t="shared" si="79"/>
        <v>0.29489081954344787</v>
      </c>
      <c r="X252" s="152">
        <f t="shared" si="70"/>
        <v>1</v>
      </c>
    </row>
    <row r="253" spans="1:24" ht="16.2" customHeight="1" x14ac:dyDescent="0.3">
      <c r="A253" s="57" t="s">
        <v>86</v>
      </c>
      <c r="B253" s="189">
        <f>VLOOKUP($A253,'Growth Analysis'!A:G,2,FALSE)</f>
        <v>509.88973799999997</v>
      </c>
      <c r="C253" s="189">
        <f>VLOOKUP(A253,'Growth Analysis'!A:G,4,FALSE)</f>
        <v>-0.80966919312661279</v>
      </c>
      <c r="D253" s="50">
        <f t="shared" si="62"/>
        <v>-1.0015879299636476</v>
      </c>
      <c r="E253" s="49">
        <f>VLOOKUP($A253,'Growth Analysis'!$A:$G,5,FALSE)</f>
        <v>13349194.92</v>
      </c>
      <c r="F253" s="49">
        <f>VLOOKUP($A253,'Growth Analysis'!$A:$G,6,FALSE)</f>
        <v>3852193.981588359</v>
      </c>
      <c r="G253" s="50">
        <f t="shared" si="63"/>
        <v>-0.71142874123315614</v>
      </c>
      <c r="H253" s="159">
        <f t="shared" si="64"/>
        <v>2.1583569283859872E-3</v>
      </c>
      <c r="I253" s="158">
        <f t="shared" si="65"/>
        <v>8.2977305472058255E-3</v>
      </c>
      <c r="J253" s="157">
        <v>499.89189999999996</v>
      </c>
      <c r="K253" s="162">
        <f>VLOOKUP($A253,[1]Notes!$A:$G,3,FALSE)</f>
        <v>3010919.3403169117</v>
      </c>
      <c r="L253" s="161">
        <f>VLOOKUP($A253,[1]Notes!$A:$G,5,FALSE)</f>
        <v>1806551.604190147</v>
      </c>
      <c r="M253" s="161">
        <f>VLOOKUP($A253,[1]Notes!$A:$G,7,FALSE)</f>
        <v>1926988.3778028234</v>
      </c>
      <c r="N253" s="154">
        <f t="shared" si="66"/>
        <v>6744459.3223098824</v>
      </c>
      <c r="O253" s="45">
        <f t="shared" si="74"/>
        <v>2913781.8533210829</v>
      </c>
      <c r="P253" s="45">
        <f t="shared" si="67"/>
        <v>1748269.1119926495</v>
      </c>
      <c r="Q253" s="45">
        <f t="shared" si="68"/>
        <v>1864820.3861254929</v>
      </c>
      <c r="R253" s="45">
        <f t="shared" si="69"/>
        <v>6526871.3514392255</v>
      </c>
      <c r="S253" s="153">
        <f t="shared" si="79"/>
        <v>-3.22617367045126E-2</v>
      </c>
      <c r="T253">
        <f>VLOOKUP($A253,'[2]All month (2)'!$E:$Y,8,FALSE)</f>
        <v>7557200</v>
      </c>
      <c r="U253">
        <f>VLOOKUP($A253,'[2]All month (2)'!$E:$Y,14,FALSE)</f>
        <v>1383697</v>
      </c>
      <c r="V253">
        <f>VLOOKUP($A253,'[2]All month (2)'!$E:$Y,20,FALSE)</f>
        <v>1804875</v>
      </c>
      <c r="W253">
        <f>SUM(T253:V253)</f>
        <v>10745772</v>
      </c>
      <c r="X253" s="152">
        <f t="shared" si="70"/>
        <v>-0.39261028882436499</v>
      </c>
    </row>
    <row r="254" spans="1:24" ht="16.2" customHeight="1" x14ac:dyDescent="0.3">
      <c r="A254" s="57" t="s">
        <v>85</v>
      </c>
      <c r="B254" s="189">
        <f>VLOOKUP($A254,'Growth Analysis'!A:G,2,FALSE)</f>
        <v>0</v>
      </c>
      <c r="C254" s="189">
        <f>VLOOKUP(A254,'Growth Analysis'!A:G,4,FALSE)</f>
        <v>1</v>
      </c>
      <c r="D254" s="50">
        <f t="shared" si="62"/>
        <v>1</v>
      </c>
      <c r="E254" s="49">
        <f>VLOOKUP($A254,'Growth Analysis'!$A:$G,5,FALSE)</f>
        <v>0</v>
      </c>
      <c r="F254" s="49">
        <f>VLOOKUP($A254,'Growth Analysis'!$A:$G,6,FALSE)</f>
        <v>2886421.0078025959</v>
      </c>
      <c r="G254" s="50">
        <f t="shared" si="63"/>
        <v>1</v>
      </c>
      <c r="H254" s="159">
        <f t="shared" si="64"/>
        <v>1.6172411903984227E-3</v>
      </c>
      <c r="I254" s="158">
        <f t="shared" si="65"/>
        <v>0</v>
      </c>
      <c r="J254" s="157">
        <v>0</v>
      </c>
      <c r="K254" s="162">
        <f>VLOOKUP($A254,[1]Notes!$A:$G,3,FALSE)</f>
        <v>1944552.0739546716</v>
      </c>
      <c r="L254" s="161">
        <f>VLOOKUP($A254,[1]Notes!$A:$G,5,FALSE)</f>
        <v>1166731.244372803</v>
      </c>
      <c r="M254" s="161">
        <f>VLOOKUP($A254,[1]Notes!$A:$G,7,FALSE)</f>
        <v>1244513.3273309898</v>
      </c>
      <c r="N254" s="154">
        <f t="shared" si="66"/>
        <v>4355796.6456584642</v>
      </c>
      <c r="O254" s="45">
        <f t="shared" si="74"/>
        <v>2183275.6070378707</v>
      </c>
      <c r="P254" s="45">
        <f t="shared" si="67"/>
        <v>1309965.3642227224</v>
      </c>
      <c r="Q254" s="45">
        <f t="shared" si="68"/>
        <v>1397296.3885042372</v>
      </c>
      <c r="R254" s="45">
        <f t="shared" si="69"/>
        <v>4890537.3597648302</v>
      </c>
      <c r="S254" s="153">
        <f t="shared" si="79"/>
        <v>0.12276530738397895</v>
      </c>
      <c r="T254">
        <f>VLOOKUP($A254,'[2]All month (2)'!$E:$Y,8,FALSE)</f>
        <v>0</v>
      </c>
      <c r="U254">
        <f>VLOOKUP($A254,'[2]All month (2)'!$E:$Y,14,FALSE)</f>
        <v>1217653.3600000001</v>
      </c>
      <c r="V254">
        <f>VLOOKUP($A254,'[2]All month (2)'!$E:$Y,20,FALSE)</f>
        <v>1588290</v>
      </c>
      <c r="W254">
        <f>SUM(T254:V254)</f>
        <v>2805943.3600000003</v>
      </c>
      <c r="X254" s="152">
        <f t="shared" si="70"/>
        <v>0.74292091190494647</v>
      </c>
    </row>
    <row r="255" spans="1:24" ht="16.2" customHeight="1" x14ac:dyDescent="0.3">
      <c r="A255" s="57" t="s">
        <v>84</v>
      </c>
      <c r="B255" s="189">
        <f>VLOOKUP($A255,'Growth Analysis'!A:G,2,FALSE)</f>
        <v>0</v>
      </c>
      <c r="C255" s="189">
        <f>VLOOKUP(A255,'Growth Analysis'!A:G,4,FALSE)</f>
        <v>1</v>
      </c>
      <c r="D255" s="50">
        <f t="shared" si="62"/>
        <v>1</v>
      </c>
      <c r="E255" s="49">
        <f>VLOOKUP($A255,'Growth Analysis'!$A:$G,5,FALSE)</f>
        <v>0</v>
      </c>
      <c r="F255" s="49">
        <f>VLOOKUP($A255,'Growth Analysis'!$A:$G,6,FALSE)</f>
        <v>2886421.0078025959</v>
      </c>
      <c r="G255" s="50">
        <f t="shared" si="63"/>
        <v>1</v>
      </c>
      <c r="H255" s="159">
        <f t="shared" si="64"/>
        <v>1.6172411903984227E-3</v>
      </c>
      <c r="I255" s="158">
        <f t="shared" si="65"/>
        <v>0</v>
      </c>
      <c r="J255" s="157">
        <v>0</v>
      </c>
      <c r="K255" s="162">
        <f>VLOOKUP($A255,[1]Notes!$A:$G,3,FALSE)</f>
        <v>1944552.0739546716</v>
      </c>
      <c r="L255" s="161">
        <f>VLOOKUP($A255,[1]Notes!$A:$G,5,FALSE)</f>
        <v>1166731.244372803</v>
      </c>
      <c r="M255" s="161">
        <f>VLOOKUP($A255,[1]Notes!$A:$G,7,FALSE)</f>
        <v>1244513.3273309898</v>
      </c>
      <c r="N255" s="154">
        <f t="shared" si="66"/>
        <v>4355796.6456584642</v>
      </c>
      <c r="O255" s="45">
        <f t="shared" si="74"/>
        <v>2183275.6070378707</v>
      </c>
      <c r="P255" s="45">
        <f t="shared" si="67"/>
        <v>1309965.3642227224</v>
      </c>
      <c r="Q255" s="45">
        <f t="shared" si="68"/>
        <v>1397296.3885042372</v>
      </c>
      <c r="R255" s="45">
        <f t="shared" si="69"/>
        <v>4890537.3597648302</v>
      </c>
      <c r="S255" s="153">
        <f t="shared" si="79"/>
        <v>0.12276530738397895</v>
      </c>
      <c r="T255">
        <f>VLOOKUP($A255,'[2]All month (2)'!$E:$Y,8,FALSE)</f>
        <v>0</v>
      </c>
      <c r="U255">
        <f>VLOOKUP($A255,'[2]All month (2)'!$E:$Y,14,FALSE)</f>
        <v>553478.80000000005</v>
      </c>
      <c r="V255">
        <f>VLOOKUP($A255,'[2]All month (2)'!$E:$Y,20,FALSE)</f>
        <v>721950</v>
      </c>
      <c r="W255">
        <f>SUM(T255:V255)</f>
        <v>1275428.8</v>
      </c>
      <c r="X255" s="152">
        <f t="shared" si="70"/>
        <v>2.834426006190883</v>
      </c>
    </row>
    <row r="256" spans="1:24" ht="16.2" customHeight="1" thickBot="1" x14ac:dyDescent="0.35">
      <c r="A256" s="59" t="s">
        <v>83</v>
      </c>
      <c r="B256" s="189">
        <f>VLOOKUP($A256,'Growth Analysis'!A:G,2,FALSE)</f>
        <v>0</v>
      </c>
      <c r="C256" s="189">
        <f>VLOOKUP(A256,'Growth Analysis'!A:G,4,FALSE)</f>
        <v>1</v>
      </c>
      <c r="D256" s="50">
        <f t="shared" si="62"/>
        <v>1</v>
      </c>
      <c r="E256" s="49">
        <f>VLOOKUP($A256,'Growth Analysis'!$A:$G,5,FALSE)</f>
        <v>0</v>
      </c>
      <c r="F256" s="49">
        <f>VLOOKUP($A256,'Growth Analysis'!$A:$G,6,FALSE)</f>
        <v>3531179.5389741389</v>
      </c>
      <c r="G256" s="50">
        <f t="shared" si="63"/>
        <v>1</v>
      </c>
      <c r="H256" s="159">
        <f t="shared" si="64"/>
        <v>1.9784948161351702E-3</v>
      </c>
      <c r="I256" s="158">
        <f t="shared" si="65"/>
        <v>0</v>
      </c>
      <c r="J256" s="157">
        <v>0</v>
      </c>
      <c r="K256" s="156">
        <f>VLOOKUP($A256,[1]Notes!$A:$G,3,FALSE)</f>
        <v>2760009.3952905019</v>
      </c>
      <c r="L256" s="155">
        <f>VLOOKUP($A256,[1]Notes!$A:$G,5,FALSE)</f>
        <v>1656005.6371743013</v>
      </c>
      <c r="M256" s="155">
        <f>VLOOKUP($A256,[1]Notes!$A:$G,7,FALSE)</f>
        <v>1766406.0129859215</v>
      </c>
      <c r="N256" s="154">
        <f t="shared" si="66"/>
        <v>6182421.0454507247</v>
      </c>
      <c r="O256" s="45">
        <f t="shared" si="74"/>
        <v>2670968.0017824797</v>
      </c>
      <c r="P256" s="45">
        <f t="shared" si="67"/>
        <v>1602580.8010694878</v>
      </c>
      <c r="Q256" s="45">
        <f t="shared" si="68"/>
        <v>1709419.5211407871</v>
      </c>
      <c r="R256" s="45">
        <f t="shared" si="69"/>
        <v>5982968.3239927543</v>
      </c>
      <c r="S256" s="153">
        <f t="shared" si="79"/>
        <v>-3.2261264639155462E-2</v>
      </c>
      <c r="T256">
        <f>VLOOKUP($A256,'[2]All month (2)'!$E:$Y,8,FALSE)</f>
        <v>0</v>
      </c>
      <c r="U256">
        <f>VLOOKUP($A256,'[2]All month (2)'!$E:$Y,14,FALSE)</f>
        <v>1051609.72</v>
      </c>
      <c r="V256">
        <f>VLOOKUP($A256,'[2]All month (2)'!$E:$Y,20,FALSE)</f>
        <v>1371705</v>
      </c>
      <c r="W256">
        <f>SUM(T256:V256)</f>
        <v>2423314.7199999997</v>
      </c>
      <c r="X256" s="152">
        <f t="shared" si="70"/>
        <v>1.4689192347219164</v>
      </c>
    </row>
    <row r="257" spans="1:24" ht="16.2" thickBot="1" x14ac:dyDescent="0.35">
      <c r="A257" s="56" t="s">
        <v>82</v>
      </c>
      <c r="B257" s="42">
        <f>SUM(B251:B256)</f>
        <v>509.88973799999997</v>
      </c>
      <c r="C257" s="40">
        <f>SUM(C251:C256)</f>
        <v>4.1903308068733871</v>
      </c>
      <c r="D257" s="41">
        <f t="shared" si="62"/>
        <v>-0.99178188832881875</v>
      </c>
      <c r="E257" s="40">
        <f>SUM(E251:E256)</f>
        <v>13349194.92</v>
      </c>
      <c r="F257" s="40">
        <f>SUM(F251:F256)</f>
        <v>20093441.529000003</v>
      </c>
      <c r="G257" s="151">
        <f t="shared" si="63"/>
        <v>0.50521747936241856</v>
      </c>
      <c r="H257" s="150">
        <f t="shared" si="64"/>
        <v>1.1258212578732548E-2</v>
      </c>
      <c r="I257" s="150">
        <f t="shared" si="65"/>
        <v>8.2977305472058255E-3</v>
      </c>
      <c r="J257" s="42">
        <f>SUM(J251:J256)</f>
        <v>499.89189999999996</v>
      </c>
      <c r="K257" s="165">
        <f>SUM(K251:K256)</f>
        <v>13800000</v>
      </c>
      <c r="L257" s="165">
        <f>SUM(L251:L256)</f>
        <v>8280000</v>
      </c>
      <c r="M257" s="165">
        <f>SUM(M251:M256)</f>
        <v>8832000</v>
      </c>
      <c r="N257" s="36">
        <f t="shared" si="66"/>
        <v>30912000</v>
      </c>
      <c r="O257" s="36">
        <f t="shared" si="74"/>
        <v>15198586.98128894</v>
      </c>
      <c r="P257" s="36">
        <f t="shared" si="67"/>
        <v>9119152.1887733638</v>
      </c>
      <c r="Q257" s="36">
        <f t="shared" si="68"/>
        <v>9727095.6680249218</v>
      </c>
      <c r="R257" s="148">
        <f t="shared" si="69"/>
        <v>34044834.838087223</v>
      </c>
      <c r="S257" s="41"/>
      <c r="T257" s="42">
        <f>SUM(T251:T256)</f>
        <v>7557200</v>
      </c>
      <c r="U257" s="42">
        <f>SUM(U251:U256)</f>
        <v>5534788</v>
      </c>
      <c r="V257" s="42">
        <f>SUM(V251:V256)</f>
        <v>7219500</v>
      </c>
      <c r="W257" s="147">
        <f>SUM(W251:W256)</f>
        <v>20311488</v>
      </c>
      <c r="X257" s="146">
        <f t="shared" si="70"/>
        <v>0.67613691513330898</v>
      </c>
    </row>
    <row r="258" spans="1:24" ht="16.2" customHeight="1" x14ac:dyDescent="0.3">
      <c r="A258" s="58" t="s">
        <v>81</v>
      </c>
      <c r="B258" s="189">
        <f>VLOOKUP($A258,'Growth Analysis'!A:G,2,FALSE)</f>
        <v>0</v>
      </c>
      <c r="C258" s="189">
        <f>VLOOKUP(A258,'Growth Analysis'!A:G,4,FALSE)</f>
        <v>1</v>
      </c>
      <c r="D258" s="50">
        <f t="shared" si="62"/>
        <v>1</v>
      </c>
      <c r="E258" s="49">
        <f>VLOOKUP($A258,'Growth Analysis'!$A:$G,5,FALSE)</f>
        <v>0</v>
      </c>
      <c r="F258" s="49">
        <f>VLOOKUP($A258,'Growth Analysis'!$A:$G,6,FALSE)</f>
        <v>7479826.1411501793</v>
      </c>
      <c r="G258" s="50">
        <f t="shared" si="63"/>
        <v>1</v>
      </c>
      <c r="H258" s="159">
        <f t="shared" si="64"/>
        <v>4.1908934627994691E-3</v>
      </c>
      <c r="I258" s="158">
        <f t="shared" si="65"/>
        <v>0</v>
      </c>
      <c r="J258" s="157">
        <v>0</v>
      </c>
      <c r="K258" s="164">
        <f>VLOOKUP($A258,[1]Notes!$A:$G,3,FALSE)</f>
        <v>6656096.4140314544</v>
      </c>
      <c r="L258" s="163">
        <f>VLOOKUP($A258,[1]Notes!$A:$G,5,FALSE)</f>
        <v>3993657.8484188728</v>
      </c>
      <c r="M258" s="163">
        <f>VLOOKUP($A258,[1]Notes!$A:$G,7,FALSE)</f>
        <v>4259901.7049801312</v>
      </c>
      <c r="N258" s="154">
        <f t="shared" si="66"/>
        <v>14909655.967430457</v>
      </c>
      <c r="O258" s="45">
        <f t="shared" si="74"/>
        <v>5657706.1747792829</v>
      </c>
      <c r="P258" s="45">
        <f t="shared" si="67"/>
        <v>3394623.7048675702</v>
      </c>
      <c r="Q258" s="45">
        <f t="shared" si="68"/>
        <v>3620931.9518587412</v>
      </c>
      <c r="R258" s="45">
        <f t="shared" si="69"/>
        <v>12673261.831505593</v>
      </c>
      <c r="S258" s="153">
        <f>R258/N258-1</f>
        <v>-0.14999636080203171</v>
      </c>
      <c r="T258">
        <f>VLOOKUP($A258,'[2]All month (2)'!$E:$Y,8,FALSE)</f>
        <v>0</v>
      </c>
      <c r="U258">
        <f>VLOOKUP($A258,'[2]All month (2)'!$E:$Y,14,FALSE)</f>
        <v>2842000</v>
      </c>
      <c r="V258">
        <f>VLOOKUP($A258,'[2]All month (2)'!$E:$Y,20,FALSE)</f>
        <v>2494000</v>
      </c>
      <c r="W258">
        <f>SUM(T258:V258)</f>
        <v>5336000</v>
      </c>
      <c r="X258" s="152">
        <f t="shared" si="70"/>
        <v>1.3750490688728623</v>
      </c>
    </row>
    <row r="259" spans="1:24" ht="16.2" customHeight="1" x14ac:dyDescent="0.3">
      <c r="A259" s="57" t="s">
        <v>80</v>
      </c>
      <c r="B259" s="189">
        <f>VLOOKUP($A259,'Growth Analysis'!A:G,2,FALSE)</f>
        <v>0</v>
      </c>
      <c r="C259" s="189">
        <f>VLOOKUP(A259,'Growth Analysis'!A:G,4,FALSE)</f>
        <v>1</v>
      </c>
      <c r="D259" s="50">
        <f t="shared" si="62"/>
        <v>1</v>
      </c>
      <c r="E259" s="49">
        <f>VLOOKUP($A259,'Growth Analysis'!$A:$G,5,FALSE)</f>
        <v>91800</v>
      </c>
      <c r="F259" s="49">
        <f>VLOOKUP($A259,'Growth Analysis'!$A:$G,6,FALSE)</f>
        <v>8089617.7763976837</v>
      </c>
      <c r="G259" s="50">
        <f t="shared" si="63"/>
        <v>87.122197999974773</v>
      </c>
      <c r="H259" s="159">
        <f t="shared" si="64"/>
        <v>4.5325553850959141E-3</v>
      </c>
      <c r="I259" s="158">
        <f t="shared" si="65"/>
        <v>5.706199278671517E-5</v>
      </c>
      <c r="J259" s="157">
        <v>0</v>
      </c>
      <c r="K259" s="162">
        <f>VLOOKUP($A259,[1]Notes!$A:$G,3,FALSE)</f>
        <v>6212356.6530960221</v>
      </c>
      <c r="L259" s="161">
        <f>VLOOKUP($A259,[1]Notes!$A:$G,5,FALSE)</f>
        <v>3727413.991857613</v>
      </c>
      <c r="M259" s="161">
        <f>VLOOKUP($A259,[1]Notes!$A:$G,7,FALSE)</f>
        <v>3975908.2579814545</v>
      </c>
      <c r="N259" s="154">
        <f t="shared" si="66"/>
        <v>13915678.90293509</v>
      </c>
      <c r="O259" s="45">
        <f t="shared" si="74"/>
        <v>6118949.7698794836</v>
      </c>
      <c r="P259" s="45">
        <f t="shared" si="67"/>
        <v>3671369.8619276905</v>
      </c>
      <c r="Q259" s="45">
        <f t="shared" si="68"/>
        <v>3916127.8527228697</v>
      </c>
      <c r="R259" s="45">
        <f t="shared" si="69"/>
        <v>13706447.484530045</v>
      </c>
      <c r="S259" s="153">
        <f>R259/N259-1</f>
        <v>-1.5035660125853667E-2</v>
      </c>
      <c r="T259">
        <f>VLOOKUP($A259,'[2]All month (2)'!$E:$Y,8,FALSE)</f>
        <v>30000</v>
      </c>
      <c r="U259">
        <f>VLOOKUP($A259,'[2]All month (2)'!$E:$Y,14,FALSE)</f>
        <v>2744000</v>
      </c>
      <c r="V259">
        <f>VLOOKUP($A259,'[2]All month (2)'!$E:$Y,20,FALSE)</f>
        <v>2408000</v>
      </c>
      <c r="W259">
        <f>SUM(T259:V259)</f>
        <v>5182000</v>
      </c>
      <c r="X259" s="152">
        <f t="shared" si="70"/>
        <v>1.645011093116566</v>
      </c>
    </row>
    <row r="260" spans="1:24" ht="16.2" customHeight="1" x14ac:dyDescent="0.3">
      <c r="A260" s="57" t="s">
        <v>79</v>
      </c>
      <c r="B260" s="189">
        <f>VLOOKUP($A260,'Growth Analysis'!A:G,2,FALSE)</f>
        <v>0</v>
      </c>
      <c r="C260" s="189">
        <f>VLOOKUP(A260,'Growth Analysis'!A:G,4,FALSE)</f>
        <v>1</v>
      </c>
      <c r="D260" s="50">
        <f t="shared" si="62"/>
        <v>1</v>
      </c>
      <c r="E260" s="49">
        <f>VLOOKUP($A260,'Growth Analysis'!$A:$G,5,FALSE)</f>
        <v>0</v>
      </c>
      <c r="F260" s="49">
        <f>VLOOKUP($A260,'Growth Analysis'!$A:$G,6,FALSE)</f>
        <v>1589672.9813973701</v>
      </c>
      <c r="G260" s="50">
        <f t="shared" si="63"/>
        <v>1</v>
      </c>
      <c r="H260" s="159">
        <f t="shared" si="64"/>
        <v>8.906824811175005E-4</v>
      </c>
      <c r="I260" s="158">
        <f t="shared" si="65"/>
        <v>0</v>
      </c>
      <c r="J260" s="157">
        <v>0</v>
      </c>
      <c r="K260" s="162">
        <f>VLOOKUP($A260,[1]Notes!$A:$G,3,FALSE)</f>
        <v>1153723.3784321186</v>
      </c>
      <c r="L260" s="161">
        <f>VLOOKUP($A260,[1]Notes!$A:$G,5,FALSE)</f>
        <v>692234.02705927112</v>
      </c>
      <c r="M260" s="161">
        <f>VLOOKUP($A260,[1]Notes!$A:$G,7,FALSE)</f>
        <v>738382.9621965558</v>
      </c>
      <c r="N260" s="154">
        <f t="shared" si="66"/>
        <v>2584340.3676879457</v>
      </c>
      <c r="O260" s="45">
        <f t="shared" si="74"/>
        <v>1202421.3495086257</v>
      </c>
      <c r="P260" s="45">
        <f t="shared" si="67"/>
        <v>721452.80970517546</v>
      </c>
      <c r="Q260" s="45">
        <f t="shared" si="68"/>
        <v>769549.66368552041</v>
      </c>
      <c r="R260" s="45">
        <f t="shared" si="69"/>
        <v>2693423.8228993216</v>
      </c>
      <c r="S260" s="153">
        <f>R260/N260-1</f>
        <v>4.2209399572613604E-2</v>
      </c>
      <c r="T260">
        <f>VLOOKUP($A260,'[2]All month (2)'!$E:$Y,8,FALSE)</f>
        <v>0</v>
      </c>
      <c r="U260">
        <f>VLOOKUP($A260,'[2]All month (2)'!$E:$Y,14,FALSE)</f>
        <v>294000</v>
      </c>
      <c r="V260">
        <f>VLOOKUP($A260,'[2]All month (2)'!$E:$Y,20,FALSE)</f>
        <v>258000</v>
      </c>
      <c r="W260">
        <f>SUM(T260:V260)</f>
        <v>552000</v>
      </c>
      <c r="X260" s="152">
        <f t="shared" si="70"/>
        <v>3.8793909835132636</v>
      </c>
    </row>
    <row r="261" spans="1:24" ht="16.2" customHeight="1" x14ac:dyDescent="0.3">
      <c r="A261" s="57" t="s">
        <v>78</v>
      </c>
      <c r="B261" s="189">
        <f>VLOOKUP($A261,'Growth Analysis'!A:G,2,FALSE)</f>
        <v>1022.253435</v>
      </c>
      <c r="C261" s="189">
        <f>VLOOKUP(A261,'Growth Analysis'!A:G,4,FALSE)</f>
        <v>-0.80401473867387885</v>
      </c>
      <c r="D261" s="50">
        <f t="shared" ref="D261:D324" si="80">IFERROR((C261-B261)/B261,100%)</f>
        <v>-1.0007865121418487</v>
      </c>
      <c r="E261" s="49">
        <f>VLOOKUP($A261,'Growth Analysis'!$A:$G,5,FALSE)</f>
        <v>19149480</v>
      </c>
      <c r="F261" s="49">
        <f>VLOOKUP($A261,'Growth Analysis'!$A:$G,6,FALSE)</f>
        <v>11309590.849618679</v>
      </c>
      <c r="G261" s="50">
        <f t="shared" ref="G261:G324" si="81">IFERROR((F261-E261)/E261,100%)</f>
        <v>-0.40940480631230303</v>
      </c>
      <c r="H261" s="159">
        <f t="shared" ref="H261:H324" si="82">F261/$F$3</f>
        <v>6.3366834287561791E-3</v>
      </c>
      <c r="I261" s="158">
        <f t="shared" ref="I261:I324" si="83">E261/$E$3</f>
        <v>1.1903131695308785E-2</v>
      </c>
      <c r="J261" s="157">
        <v>1002.20925</v>
      </c>
      <c r="K261" s="162">
        <f>VLOOKUP($A261,[1]Notes!$A:$G,3,FALSE)</f>
        <v>8520016.4050455056</v>
      </c>
      <c r="L261" s="161">
        <f>VLOOKUP($A261,[1]Notes!$A:$G,5,FALSE)</f>
        <v>5112009.843027303</v>
      </c>
      <c r="M261" s="161">
        <f>VLOOKUP($A261,[1]Notes!$A:$G,7,FALSE)</f>
        <v>5452810.4992291238</v>
      </c>
      <c r="N261" s="154">
        <f t="shared" ref="N261:N324" si="84">SUM(K261:M261)</f>
        <v>19084836.747301932</v>
      </c>
      <c r="O261" s="45">
        <f t="shared" si="74"/>
        <v>8554522.6288208421</v>
      </c>
      <c r="P261" s="45">
        <f t="shared" ref="P261:P324" si="85">$P$3*H261</f>
        <v>5132713.5772925047</v>
      </c>
      <c r="Q261" s="45">
        <f t="shared" ref="Q261:Q324" si="86">$Q$3*H261</f>
        <v>5474894.4824453387</v>
      </c>
      <c r="R261" s="45">
        <f t="shared" ref="R261:R324" si="87">SUM(O261:Q261)</f>
        <v>19162130.688558683</v>
      </c>
      <c r="S261" s="153">
        <f>R261/N261-1</f>
        <v>4.0500184665019923E-3</v>
      </c>
      <c r="T261">
        <f>VLOOKUP($A261,'[2]All month (2)'!$E:$Y,8,FALSE)</f>
        <v>16808920</v>
      </c>
      <c r="U261">
        <f>VLOOKUP($A261,'[2]All month (2)'!$E:$Y,14,FALSE)</f>
        <v>3920000</v>
      </c>
      <c r="V261">
        <f>VLOOKUP($A261,'[2]All month (2)'!$E:$Y,20,FALSE)</f>
        <v>3440000</v>
      </c>
      <c r="W261">
        <f>SUM(T261:V261)</f>
        <v>24168920</v>
      </c>
      <c r="X261" s="152">
        <f t="shared" ref="X261:X324" si="88">IFERROR((R261-W261)/W261,100%)</f>
        <v>-0.20715817303550665</v>
      </c>
    </row>
    <row r="262" spans="1:24" ht="16.2" customHeight="1" thickBot="1" x14ac:dyDescent="0.35">
      <c r="A262" s="59" t="s">
        <v>77</v>
      </c>
      <c r="B262" s="189">
        <f>VLOOKUP($A262,'Growth Analysis'!A:G,2,FALSE)</f>
        <v>573.42564000000004</v>
      </c>
      <c r="C262" s="189">
        <f>VLOOKUP(A262,'Growth Analysis'!A:G,4,FALSE)</f>
        <v>-0.44105747521160726</v>
      </c>
      <c r="D262" s="50">
        <f t="shared" si="80"/>
        <v>-1.0007691624588178</v>
      </c>
      <c r="E262" s="49">
        <f>VLOOKUP($A262,'Growth Analysis'!$A:$G,5,FALSE)</f>
        <v>16190460</v>
      </c>
      <c r="F262" s="49">
        <f>VLOOKUP($A262,'Growth Analysis'!$A:$G,6,FALSE)</f>
        <v>16111652.550000001</v>
      </c>
      <c r="G262" s="50">
        <f t="shared" si="81"/>
        <v>-4.8675238381120272E-3</v>
      </c>
      <c r="H262" s="159">
        <f t="shared" si="82"/>
        <v>9.0272444937214077E-3</v>
      </c>
      <c r="I262" s="158">
        <f t="shared" si="83"/>
        <v>1.0063833461150333E-2</v>
      </c>
      <c r="J262" s="157">
        <v>562.18200000000002</v>
      </c>
      <c r="K262" s="156">
        <f>VLOOKUP($A262,[1]Notes!$A:$G,3,FALSE)</f>
        <v>12013007.1493949</v>
      </c>
      <c r="L262" s="155">
        <f>VLOOKUP($A262,[1]Notes!$A:$G,5,FALSE)</f>
        <v>7207804.2896369398</v>
      </c>
      <c r="M262" s="155">
        <f>VLOOKUP($A262,[1]Notes!$A:$G,7,FALSE)</f>
        <v>7688324.5756127359</v>
      </c>
      <c r="N262" s="154">
        <f t="shared" si="84"/>
        <v>26909136.014644574</v>
      </c>
      <c r="O262" s="45">
        <f t="shared" si="74"/>
        <v>12186780.0665239</v>
      </c>
      <c r="P262" s="45">
        <f t="shared" si="85"/>
        <v>7312068.0399143407</v>
      </c>
      <c r="Q262" s="45">
        <f t="shared" si="86"/>
        <v>7799539.2425752962</v>
      </c>
      <c r="R262" s="45">
        <f t="shared" si="87"/>
        <v>27298387.349013537</v>
      </c>
      <c r="S262" s="153">
        <f>R262/N262-1</f>
        <v>1.4465396962471067E-2</v>
      </c>
      <c r="T262">
        <f>VLOOKUP($A262,'[2]All month (2)'!$E:$Y,8,FALSE)</f>
        <v>6770000</v>
      </c>
      <c r="U262">
        <f>VLOOKUP($A262,'[2]All month (2)'!$E:$Y,14,FALSE)</f>
        <v>5340000</v>
      </c>
      <c r="V262">
        <f>VLOOKUP($A262,'[2]All month (2)'!$E:$Y,20,FALSE)</f>
        <v>6500000</v>
      </c>
      <c r="W262">
        <f>SUM(T262:V262)</f>
        <v>18610000</v>
      </c>
      <c r="X262" s="152">
        <f t="shared" si="88"/>
        <v>0.46686659586316698</v>
      </c>
    </row>
    <row r="263" spans="1:24" ht="16.2" thickBot="1" x14ac:dyDescent="0.35">
      <c r="A263" s="56" t="s">
        <v>76</v>
      </c>
      <c r="B263" s="42">
        <f>SUM(B258:B262)</f>
        <v>1595.679075</v>
      </c>
      <c r="C263" s="40">
        <f>SUM(C258:C262)</f>
        <v>1.7549277861145138</v>
      </c>
      <c r="D263" s="41">
        <f t="shared" si="80"/>
        <v>-0.9989002000379591</v>
      </c>
      <c r="E263" s="40">
        <f>SUM(E258:E262)</f>
        <v>35431740</v>
      </c>
      <c r="F263" s="40">
        <f>SUM(F258:F262)</f>
        <v>44580360.298563913</v>
      </c>
      <c r="G263" s="151">
        <f t="shared" si="81"/>
        <v>0.25820409323854582</v>
      </c>
      <c r="H263" s="150">
        <f t="shared" si="82"/>
        <v>2.4978059251490471E-2</v>
      </c>
      <c r="I263" s="150">
        <f t="shared" si="83"/>
        <v>2.2024027149245833E-2</v>
      </c>
      <c r="J263" s="42">
        <f>SUM(J258:J262)</f>
        <v>1564.3912500000001</v>
      </c>
      <c r="K263" s="165">
        <f>SUM(K258:K262)</f>
        <v>34555200</v>
      </c>
      <c r="L263" s="165">
        <f>SUM(L258:L262)</f>
        <v>20733120</v>
      </c>
      <c r="M263" s="165">
        <f>SUM(M258:M262)</f>
        <v>22115328</v>
      </c>
      <c r="N263" s="36">
        <f t="shared" si="84"/>
        <v>77403648</v>
      </c>
      <c r="O263" s="36">
        <f t="shared" si="74"/>
        <v>33720379.989512138</v>
      </c>
      <c r="P263" s="36">
        <f t="shared" si="85"/>
        <v>20232227.993707281</v>
      </c>
      <c r="Q263" s="36">
        <f t="shared" si="86"/>
        <v>21581043.193287767</v>
      </c>
      <c r="R263" s="148">
        <f t="shared" si="87"/>
        <v>75533651.176507175</v>
      </c>
      <c r="S263" s="41"/>
      <c r="T263" s="42">
        <f>SUM(T258:T262)</f>
        <v>23608920</v>
      </c>
      <c r="U263" s="42">
        <f>SUM(U258:U262)</f>
        <v>15140000</v>
      </c>
      <c r="V263" s="42">
        <f>SUM(V258:V262)</f>
        <v>15100000</v>
      </c>
      <c r="W263" s="147">
        <f>SUM(W258:W262)</f>
        <v>53848920</v>
      </c>
      <c r="X263" s="146">
        <f t="shared" si="88"/>
        <v>0.4026957490792234</v>
      </c>
    </row>
    <row r="264" spans="1:24" ht="16.2" customHeight="1" x14ac:dyDescent="0.3">
      <c r="A264" s="63" t="s">
        <v>75</v>
      </c>
      <c r="B264" s="189">
        <f>VLOOKUP($A264,'Growth Analysis'!A:G,2,FALSE)</f>
        <v>797.28687600000001</v>
      </c>
      <c r="C264" s="189">
        <f>VLOOKUP(A264,'Growth Analysis'!A:G,4,FALSE)</f>
        <v>-0.79756429290578212</v>
      </c>
      <c r="D264" s="50">
        <f t="shared" si="80"/>
        <v>-1.0010003479511755</v>
      </c>
      <c r="E264" s="49">
        <f>VLOOKUP($A264,'Growth Analysis'!$A:$G,5,FALSE)</f>
        <v>20680919.219999999</v>
      </c>
      <c r="F264" s="49">
        <f>VLOOKUP($A264,'Growth Analysis'!$A:$G,6,FALSE)</f>
        <v>9385640.25</v>
      </c>
      <c r="G264" s="50">
        <f t="shared" si="81"/>
        <v>-0.54616909673321568</v>
      </c>
      <c r="H264" s="159">
        <f t="shared" si="82"/>
        <v>5.258707572294471E-3</v>
      </c>
      <c r="I264" s="158">
        <f t="shared" si="83"/>
        <v>1.2855059513663171E-2</v>
      </c>
      <c r="J264" s="157">
        <v>781.65380000000005</v>
      </c>
      <c r="K264" s="164">
        <f>VLOOKUP($A264,[1]Notes!$A:$G,3,FALSE)</f>
        <v>7444355.3065057853</v>
      </c>
      <c r="L264" s="163">
        <f>VLOOKUP($A264,[1]Notes!$A:$G,5,FALSE)</f>
        <v>4466613.1839034706</v>
      </c>
      <c r="M264" s="163">
        <f>VLOOKUP($A264,[1]Notes!$A:$G,7,FALSE)</f>
        <v>4764387.396163702</v>
      </c>
      <c r="N264" s="154">
        <f t="shared" si="84"/>
        <v>16675355.886572957</v>
      </c>
      <c r="O264" s="45">
        <f t="shared" si="74"/>
        <v>7099255.2225975357</v>
      </c>
      <c r="P264" s="45">
        <f t="shared" si="85"/>
        <v>4259553.133558521</v>
      </c>
      <c r="Q264" s="45">
        <f t="shared" si="86"/>
        <v>4543523.3424624233</v>
      </c>
      <c r="R264" s="45">
        <f t="shared" si="87"/>
        <v>15902331.698618479</v>
      </c>
      <c r="S264" s="153">
        <f t="shared" ref="S264:S269" si="89">R264/N264-1</f>
        <v>-4.6357282759819207E-2</v>
      </c>
      <c r="T264">
        <f>VLOOKUP($A264,'[2]All month (2)'!$E:$Y,8,FALSE)</f>
        <v>14377118</v>
      </c>
      <c r="U264">
        <f>VLOOKUP($A264,'[2]All month (2)'!$E:$Y,14,FALSE)</f>
        <v>2217697.2599999998</v>
      </c>
      <c r="V264">
        <f>VLOOKUP($A264,'[2]All month (2)'!$E:$Y,20,FALSE)</f>
        <v>4301099.28</v>
      </c>
      <c r="W264">
        <f>SUM(T264:V264)</f>
        <v>20895914.539999999</v>
      </c>
      <c r="X264" s="152">
        <f t="shared" si="88"/>
        <v>-0.23897412251675107</v>
      </c>
    </row>
    <row r="265" spans="1:24" ht="16.2" customHeight="1" x14ac:dyDescent="0.3">
      <c r="A265" s="62" t="s">
        <v>74</v>
      </c>
      <c r="B265" s="189">
        <f>VLOOKUP($A265,'Growth Analysis'!A:G,2,FALSE)</f>
        <v>0</v>
      </c>
      <c r="C265" s="189">
        <f>VLOOKUP(A265,'Growth Analysis'!A:G,4,FALSE)</f>
        <v>1</v>
      </c>
      <c r="D265" s="50">
        <f t="shared" si="80"/>
        <v>1</v>
      </c>
      <c r="E265" s="49">
        <f>VLOOKUP($A265,'Growth Analysis'!$A:$G,5,FALSE)</f>
        <v>0</v>
      </c>
      <c r="F265" s="49">
        <f>VLOOKUP($A265,'Growth Analysis'!$A:$G,6,FALSE)</f>
        <v>25069960.819857974</v>
      </c>
      <c r="G265" s="50">
        <f t="shared" si="81"/>
        <v>1</v>
      </c>
      <c r="H265" s="159">
        <f t="shared" si="82"/>
        <v>1.4046520992588952E-2</v>
      </c>
      <c r="I265" s="158">
        <f t="shared" si="83"/>
        <v>0</v>
      </c>
      <c r="J265" s="157">
        <v>0</v>
      </c>
      <c r="K265" s="162">
        <f>VLOOKUP($A265,[1]Notes!$A:$G,3,FALSE)</f>
        <v>5895600.2644404843</v>
      </c>
      <c r="L265" s="161">
        <f>VLOOKUP($A265,[1]Notes!$A:$G,5,FALSE)</f>
        <v>3537360.1586642908</v>
      </c>
      <c r="M265" s="161">
        <f>VLOOKUP($A265,[1]Notes!$A:$G,7,FALSE)</f>
        <v>3773184.1692419108</v>
      </c>
      <c r="N265" s="154">
        <f t="shared" si="84"/>
        <v>13206144.592346685</v>
      </c>
      <c r="O265" s="45">
        <f t="shared" si="74"/>
        <v>18962803.339995086</v>
      </c>
      <c r="P265" s="45">
        <f t="shared" si="85"/>
        <v>11377682.00399705</v>
      </c>
      <c r="Q265" s="45">
        <f t="shared" si="86"/>
        <v>12136194.137596855</v>
      </c>
      <c r="R265" s="45">
        <f t="shared" si="87"/>
        <v>42476679.481588989</v>
      </c>
      <c r="S265" s="153">
        <f t="shared" si="89"/>
        <v>2.2164330160526462</v>
      </c>
      <c r="T265">
        <f>VLOOKUP($A265,'[2]All month (2)'!$E:$Y,8,FALSE)</f>
        <v>0</v>
      </c>
      <c r="U265">
        <f>VLOOKUP($A265,'[2]All month (2)'!$E:$Y,14,FALSE)</f>
        <v>3978809.79</v>
      </c>
      <c r="V265">
        <f>VLOOKUP($A265,'[2]All month (2)'!$E:$Y,20,FALSE)</f>
        <v>7716678.1200000001</v>
      </c>
      <c r="W265">
        <f>SUM(T265:V265)</f>
        <v>11695487.91</v>
      </c>
      <c r="X265" s="152">
        <f t="shared" si="88"/>
        <v>2.6318860579788321</v>
      </c>
    </row>
    <row r="266" spans="1:24" ht="16.2" customHeight="1" x14ac:dyDescent="0.3">
      <c r="A266" s="62" t="s">
        <v>73</v>
      </c>
      <c r="B266" s="189">
        <f>VLOOKUP($A266,'Growth Analysis'!A:G,2,FALSE)</f>
        <v>0</v>
      </c>
      <c r="C266" s="189">
        <f>VLOOKUP(A266,'Growth Analysis'!A:G,4,FALSE)</f>
        <v>1</v>
      </c>
      <c r="D266" s="50">
        <f t="shared" si="80"/>
        <v>1</v>
      </c>
      <c r="E266" s="49">
        <f>VLOOKUP($A266,'Growth Analysis'!$A:$G,5,FALSE)</f>
        <v>0</v>
      </c>
      <c r="F266" s="49">
        <f>VLOOKUP($A266,'Growth Analysis'!$A:$G,6,FALSE)</f>
        <v>9266292.8801420331</v>
      </c>
      <c r="G266" s="50">
        <f t="shared" si="81"/>
        <v>1</v>
      </c>
      <c r="H266" s="159">
        <f t="shared" si="82"/>
        <v>5.1918380886057562E-3</v>
      </c>
      <c r="I266" s="158">
        <f t="shared" si="83"/>
        <v>0</v>
      </c>
      <c r="J266" s="157">
        <v>0</v>
      </c>
      <c r="K266" s="162">
        <f>VLOOKUP($A266,[1]Notes!$A:$G,3,FALSE)</f>
        <v>2007466.5995071775</v>
      </c>
      <c r="L266" s="161">
        <f>VLOOKUP($A266,[1]Notes!$A:$G,5,FALSE)</f>
        <v>1204479.9597043064</v>
      </c>
      <c r="M266" s="161">
        <f>VLOOKUP($A266,[1]Notes!$A:$G,7,FALSE)</f>
        <v>1284778.6236845937</v>
      </c>
      <c r="N266" s="154">
        <f t="shared" si="84"/>
        <v>4496725.1828960776</v>
      </c>
      <c r="O266" s="45">
        <f t="shared" si="74"/>
        <v>7008981.4196177712</v>
      </c>
      <c r="P266" s="45">
        <f t="shared" si="85"/>
        <v>4205388.8517706627</v>
      </c>
      <c r="Q266" s="45">
        <f t="shared" si="86"/>
        <v>4485748.1085553737</v>
      </c>
      <c r="R266" s="45">
        <f t="shared" si="87"/>
        <v>15700118.379943807</v>
      </c>
      <c r="S266" s="153">
        <f t="shared" si="89"/>
        <v>2.4914560577687515</v>
      </c>
      <c r="T266">
        <f>VLOOKUP($A266,'[2]All month (2)'!$E:$Y,8,FALSE)</f>
        <v>0</v>
      </c>
      <c r="U266">
        <f>VLOOKUP($A266,'[2]All month (2)'!$E:$Y,14,FALSE)</f>
        <v>326131.95</v>
      </c>
      <c r="V266">
        <f>VLOOKUP($A266,'[2]All month (2)'!$E:$Y,20,FALSE)</f>
        <v>632514.6</v>
      </c>
      <c r="W266">
        <f>SUM(T266:V266)</f>
        <v>958646.55</v>
      </c>
      <c r="X266" s="152">
        <f t="shared" si="88"/>
        <v>15.377379525273215</v>
      </c>
    </row>
    <row r="267" spans="1:24" ht="16.2" customHeight="1" x14ac:dyDescent="0.3">
      <c r="A267" s="169" t="s">
        <v>72</v>
      </c>
      <c r="B267" s="189">
        <f>VLOOKUP($A267,'Growth Analysis'!A:G,2,FALSE)</f>
        <v>0</v>
      </c>
      <c r="C267" s="189">
        <f>VLOOKUP(A267,'Growth Analysis'!A:G,4,FALSE)</f>
        <v>1</v>
      </c>
      <c r="D267" s="50">
        <f t="shared" si="80"/>
        <v>1</v>
      </c>
      <c r="E267" s="49">
        <f>VLOOKUP($A267,'Growth Analysis'!$A:$G,5,FALSE)</f>
        <v>0</v>
      </c>
      <c r="F267" s="49">
        <f>VLOOKUP($A267,'Growth Analysis'!$A:$G,6,FALSE)</f>
        <v>3395662.1458142912</v>
      </c>
      <c r="G267" s="50">
        <f t="shared" si="81"/>
        <v>1</v>
      </c>
      <c r="H267" s="159">
        <f t="shared" si="82"/>
        <v>1.9025653832350227E-3</v>
      </c>
      <c r="I267" s="158">
        <f t="shared" si="83"/>
        <v>0</v>
      </c>
      <c r="J267" s="157">
        <v>0</v>
      </c>
      <c r="K267" s="162">
        <f>VLOOKUP($A267,[1]Notes!$A:$G,3,FALSE)</f>
        <v>5895600.2644404843</v>
      </c>
      <c r="L267" s="161">
        <f>VLOOKUP($A267,[1]Notes!$A:$G,5,FALSE)</f>
        <v>3537360.1586642908</v>
      </c>
      <c r="M267" s="161">
        <f>VLOOKUP($A267,[1]Notes!$A:$G,7,FALSE)</f>
        <v>3773184.1692419108</v>
      </c>
      <c r="N267" s="154">
        <f t="shared" si="84"/>
        <v>13206144.592346685</v>
      </c>
      <c r="O267" s="45">
        <f t="shared" si="74"/>
        <v>2568463.2673672806</v>
      </c>
      <c r="P267" s="45">
        <f t="shared" si="85"/>
        <v>1541077.9604203682</v>
      </c>
      <c r="Q267" s="45">
        <f t="shared" si="86"/>
        <v>1643816.4911150595</v>
      </c>
      <c r="R267" s="45">
        <f t="shared" si="87"/>
        <v>5753357.718902708</v>
      </c>
      <c r="S267" s="153">
        <f t="shared" si="89"/>
        <v>-0.56434236512623581</v>
      </c>
      <c r="X267" s="152">
        <f t="shared" si="88"/>
        <v>1</v>
      </c>
    </row>
    <row r="268" spans="1:24" ht="16.2" customHeight="1" x14ac:dyDescent="0.3">
      <c r="A268" s="62" t="s">
        <v>71</v>
      </c>
      <c r="B268" s="189">
        <f>VLOOKUP($A268,'Growth Analysis'!A:G,2,FALSE)</f>
        <v>199.01882999999998</v>
      </c>
      <c r="C268" s="189">
        <f>VLOOKUP(A268,'Growth Analysis'!A:G,4,FALSE)</f>
        <v>-0.56478486608528444</v>
      </c>
      <c r="D268" s="50">
        <f t="shared" si="80"/>
        <v>-1.0028378463790852</v>
      </c>
      <c r="E268" s="49">
        <f>VLOOKUP($A268,'Growth Analysis'!$A:$G,5,FALSE)</f>
        <v>4539000</v>
      </c>
      <c r="F268" s="49">
        <f>VLOOKUP($A268,'Growth Analysis'!$A:$G,6,FALSE)</f>
        <v>4264686.8897060119</v>
      </c>
      <c r="G268" s="50">
        <f t="shared" si="81"/>
        <v>-6.0434701540865422E-2</v>
      </c>
      <c r="H268" s="159">
        <f t="shared" si="82"/>
        <v>2.3894737751494321E-3</v>
      </c>
      <c r="I268" s="158">
        <f t="shared" si="83"/>
        <v>2.8213985322320281E-3</v>
      </c>
      <c r="J268" s="157">
        <v>195.11649999999997</v>
      </c>
      <c r="K268" s="162">
        <f>VLOOKUP($A268,[1]Notes!$A:$G,3,FALSE)</f>
        <v>4349510.965598884</v>
      </c>
      <c r="L268" s="161">
        <f>VLOOKUP($A268,[1]Notes!$A:$G,5,FALSE)</f>
        <v>2609706.5793593307</v>
      </c>
      <c r="M268" s="161">
        <f>VLOOKUP($A268,[1]Notes!$A:$G,7,FALSE)</f>
        <v>2783687.0179832862</v>
      </c>
      <c r="N268" s="154">
        <f t="shared" si="84"/>
        <v>9742904.5629415009</v>
      </c>
      <c r="O268" s="45">
        <f t="shared" si="74"/>
        <v>3225789.5964517333</v>
      </c>
      <c r="P268" s="45">
        <f t="shared" si="85"/>
        <v>1935473.7578710399</v>
      </c>
      <c r="Q268" s="45">
        <f t="shared" si="86"/>
        <v>2064505.3417291094</v>
      </c>
      <c r="R268" s="45">
        <f t="shared" si="87"/>
        <v>7225768.6960518826</v>
      </c>
      <c r="S268" s="153">
        <f t="shared" si="89"/>
        <v>-0.25835579632627181</v>
      </c>
      <c r="T268">
        <f>VLOOKUP($A268,'[2]All month (2)'!$E:$Y,8,FALSE)</f>
        <v>3022000</v>
      </c>
      <c r="U268">
        <f>VLOOKUP($A268,'[2]All month (2)'!$E:$Y,14,FALSE)</f>
        <v>1058500</v>
      </c>
      <c r="V268">
        <f>VLOOKUP($A268,'[2]All month (2)'!$E:$Y,20,FALSE)</f>
        <v>2383450</v>
      </c>
      <c r="W268">
        <f>SUM(T268:V268)</f>
        <v>6463950</v>
      </c>
      <c r="X268" s="152">
        <f t="shared" si="88"/>
        <v>0.11785652674477411</v>
      </c>
    </row>
    <row r="269" spans="1:24" ht="16.2" customHeight="1" thickBot="1" x14ac:dyDescent="0.35">
      <c r="A269" s="61" t="s">
        <v>70</v>
      </c>
      <c r="B269" s="189">
        <f>VLOOKUP($A269,'Growth Analysis'!A:G,2,FALSE)</f>
        <v>0</v>
      </c>
      <c r="C269" s="189">
        <f>VLOOKUP(A269,'Growth Analysis'!A:G,4,FALSE)</f>
        <v>1</v>
      </c>
      <c r="D269" s="50">
        <f t="shared" si="80"/>
        <v>1</v>
      </c>
      <c r="E269" s="49">
        <f>VLOOKUP($A269,'Growth Analysis'!$A:$G,5,FALSE)</f>
        <v>0</v>
      </c>
      <c r="F269" s="49">
        <f>VLOOKUP($A269,'Growth Analysis'!$A:$G,6,FALSE)</f>
        <v>2718968.1644796976</v>
      </c>
      <c r="G269" s="50">
        <f t="shared" si="81"/>
        <v>1</v>
      </c>
      <c r="H269" s="159">
        <f t="shared" si="82"/>
        <v>1.5234185515875685E-3</v>
      </c>
      <c r="I269" s="158">
        <f t="shared" si="83"/>
        <v>0</v>
      </c>
      <c r="J269" s="157">
        <v>0</v>
      </c>
      <c r="K269" s="156">
        <f>VLOOKUP($A269,[1]Notes!$A:$G,3,FALSE)</f>
        <v>2007466.5995071775</v>
      </c>
      <c r="L269" s="155">
        <f>VLOOKUP($A269,[1]Notes!$A:$G,5,FALSE)</f>
        <v>1204479.9597043064</v>
      </c>
      <c r="M269" s="155">
        <f>VLOOKUP($A269,[1]Notes!$A:$G,7,FALSE)</f>
        <v>1284778.6236845937</v>
      </c>
      <c r="N269" s="154">
        <f t="shared" si="84"/>
        <v>4496725.1828960776</v>
      </c>
      <c r="O269" s="45">
        <f t="shared" si="74"/>
        <v>2056615.0446432175</v>
      </c>
      <c r="P269" s="45">
        <f t="shared" si="85"/>
        <v>1233969.0267859304</v>
      </c>
      <c r="Q269" s="45">
        <f t="shared" si="86"/>
        <v>1316233.6285716591</v>
      </c>
      <c r="R269" s="45">
        <f t="shared" si="87"/>
        <v>4606817.7000008067</v>
      </c>
      <c r="S269" s="153">
        <f t="shared" si="89"/>
        <v>2.4482820858940046E-2</v>
      </c>
      <c r="T269">
        <f>VLOOKUP($A269,'[2]All month (2)'!$E:$Y,8,FALSE)</f>
        <v>0</v>
      </c>
      <c r="U269">
        <f>VLOOKUP($A269,'[2]All month (2)'!$E:$Y,14,FALSE)</f>
        <v>391500</v>
      </c>
      <c r="V269">
        <f>VLOOKUP($A269,'[2]All month (2)'!$E:$Y,20,FALSE)</f>
        <v>881550</v>
      </c>
      <c r="W269">
        <f>SUM(T269:V269)</f>
        <v>1273050</v>
      </c>
      <c r="X269" s="152">
        <f t="shared" si="88"/>
        <v>2.6187248733363235</v>
      </c>
    </row>
    <row r="270" spans="1:24" ht="16.2" thickBot="1" x14ac:dyDescent="0.35">
      <c r="A270" s="56" t="s">
        <v>69</v>
      </c>
      <c r="B270" s="42">
        <f>SUM(B264:B269)</f>
        <v>996.30570599999999</v>
      </c>
      <c r="C270" s="40">
        <f>SUM(C264:C269)</f>
        <v>2.6376508410089334</v>
      </c>
      <c r="D270" s="41">
        <f t="shared" si="80"/>
        <v>-0.99735256876968148</v>
      </c>
      <c r="E270" s="40">
        <f>SUM(E264:E269)</f>
        <v>25219919.219999999</v>
      </c>
      <c r="F270" s="40">
        <f>SUM(F264:F269)</f>
        <v>54101211.149999999</v>
      </c>
      <c r="G270" s="151">
        <f t="shared" si="81"/>
        <v>1.1451778127463805</v>
      </c>
      <c r="H270" s="150">
        <f t="shared" si="82"/>
        <v>3.0312524363461196E-2</v>
      </c>
      <c r="I270" s="150">
        <f t="shared" si="83"/>
        <v>1.5676458045895198E-2</v>
      </c>
      <c r="J270" s="42">
        <f>SUM(J264:J269)</f>
        <v>976.77030000000002</v>
      </c>
      <c r="K270" s="165">
        <f>SUM(K264:K269)</f>
        <v>27599999.999999993</v>
      </c>
      <c r="L270" s="165">
        <f>SUM(L264:L269)</f>
        <v>16559999.999999996</v>
      </c>
      <c r="M270" s="165">
        <f>SUM(M264:M269)</f>
        <v>17663999.999999996</v>
      </c>
      <c r="N270" s="36">
        <f t="shared" si="84"/>
        <v>61823999.999999985</v>
      </c>
      <c r="O270" s="36">
        <f t="shared" si="74"/>
        <v>40921907.890672617</v>
      </c>
      <c r="P270" s="36">
        <f t="shared" si="85"/>
        <v>24553144.734403569</v>
      </c>
      <c r="Q270" s="36">
        <f t="shared" si="86"/>
        <v>26190021.050030474</v>
      </c>
      <c r="R270" s="148">
        <f t="shared" si="87"/>
        <v>91665073.67510666</v>
      </c>
      <c r="S270" s="41"/>
      <c r="T270" s="42">
        <f>SUM(T264:T269)</f>
        <v>17399118</v>
      </c>
      <c r="U270" s="42">
        <f>SUM(U264:U269)</f>
        <v>7972639</v>
      </c>
      <c r="V270" s="42">
        <f>SUM(V264:V269)</f>
        <v>15915292</v>
      </c>
      <c r="W270" s="147">
        <f>SUM(W264:W269)</f>
        <v>41287049</v>
      </c>
      <c r="X270" s="146">
        <f t="shared" si="88"/>
        <v>1.2201895242042282</v>
      </c>
    </row>
    <row r="271" spans="1:24" ht="16.2" customHeight="1" x14ac:dyDescent="0.3">
      <c r="A271" s="58" t="s">
        <v>68</v>
      </c>
      <c r="B271" s="189">
        <f>VLOOKUP($A271,'Growth Analysis'!A:G,2,FALSE)</f>
        <v>0</v>
      </c>
      <c r="C271" s="189">
        <f>VLOOKUP(A271,'Growth Analysis'!A:G,4,FALSE)</f>
        <v>1</v>
      </c>
      <c r="D271" s="50">
        <f t="shared" si="80"/>
        <v>1</v>
      </c>
      <c r="E271" s="49">
        <f>VLOOKUP($A271,'Growth Analysis'!$A:$G,5,FALSE)</f>
        <v>0</v>
      </c>
      <c r="F271" s="49">
        <f>VLOOKUP($A271,'Growth Analysis'!$A:$G,6,FALSE)</f>
        <v>1987093.9038461538</v>
      </c>
      <c r="G271" s="50">
        <f t="shared" si="81"/>
        <v>1</v>
      </c>
      <c r="H271" s="159">
        <f t="shared" si="82"/>
        <v>1.1133546013566789E-3</v>
      </c>
      <c r="I271" s="158">
        <f t="shared" si="83"/>
        <v>0</v>
      </c>
      <c r="J271" s="157">
        <v>0</v>
      </c>
      <c r="K271" s="164">
        <f>VLOOKUP($A271,[1]Notes!$A:$G,3,FALSE)</f>
        <v>993600</v>
      </c>
      <c r="L271" s="163">
        <f>VLOOKUP($A271,[1]Notes!$A:$G,5,FALSE)</f>
        <v>596160</v>
      </c>
      <c r="M271" s="163">
        <f>VLOOKUP($A271,[1]Notes!$A:$G,7,FALSE)</f>
        <v>635904</v>
      </c>
      <c r="N271" s="154">
        <f t="shared" si="84"/>
        <v>2225664</v>
      </c>
      <c r="O271" s="45">
        <f t="shared" si="74"/>
        <v>1503028.7118315164</v>
      </c>
      <c r="P271" s="45">
        <f t="shared" si="85"/>
        <v>901817.22709890991</v>
      </c>
      <c r="Q271" s="45">
        <f t="shared" si="86"/>
        <v>961938.37557217048</v>
      </c>
      <c r="R271" s="45">
        <f t="shared" si="87"/>
        <v>3366784.3145025969</v>
      </c>
      <c r="S271" s="153">
        <f t="shared" ref="S271:S276" si="90">R271/N271-1</f>
        <v>0.51271005619113974</v>
      </c>
      <c r="T271">
        <f>VLOOKUP($A271,'[2]All month (2)'!$E:$Y,8,FALSE)</f>
        <v>0</v>
      </c>
      <c r="U271">
        <f>VLOOKUP($A271,'[2]All month (2)'!$E:$Y,14,FALSE)</f>
        <v>165696</v>
      </c>
      <c r="V271">
        <f>VLOOKUP($A271,'[2]All month (2)'!$E:$Y,20,FALSE)</f>
        <v>321922.56</v>
      </c>
      <c r="W271">
        <f>SUM(T271:V271)</f>
        <v>487618.56</v>
      </c>
      <c r="X271" s="152">
        <f t="shared" si="88"/>
        <v>5.9045450495210785</v>
      </c>
    </row>
    <row r="272" spans="1:24" ht="16.2" customHeight="1" x14ac:dyDescent="0.3">
      <c r="A272" s="57" t="s">
        <v>67</v>
      </c>
      <c r="B272" s="189">
        <f>VLOOKUP($A272,'Growth Analysis'!A:G,2,FALSE)</f>
        <v>0</v>
      </c>
      <c r="C272" s="189">
        <f>VLOOKUP(A272,'Growth Analysis'!A:G,4,FALSE)</f>
        <v>1</v>
      </c>
      <c r="D272" s="50">
        <f t="shared" si="80"/>
        <v>1</v>
      </c>
      <c r="E272" s="49">
        <f>VLOOKUP($A272,'Growth Analysis'!$A:$G,5,FALSE)</f>
        <v>0</v>
      </c>
      <c r="F272" s="49">
        <f>VLOOKUP($A272,'Growth Analysis'!$A:$G,6,FALSE)</f>
        <v>2803289.0307692308</v>
      </c>
      <c r="G272" s="50">
        <f t="shared" si="81"/>
        <v>1</v>
      </c>
      <c r="H272" s="159">
        <f t="shared" si="82"/>
        <v>1.5706629340961776E-3</v>
      </c>
      <c r="I272" s="158">
        <f t="shared" si="83"/>
        <v>0</v>
      </c>
      <c r="J272" s="157">
        <v>0</v>
      </c>
      <c r="K272" s="162">
        <f>VLOOKUP($A272,[1]Notes!$A:$G,3,FALSE)</f>
        <v>1324800</v>
      </c>
      <c r="L272" s="161">
        <f>VLOOKUP($A272,[1]Notes!$A:$G,5,FALSE)</f>
        <v>794880</v>
      </c>
      <c r="M272" s="161">
        <f>VLOOKUP($A272,[1]Notes!$A:$G,7,FALSE)</f>
        <v>847872</v>
      </c>
      <c r="N272" s="154">
        <f t="shared" si="84"/>
        <v>2967552</v>
      </c>
      <c r="O272" s="45">
        <f t="shared" si="74"/>
        <v>2120394.9610298397</v>
      </c>
      <c r="P272" s="45">
        <f t="shared" si="85"/>
        <v>1272236.9766179039</v>
      </c>
      <c r="Q272" s="45">
        <f t="shared" si="86"/>
        <v>1357052.7750590974</v>
      </c>
      <c r="R272" s="45">
        <f t="shared" si="87"/>
        <v>4749684.7127068415</v>
      </c>
      <c r="S272" s="153">
        <f t="shared" si="90"/>
        <v>0.60053967469039859</v>
      </c>
      <c r="T272">
        <f>VLOOKUP($A272,'[2]All month (2)'!$E:$Y,8,FALSE)</f>
        <v>0</v>
      </c>
      <c r="U272">
        <f>VLOOKUP($A272,'[2]All month (2)'!$E:$Y,14,FALSE)</f>
        <v>276160</v>
      </c>
      <c r="V272">
        <f>VLOOKUP($A272,'[2]All month (2)'!$E:$Y,20,FALSE)</f>
        <v>536537.59999999998</v>
      </c>
      <c r="W272">
        <f>SUM(T272:V272)</f>
        <v>812697.59999999998</v>
      </c>
      <c r="X272" s="152">
        <f t="shared" si="88"/>
        <v>4.8443444556829522</v>
      </c>
    </row>
    <row r="273" spans="1:24" ht="16.2" customHeight="1" x14ac:dyDescent="0.3">
      <c r="A273" s="57" t="s">
        <v>66</v>
      </c>
      <c r="B273" s="189">
        <f>VLOOKUP($A273,'Growth Analysis'!A:G,2,FALSE)</f>
        <v>325.31834099999998</v>
      </c>
      <c r="C273" s="189">
        <f>VLOOKUP(A273,'Growth Analysis'!A:G,4,FALSE)</f>
        <v>-0.90998169051894917</v>
      </c>
      <c r="D273" s="50">
        <f t="shared" si="80"/>
        <v>-1.0027972037719171</v>
      </c>
      <c r="E273" s="49">
        <f>VLOOKUP($A273,'Growth Analysis'!$A:$G,5,FALSE)</f>
        <v>9642669.9600000009</v>
      </c>
      <c r="F273" s="49">
        <f>VLOOKUP($A273,'Growth Analysis'!$A:$G,6,FALSE)</f>
        <v>3496154.5465000002</v>
      </c>
      <c r="G273" s="50">
        <f t="shared" si="81"/>
        <v>-0.63742878673615833</v>
      </c>
      <c r="H273" s="159">
        <f t="shared" si="82"/>
        <v>1.9588705616104657E-3</v>
      </c>
      <c r="I273" s="158">
        <f t="shared" si="83"/>
        <v>5.9937904542722784E-3</v>
      </c>
      <c r="J273" s="157">
        <v>318.93955</v>
      </c>
      <c r="K273" s="162">
        <f>VLOOKUP($A273,[1]Notes!$A:$G,3,FALSE)</f>
        <v>1987200</v>
      </c>
      <c r="L273" s="161">
        <f>VLOOKUP($A273,[1]Notes!$A:$G,5,FALSE)</f>
        <v>1192320</v>
      </c>
      <c r="M273" s="161">
        <f>VLOOKUP($A273,[1]Notes!$A:$G,7,FALSE)</f>
        <v>1271808</v>
      </c>
      <c r="N273" s="154">
        <f t="shared" si="84"/>
        <v>4451328</v>
      </c>
      <c r="O273" s="45">
        <f t="shared" si="74"/>
        <v>2644475.2581741288</v>
      </c>
      <c r="P273" s="45">
        <f t="shared" si="85"/>
        <v>1586685.1549044773</v>
      </c>
      <c r="Q273" s="45">
        <f t="shared" si="86"/>
        <v>1692464.1652314423</v>
      </c>
      <c r="R273" s="45">
        <f t="shared" si="87"/>
        <v>5923624.5783100482</v>
      </c>
      <c r="S273" s="153">
        <f t="shared" si="90"/>
        <v>0.33075445761580546</v>
      </c>
      <c r="T273">
        <f>VLOOKUP($A273,'[2]All month (2)'!$E:$Y,8,FALSE)</f>
        <v>5425393</v>
      </c>
      <c r="U273">
        <f>VLOOKUP($A273,'[2]All month (2)'!$E:$Y,14,FALSE)</f>
        <v>248544</v>
      </c>
      <c r="V273">
        <f>VLOOKUP($A273,'[2]All month (2)'!$E:$Y,20,FALSE)</f>
        <v>924303.84</v>
      </c>
      <c r="W273">
        <f>SUM(T273:V273)</f>
        <v>6598240.8399999999</v>
      </c>
      <c r="X273" s="152">
        <f t="shared" si="88"/>
        <v>-0.10224183658169586</v>
      </c>
    </row>
    <row r="274" spans="1:24" ht="16.2" customHeight="1" x14ac:dyDescent="0.3">
      <c r="A274" s="57" t="s">
        <v>65</v>
      </c>
      <c r="B274" s="189">
        <f>VLOOKUP($A274,'Growth Analysis'!A:G,2,FALSE)</f>
        <v>65.496750000000006</v>
      </c>
      <c r="C274" s="189">
        <f>VLOOKUP(A274,'Growth Analysis'!A:G,4,FALSE)</f>
        <v>-0.57877680953635102</v>
      </c>
      <c r="D274" s="50">
        <f t="shared" si="80"/>
        <v>-1.0088367256319795</v>
      </c>
      <c r="E274" s="49">
        <f>VLOOKUP($A274,'Growth Analysis'!$A:$G,5,FALSE)</f>
        <v>2142000</v>
      </c>
      <c r="F274" s="49">
        <f>VLOOKUP($A274,'Growth Analysis'!$A:$G,6,FALSE)</f>
        <v>2363030.25</v>
      </c>
      <c r="G274" s="50">
        <f t="shared" si="81"/>
        <v>0.10318872549019607</v>
      </c>
      <c r="H274" s="159">
        <f t="shared" si="82"/>
        <v>1.3239890660880483E-3</v>
      </c>
      <c r="I274" s="158">
        <f t="shared" si="83"/>
        <v>1.3314464983566873E-3</v>
      </c>
      <c r="J274" s="157">
        <v>64.212500000000006</v>
      </c>
      <c r="K274" s="162">
        <f>VLOOKUP($A274,[1]Notes!$A:$G,3,FALSE)</f>
        <v>1324800</v>
      </c>
      <c r="L274" s="161">
        <f>VLOOKUP($A274,[1]Notes!$A:$G,5,FALSE)</f>
        <v>794880</v>
      </c>
      <c r="M274" s="161">
        <f>VLOOKUP($A274,[1]Notes!$A:$G,7,FALSE)</f>
        <v>847872</v>
      </c>
      <c r="N274" s="154">
        <f t="shared" si="84"/>
        <v>2967552</v>
      </c>
      <c r="O274" s="45">
        <f t="shared" si="74"/>
        <v>1787385.2392188651</v>
      </c>
      <c r="P274" s="45">
        <f t="shared" si="85"/>
        <v>1072431.143531319</v>
      </c>
      <c r="Q274" s="45">
        <f t="shared" si="86"/>
        <v>1143926.5531000737</v>
      </c>
      <c r="R274" s="45">
        <f t="shared" si="87"/>
        <v>4003742.935850258</v>
      </c>
      <c r="S274" s="153">
        <f t="shared" si="90"/>
        <v>0.34917364071472301</v>
      </c>
      <c r="T274">
        <f>VLOOKUP($A274,'[2]All month (2)'!$E:$Y,8,FALSE)</f>
        <v>1363960</v>
      </c>
      <c r="U274">
        <f>VLOOKUP($A274,'[2]All month (2)'!$E:$Y,14,FALSE)</f>
        <v>1092000</v>
      </c>
      <c r="V274">
        <f>VLOOKUP($A274,'[2]All month (2)'!$E:$Y,20,FALSE)</f>
        <v>800000</v>
      </c>
      <c r="W274">
        <f>SUM(T274:V274)</f>
        <v>3255960</v>
      </c>
      <c r="X274" s="152">
        <f t="shared" si="88"/>
        <v>0.22966588528429649</v>
      </c>
    </row>
    <row r="275" spans="1:24" ht="16.2" customHeight="1" x14ac:dyDescent="0.3">
      <c r="A275" s="166" t="s">
        <v>64</v>
      </c>
      <c r="B275" s="189">
        <f>VLOOKUP($A275,'Growth Analysis'!A:G,2,FALSE)</f>
        <v>0</v>
      </c>
      <c r="C275" s="189">
        <f>VLOOKUP(A275,'Growth Analysis'!A:G,4,FALSE)</f>
        <v>1</v>
      </c>
      <c r="D275" s="50">
        <f t="shared" si="80"/>
        <v>1</v>
      </c>
      <c r="E275" s="49">
        <f>VLOOKUP($A275,'Growth Analysis'!$A:$G,5,FALSE)</f>
        <v>0</v>
      </c>
      <c r="F275" s="49">
        <f>VLOOKUP($A275,'Growth Analysis'!$A:$G,6,FALSE)</f>
        <v>738150</v>
      </c>
      <c r="G275" s="50">
        <f t="shared" si="81"/>
        <v>1</v>
      </c>
      <c r="H275" s="159">
        <f t="shared" si="82"/>
        <v>4.1358020242563244E-4</v>
      </c>
      <c r="I275" s="158">
        <f t="shared" si="83"/>
        <v>0</v>
      </c>
      <c r="J275" s="157">
        <v>0</v>
      </c>
      <c r="K275" s="162">
        <f>VLOOKUP($A275,[1]Notes!$A:$G,3,FALSE)</f>
        <v>1324800</v>
      </c>
      <c r="L275" s="161">
        <f>VLOOKUP($A275,[1]Notes!$A:$G,5,FALSE)</f>
        <v>794880</v>
      </c>
      <c r="M275" s="161">
        <f>VLOOKUP($A275,[1]Notes!$A:$G,7,FALSE)</f>
        <v>847872</v>
      </c>
      <c r="N275" s="154">
        <f t="shared" si="84"/>
        <v>2967552</v>
      </c>
      <c r="O275" s="45">
        <f t="shared" si="74"/>
        <v>558333.27327460377</v>
      </c>
      <c r="P275" s="45">
        <f t="shared" si="85"/>
        <v>334999.96396476228</v>
      </c>
      <c r="Q275" s="45">
        <f t="shared" si="86"/>
        <v>357333.29489574645</v>
      </c>
      <c r="R275" s="45">
        <f t="shared" si="87"/>
        <v>1250666.5321351124</v>
      </c>
      <c r="S275" s="153">
        <f t="shared" si="90"/>
        <v>-0.57855278285431477</v>
      </c>
      <c r="X275" s="152">
        <f t="shared" si="88"/>
        <v>1</v>
      </c>
    </row>
    <row r="276" spans="1:24" ht="16.2" customHeight="1" thickBot="1" x14ac:dyDescent="0.35">
      <c r="A276" s="59" t="s">
        <v>63</v>
      </c>
      <c r="B276" s="189">
        <f>VLOOKUP($A276,'Growth Analysis'!A:G,2,FALSE)</f>
        <v>67.434749999999994</v>
      </c>
      <c r="C276" s="189">
        <f>VLOOKUP(A276,'Growth Analysis'!A:G,4,FALSE)</f>
        <v>-0.57647948572508978</v>
      </c>
      <c r="D276" s="50">
        <f t="shared" si="80"/>
        <v>-1.0085487005694407</v>
      </c>
      <c r="E276" s="49">
        <f>VLOOKUP($A276,'Growth Analysis'!$A:$G,5,FALSE)</f>
        <v>2322948</v>
      </c>
      <c r="F276" s="49">
        <f>VLOOKUP($A276,'Growth Analysis'!$A:$G,6,FALSE)</f>
        <v>1105597.5</v>
      </c>
      <c r="G276" s="50">
        <f t="shared" si="81"/>
        <v>-0.52405413293797365</v>
      </c>
      <c r="H276" s="159">
        <f t="shared" si="82"/>
        <v>6.1945842694746754E-4</v>
      </c>
      <c r="I276" s="158">
        <f t="shared" si="83"/>
        <v>1.4439220263607238E-3</v>
      </c>
      <c r="J276" s="157">
        <v>66.112499999999997</v>
      </c>
      <c r="K276" s="156">
        <f>VLOOKUP($A276,[1]Notes!$A:$G,3,FALSE)</f>
        <v>1324800</v>
      </c>
      <c r="L276" s="155">
        <f>VLOOKUP($A276,[1]Notes!$A:$G,5,FALSE)</f>
        <v>794880</v>
      </c>
      <c r="M276" s="155">
        <f>VLOOKUP($A276,[1]Notes!$A:$G,7,FALSE)</f>
        <v>847872</v>
      </c>
      <c r="N276" s="154">
        <f t="shared" si="84"/>
        <v>2967552</v>
      </c>
      <c r="O276" s="45">
        <f t="shared" si="74"/>
        <v>836268.87637908116</v>
      </c>
      <c r="P276" s="45">
        <f t="shared" si="85"/>
        <v>501761.32582744869</v>
      </c>
      <c r="Q276" s="45">
        <f t="shared" si="86"/>
        <v>535212.08088261192</v>
      </c>
      <c r="R276" s="45">
        <f t="shared" si="87"/>
        <v>1873242.2830891418</v>
      </c>
      <c r="S276" s="153">
        <f t="shared" si="90"/>
        <v>-0.36875839645298825</v>
      </c>
      <c r="T276">
        <f>VLOOKUP($A276,'[2]All month (2)'!$E:$Y,8,FALSE)</f>
        <v>2066557</v>
      </c>
      <c r="U276">
        <f>VLOOKUP($A276,'[2]All month (2)'!$E:$Y,14,FALSE)</f>
        <v>1310500</v>
      </c>
      <c r="V276">
        <f>VLOOKUP($A276,'[2]All month (2)'!$E:$Y,20,FALSE)</f>
        <v>410000</v>
      </c>
      <c r="W276">
        <f>SUM(T276:V276)</f>
        <v>3787057</v>
      </c>
      <c r="X276" s="152">
        <f t="shared" si="88"/>
        <v>-0.5053567234163252</v>
      </c>
    </row>
    <row r="277" spans="1:24" ht="16.2" thickBot="1" x14ac:dyDescent="0.35">
      <c r="A277" s="56" t="s">
        <v>62</v>
      </c>
      <c r="B277" s="42">
        <f>SUM(B271:B276)</f>
        <v>458.249841</v>
      </c>
      <c r="C277" s="40">
        <f>SUM(C271:C276)</f>
        <v>0.93476201421960992</v>
      </c>
      <c r="D277" s="41">
        <f t="shared" si="80"/>
        <v>-0.99796014765181429</v>
      </c>
      <c r="E277" s="40">
        <f>SUM(E271:E276)</f>
        <v>14107617.960000001</v>
      </c>
      <c r="F277" s="40">
        <f>SUM(F271:F276)</f>
        <v>12493315.231115386</v>
      </c>
      <c r="G277" s="151">
        <f t="shared" si="81"/>
        <v>-0.11442773212754444</v>
      </c>
      <c r="H277" s="150">
        <f t="shared" si="82"/>
        <v>6.9999157925244712E-3</v>
      </c>
      <c r="I277" s="150">
        <f t="shared" si="83"/>
        <v>8.7691589789896888E-3</v>
      </c>
      <c r="J277" s="42">
        <f>SUM(J271:J276)</f>
        <v>449.26455000000004</v>
      </c>
      <c r="K277" s="149">
        <f>SUM(K271:K276)</f>
        <v>8280000</v>
      </c>
      <c r="L277" s="149">
        <f>SUM(L271:L276)</f>
        <v>4968000</v>
      </c>
      <c r="M277" s="149">
        <f>SUM(M271:M276)</f>
        <v>5299200</v>
      </c>
      <c r="N277" s="36">
        <f t="shared" si="84"/>
        <v>18547200</v>
      </c>
      <c r="O277" s="36">
        <f t="shared" ref="O277:O339" si="91">$O$3*H277</f>
        <v>9449886.3199080359</v>
      </c>
      <c r="P277" s="36">
        <f t="shared" si="85"/>
        <v>5669931.7919448214</v>
      </c>
      <c r="Q277" s="36">
        <f t="shared" si="86"/>
        <v>6047927.2447411427</v>
      </c>
      <c r="R277" s="148">
        <f t="shared" si="87"/>
        <v>21167745.356594</v>
      </c>
      <c r="S277" s="41"/>
      <c r="T277" s="42">
        <f>SUM(T271:T276)</f>
        <v>8855910</v>
      </c>
      <c r="U277" s="42">
        <f>SUM(U271:U276)</f>
        <v>3092900</v>
      </c>
      <c r="V277" s="42">
        <f>SUM(V271:V276)</f>
        <v>2992764</v>
      </c>
      <c r="W277" s="147">
        <f>SUM(W271:W276)</f>
        <v>14941574</v>
      </c>
      <c r="X277" s="146">
        <f t="shared" si="88"/>
        <v>0.41670116927400019</v>
      </c>
    </row>
    <row r="278" spans="1:24" ht="16.2" customHeight="1" thickBot="1" x14ac:dyDescent="0.35">
      <c r="A278" s="35" t="s">
        <v>61</v>
      </c>
      <c r="B278" s="34">
        <f>B277+B270+B263+B257</f>
        <v>3560.1243599999998</v>
      </c>
      <c r="C278" s="32">
        <f>C277+C270+C263+C257</f>
        <v>9.5176714482164435</v>
      </c>
      <c r="D278" s="33">
        <f t="shared" si="80"/>
        <v>-0.99732659017332292</v>
      </c>
      <c r="E278" s="32">
        <f>E277+E270+E263+E257</f>
        <v>88108472.100000009</v>
      </c>
      <c r="F278" s="32">
        <f>F277+F270+F263+F257</f>
        <v>131268328.2086793</v>
      </c>
      <c r="G278" s="145">
        <f t="shared" si="81"/>
        <v>0.4898491039510296</v>
      </c>
      <c r="H278" s="144">
        <f t="shared" si="82"/>
        <v>7.3548711986208687E-2</v>
      </c>
      <c r="I278" s="144">
        <f t="shared" si="83"/>
        <v>5.4767374721336554E-2</v>
      </c>
      <c r="J278" s="34">
        <f>J277+J270+J263+J257</f>
        <v>3490.3180000000002</v>
      </c>
      <c r="K278" s="34">
        <f>K277+K270+K263+K257</f>
        <v>84235200</v>
      </c>
      <c r="L278" s="34">
        <f>L277+L270+L263+L257</f>
        <v>50541120</v>
      </c>
      <c r="M278" s="34">
        <f>M277+M270+M263+M257</f>
        <v>53910528</v>
      </c>
      <c r="N278" s="28">
        <f t="shared" si="84"/>
        <v>188686848</v>
      </c>
      <c r="O278" s="28">
        <f t="shared" si="91"/>
        <v>99290761.181381732</v>
      </c>
      <c r="P278" s="28">
        <f t="shared" si="85"/>
        <v>59574456.708829038</v>
      </c>
      <c r="Q278" s="28">
        <f t="shared" si="86"/>
        <v>63546087.156084307</v>
      </c>
      <c r="R278" s="143">
        <f t="shared" si="87"/>
        <v>222411305.04629508</v>
      </c>
      <c r="S278" s="142"/>
      <c r="T278" s="34">
        <f>T277+T270+T263+T257</f>
        <v>57421148</v>
      </c>
      <c r="U278" s="34">
        <f>U277+U270+U263+U257</f>
        <v>31740327</v>
      </c>
      <c r="V278" s="34">
        <f>V277+V270+V263+V257</f>
        <v>41227556</v>
      </c>
      <c r="W278" s="141">
        <f>W277+W270+W263+W257</f>
        <v>130389031</v>
      </c>
      <c r="X278" s="140">
        <f t="shared" si="88"/>
        <v>0.7057516521178463</v>
      </c>
    </row>
    <row r="279" spans="1:24" ht="15" customHeight="1" thickBot="1" x14ac:dyDescent="0.35">
      <c r="A279" s="60" t="s">
        <v>60</v>
      </c>
      <c r="B279" s="26">
        <f>B278+B250+B230</f>
        <v>10085.065584</v>
      </c>
      <c r="C279" s="24">
        <f>C278+C250+C230</f>
        <v>27.50007455058174</v>
      </c>
      <c r="D279" s="25">
        <f t="shared" si="80"/>
        <v>-0.9972731883276782</v>
      </c>
      <c r="E279" s="24">
        <f>E278+E250+E230</f>
        <v>291299521.33020002</v>
      </c>
      <c r="F279" s="24">
        <f>F278+F250+F230</f>
        <v>353167075.94719279</v>
      </c>
      <c r="G279" s="139">
        <f t="shared" si="81"/>
        <v>0.21238467655037219</v>
      </c>
      <c r="H279" s="138">
        <f t="shared" si="82"/>
        <v>0.19787700434912783</v>
      </c>
      <c r="I279" s="138">
        <f t="shared" si="83"/>
        <v>0.18106896715596357</v>
      </c>
      <c r="J279" s="26">
        <f>J278+J250+J230</f>
        <v>9887.3191999999999</v>
      </c>
      <c r="K279" s="168">
        <f>K278+K250+K230</f>
        <v>234664325.80645162</v>
      </c>
      <c r="L279" s="168">
        <f>L278+L250+L230</f>
        <v>140798595.48387098</v>
      </c>
      <c r="M279" s="168">
        <f>M278+M250+M230</f>
        <v>150185168.51612902</v>
      </c>
      <c r="N279" s="20">
        <f t="shared" si="84"/>
        <v>525648089.80645162</v>
      </c>
      <c r="O279" s="20">
        <f t="shared" si="91"/>
        <v>267133955.87132257</v>
      </c>
      <c r="P279" s="20">
        <f t="shared" si="85"/>
        <v>160280373.52279353</v>
      </c>
      <c r="Q279" s="20">
        <f t="shared" si="86"/>
        <v>170965731.75764644</v>
      </c>
      <c r="R279" s="137">
        <f t="shared" si="87"/>
        <v>598380061.15176249</v>
      </c>
      <c r="S279" s="136"/>
      <c r="T279" s="26">
        <f>T278+T250+T230</f>
        <v>165672863.01999998</v>
      </c>
      <c r="U279" s="26">
        <f>U278+U250+U230</f>
        <v>74696563.030000001</v>
      </c>
      <c r="V279" s="26">
        <f>V278+V250+V230</f>
        <v>118549836.00999999</v>
      </c>
      <c r="W279" s="135">
        <f>W278+W250+W230</f>
        <v>358919262.06</v>
      </c>
      <c r="X279" s="134">
        <f t="shared" si="88"/>
        <v>0.66717176926473276</v>
      </c>
    </row>
    <row r="280" spans="1:24" ht="16.2" customHeight="1" x14ac:dyDescent="0.3">
      <c r="A280" s="57" t="s">
        <v>59</v>
      </c>
      <c r="B280" s="189">
        <f>VLOOKUP($A280,'Growth Analysis'!A:G,2,FALSE)</f>
        <v>426.72663900000003</v>
      </c>
      <c r="C280" s="189">
        <f>VLOOKUP(A280,'Growth Analysis'!A:G,4,FALSE)</f>
        <v>-0.61869380153696019</v>
      </c>
      <c r="D280" s="50">
        <f t="shared" si="80"/>
        <v>-1.0014498598048316</v>
      </c>
      <c r="E280" s="49">
        <f>VLOOKUP($A280,'Growth Analysis'!$A:$G,5,FALSE)</f>
        <v>10107588</v>
      </c>
      <c r="F280" s="49">
        <f>VLOOKUP($A280,'Growth Analysis'!$A:$G,6,FALSE)</f>
        <v>9202742.668421058</v>
      </c>
      <c r="G280" s="50">
        <f t="shared" si="81"/>
        <v>-8.9521390422615366E-2</v>
      </c>
      <c r="H280" s="159">
        <f t="shared" si="82"/>
        <v>5.1562313563321633E-3</v>
      </c>
      <c r="I280" s="158">
        <f t="shared" si="83"/>
        <v>6.2827790146741704E-3</v>
      </c>
      <c r="J280" s="157">
        <v>418.35945000000004</v>
      </c>
      <c r="K280" s="164">
        <f>VLOOKUP($A280,[1]Notes!$A:$G,3,FALSE)</f>
        <v>6922878.1144767823</v>
      </c>
      <c r="L280" s="163">
        <f>VLOOKUP($A280,[1]Notes!$A:$G,5,FALSE)</f>
        <v>4153726.8686860702</v>
      </c>
      <c r="M280" s="163">
        <f>VLOOKUP($A280,[1]Notes!$A:$G,7,FALSE)</f>
        <v>4430641.9932651408</v>
      </c>
      <c r="N280" s="154">
        <f t="shared" si="84"/>
        <v>15507246.976427993</v>
      </c>
      <c r="O280" s="45">
        <f t="shared" si="91"/>
        <v>6960912.3310484206</v>
      </c>
      <c r="P280" s="45">
        <f t="shared" si="85"/>
        <v>4176547.3986290521</v>
      </c>
      <c r="Q280" s="45">
        <f t="shared" si="86"/>
        <v>4454983.8918709895</v>
      </c>
      <c r="R280" s="45">
        <f t="shared" si="87"/>
        <v>15592443.621548463</v>
      </c>
      <c r="S280" s="153">
        <f t="shared" ref="S280:S287" si="92">R280/N280-1</f>
        <v>5.4939890523426627E-3</v>
      </c>
      <c r="T280">
        <f>VLOOKUP($A280,'[2]All month (2)'!$E:$Y,8,FALSE)</f>
        <v>4460000</v>
      </c>
      <c r="U280">
        <f>VLOOKUP($A280,'[2]All month (2)'!$E:$Y,14,FALSE)</f>
        <v>2452500</v>
      </c>
      <c r="V280">
        <f>VLOOKUP($A280,'[2]All month (2)'!$E:$Y,20,FALSE)</f>
        <v>3619875</v>
      </c>
      <c r="W280">
        <f t="shared" ref="W280:W286" si="93">SUM(T280:V280)</f>
        <v>10532375</v>
      </c>
      <c r="X280" s="152">
        <f t="shared" si="88"/>
        <v>0.48042997154473349</v>
      </c>
    </row>
    <row r="281" spans="1:24" ht="16.2" customHeight="1" x14ac:dyDescent="0.3">
      <c r="A281" s="57" t="s">
        <v>58</v>
      </c>
      <c r="B281" s="189">
        <f>VLOOKUP($A281,'Growth Analysis'!A:G,2,FALSE)</f>
        <v>0</v>
      </c>
      <c r="C281" s="189">
        <f>VLOOKUP(A281,'Growth Analysis'!A:G,4,FALSE)</f>
        <v>1</v>
      </c>
      <c r="D281" s="50">
        <f t="shared" si="80"/>
        <v>1</v>
      </c>
      <c r="E281" s="49">
        <f>VLOOKUP($A281,'Growth Analysis'!$A:$G,5,FALSE)</f>
        <v>0</v>
      </c>
      <c r="F281" s="49">
        <f>VLOOKUP($A281,'Growth Analysis'!$A:$G,6,FALSE)</f>
        <v>2616644.3171052583</v>
      </c>
      <c r="G281" s="50">
        <f t="shared" si="81"/>
        <v>1</v>
      </c>
      <c r="H281" s="159">
        <f t="shared" si="82"/>
        <v>1.4660872266399425E-3</v>
      </c>
      <c r="I281" s="158">
        <f t="shared" si="83"/>
        <v>0</v>
      </c>
      <c r="J281" s="157">
        <v>0</v>
      </c>
      <c r="K281" s="162">
        <f>VLOOKUP($A281,[1]Notes!$A:$G,3,FALSE)</f>
        <v>1730719.5286191956</v>
      </c>
      <c r="L281" s="161">
        <f>VLOOKUP($A281,[1]Notes!$A:$G,5,FALSE)</f>
        <v>1038431.7171715176</v>
      </c>
      <c r="M281" s="161">
        <f>VLOOKUP($A281,[1]Notes!$A:$G,7,FALSE)</f>
        <v>1107660.4983162852</v>
      </c>
      <c r="N281" s="154">
        <f t="shared" si="84"/>
        <v>3876811.7441069982</v>
      </c>
      <c r="O281" s="45">
        <f t="shared" si="91"/>
        <v>1979217.7559639225</v>
      </c>
      <c r="P281" s="45">
        <f t="shared" si="85"/>
        <v>1187530.6535783533</v>
      </c>
      <c r="Q281" s="45">
        <f t="shared" si="86"/>
        <v>1266699.3638169104</v>
      </c>
      <c r="R281" s="45">
        <f t="shared" si="87"/>
        <v>4433447.773359186</v>
      </c>
      <c r="S281" s="153">
        <f t="shared" si="92"/>
        <v>0.1435808767599589</v>
      </c>
      <c r="T281">
        <f>VLOOKUP($A281,'[2]All month (2)'!$E:$Y,8,FALSE)</f>
        <v>0</v>
      </c>
      <c r="U281">
        <f>VLOOKUP($A281,'[2]All month (2)'!$E:$Y,14,FALSE)</f>
        <v>621300</v>
      </c>
      <c r="V281">
        <f>VLOOKUP($A281,'[2]All month (2)'!$E:$Y,20,FALSE)</f>
        <v>917035</v>
      </c>
      <c r="W281">
        <f t="shared" si="93"/>
        <v>1538335</v>
      </c>
      <c r="X281" s="152">
        <f t="shared" si="88"/>
        <v>1.8819780953818162</v>
      </c>
    </row>
    <row r="282" spans="1:24" ht="16.2" customHeight="1" x14ac:dyDescent="0.3">
      <c r="A282" s="57" t="s">
        <v>57</v>
      </c>
      <c r="B282" s="189">
        <f>VLOOKUP($A282,'Growth Analysis'!A:G,2,FALSE)</f>
        <v>0</v>
      </c>
      <c r="C282" s="189">
        <f>VLOOKUP(A282,'Growth Analysis'!A:G,4,FALSE)</f>
        <v>1</v>
      </c>
      <c r="D282" s="50">
        <f t="shared" si="80"/>
        <v>1</v>
      </c>
      <c r="E282" s="49">
        <f>VLOOKUP($A282,'Growth Analysis'!$A:$G,5,FALSE)</f>
        <v>0</v>
      </c>
      <c r="F282" s="49">
        <f>VLOOKUP($A282,'Growth Analysis'!$A:$G,6,FALSE)</f>
        <v>837326.39147368341</v>
      </c>
      <c r="G282" s="50">
        <f t="shared" si="81"/>
        <v>1</v>
      </c>
      <c r="H282" s="159">
        <f t="shared" si="82"/>
        <v>4.6914803018629049E-4</v>
      </c>
      <c r="I282" s="158">
        <f t="shared" si="83"/>
        <v>0</v>
      </c>
      <c r="J282" s="157">
        <v>0</v>
      </c>
      <c r="K282" s="162">
        <f>VLOOKUP($A282,[1]Notes!$A:$G,3,FALSE)</f>
        <v>553830.2491581426</v>
      </c>
      <c r="L282" s="161">
        <f>VLOOKUP($A282,[1]Notes!$A:$G,5,FALSE)</f>
        <v>332298.14949488553</v>
      </c>
      <c r="M282" s="161">
        <f>VLOOKUP($A282,[1]Notes!$A:$G,7,FALSE)</f>
        <v>354451.35946121131</v>
      </c>
      <c r="N282" s="154">
        <f t="shared" si="84"/>
        <v>1240579.7581142394</v>
      </c>
      <c r="O282" s="45">
        <f t="shared" si="91"/>
        <v>633349.84075149219</v>
      </c>
      <c r="P282" s="45">
        <f t="shared" si="85"/>
        <v>380009.90445089532</v>
      </c>
      <c r="Q282" s="45">
        <f t="shared" si="86"/>
        <v>405343.89808095497</v>
      </c>
      <c r="R282" s="45">
        <f t="shared" si="87"/>
        <v>1418703.6432833425</v>
      </c>
      <c r="S282" s="153">
        <f t="shared" si="92"/>
        <v>0.143581163568123</v>
      </c>
      <c r="T282">
        <f>VLOOKUP($A282,'[2]All month (2)'!$E:$Y,8,FALSE)</f>
        <v>0</v>
      </c>
      <c r="U282">
        <f>VLOOKUP($A282,'[2]All month (2)'!$E:$Y,14,FALSE)</f>
        <v>196200</v>
      </c>
      <c r="V282">
        <f>VLOOKUP($A282,'[2]All month (2)'!$E:$Y,20,FALSE)</f>
        <v>289590</v>
      </c>
      <c r="W282">
        <f t="shared" si="93"/>
        <v>485790</v>
      </c>
      <c r="X282" s="152">
        <f t="shared" si="88"/>
        <v>1.9204052024194456</v>
      </c>
    </row>
    <row r="283" spans="1:24" ht="16.2" customHeight="1" x14ac:dyDescent="0.3">
      <c r="A283" s="57" t="s">
        <v>56</v>
      </c>
      <c r="B283" s="189">
        <f>VLOOKUP($A283,'Growth Analysis'!A:G,2,FALSE)</f>
        <v>69.541049999999998</v>
      </c>
      <c r="C283" s="189">
        <f>VLOOKUP(A283,'Growth Analysis'!A:G,4,FALSE)</f>
        <v>0.80092513702338408</v>
      </c>
      <c r="D283" s="50">
        <f t="shared" si="80"/>
        <v>-0.98848269997327642</v>
      </c>
      <c r="E283" s="49">
        <f>VLOOKUP($A283,'Growth Analysis'!$A:$G,5,FALSE)</f>
        <v>2229689.4</v>
      </c>
      <c r="F283" s="49">
        <f>VLOOKUP($A283,'Growth Analysis'!$A:$G,6,FALSE)</f>
        <v>4469329.1160000004</v>
      </c>
      <c r="G283" s="50">
        <f t="shared" si="81"/>
        <v>1.0044626466807443</v>
      </c>
      <c r="H283" s="159">
        <f t="shared" si="82"/>
        <v>2.5041333611082479E-3</v>
      </c>
      <c r="I283" s="158">
        <f t="shared" si="83"/>
        <v>1.3859533819108418E-3</v>
      </c>
      <c r="J283" s="157">
        <v>68.177499999999995</v>
      </c>
      <c r="K283" s="162">
        <f>VLOOKUP($A283,[1]Notes!$A:$G,3,FALSE)</f>
        <v>2008893.3583099907</v>
      </c>
      <c r="L283" s="161">
        <f>VLOOKUP($A283,[1]Notes!$A:$G,5,FALSE)</f>
        <v>1205336.0149859942</v>
      </c>
      <c r="M283" s="161">
        <f>VLOOKUP($A283,[1]Notes!$A:$G,7,FALSE)</f>
        <v>1285691.7493183939</v>
      </c>
      <c r="N283" s="154">
        <f t="shared" si="84"/>
        <v>4499921.122614379</v>
      </c>
      <c r="O283" s="45">
        <f t="shared" si="91"/>
        <v>3380580.0374961346</v>
      </c>
      <c r="P283" s="45">
        <f t="shared" si="85"/>
        <v>2028348.0224976807</v>
      </c>
      <c r="Q283" s="45">
        <f t="shared" si="86"/>
        <v>2163571.2239975263</v>
      </c>
      <c r="R283" s="45">
        <f t="shared" si="87"/>
        <v>7572499.2839913424</v>
      </c>
      <c r="S283" s="153">
        <f t="shared" si="92"/>
        <v>0.6828071154260249</v>
      </c>
      <c r="T283">
        <f>VLOOKUP($A283,'[2]All month (2)'!$E:$Y,8,FALSE)</f>
        <v>2299475</v>
      </c>
      <c r="U283">
        <f>VLOOKUP($A283,'[2]All month (2)'!$E:$Y,14,FALSE)</f>
        <v>743340</v>
      </c>
      <c r="V283">
        <f>VLOOKUP($A283,'[2]All month (2)'!$E:$Y,20,FALSE)</f>
        <v>977240</v>
      </c>
      <c r="W283">
        <f t="shared" si="93"/>
        <v>4020055</v>
      </c>
      <c r="X283" s="152">
        <f t="shared" si="88"/>
        <v>0.88368051780170731</v>
      </c>
    </row>
    <row r="284" spans="1:24" ht="16.2" customHeight="1" x14ac:dyDescent="0.3">
      <c r="A284" s="57" t="s">
        <v>55</v>
      </c>
      <c r="B284" s="189">
        <f>VLOOKUP($A284,'Growth Analysis'!A:G,2,FALSE)</f>
        <v>283.67220000000003</v>
      </c>
      <c r="C284" s="189">
        <f>VLOOKUP(A284,'Growth Analysis'!A:G,4,FALSE)</f>
        <v>-0.32992052975229863</v>
      </c>
      <c r="D284" s="50">
        <f t="shared" si="80"/>
        <v>-1.0011630344099716</v>
      </c>
      <c r="E284" s="49">
        <f>VLOOKUP($A284,'Growth Analysis'!$A:$G,5,FALSE)</f>
        <v>8510074.1999999993</v>
      </c>
      <c r="F284" s="49">
        <f>VLOOKUP($A284,'Growth Analysis'!$A:$G,6,FALSE)</f>
        <v>10420375.35</v>
      </c>
      <c r="G284" s="50">
        <f t="shared" si="81"/>
        <v>0.22447526368218981</v>
      </c>
      <c r="H284" s="159">
        <f t="shared" si="82"/>
        <v>5.8384622998090777E-3</v>
      </c>
      <c r="I284" s="158">
        <f t="shared" si="83"/>
        <v>5.2897798759783312E-3</v>
      </c>
      <c r="J284" s="157">
        <v>278.11</v>
      </c>
      <c r="K284" s="162">
        <f>VLOOKUP($A284,[1]Notes!$A:$G,3,FALSE)</f>
        <v>8202981.2130991276</v>
      </c>
      <c r="L284" s="161">
        <f>VLOOKUP($A284,[1]Notes!$A:$G,5,FALSE)</f>
        <v>4921788.7278594766</v>
      </c>
      <c r="M284" s="161">
        <f>VLOOKUP($A284,[1]Notes!$A:$G,7,FALSE)</f>
        <v>5249907.9763834421</v>
      </c>
      <c r="N284" s="154">
        <f t="shared" si="84"/>
        <v>18374677.917342044</v>
      </c>
      <c r="O284" s="45">
        <f t="shared" si="91"/>
        <v>7881924.1047422551</v>
      </c>
      <c r="P284" s="45">
        <f t="shared" si="85"/>
        <v>4729154.4628453534</v>
      </c>
      <c r="Q284" s="45">
        <f t="shared" si="86"/>
        <v>5044431.427035043</v>
      </c>
      <c r="R284" s="45">
        <f t="shared" si="87"/>
        <v>17655509.994622651</v>
      </c>
      <c r="S284" s="153">
        <f t="shared" si="92"/>
        <v>-3.9139076393858385E-2</v>
      </c>
      <c r="T284">
        <f>VLOOKUP($A284,'[2]All month (2)'!$E:$Y,8,FALSE)</f>
        <v>5094900</v>
      </c>
      <c r="U284">
        <f>VLOOKUP($A284,'[2]All month (2)'!$E:$Y,14,FALSE)</f>
        <v>2167000</v>
      </c>
      <c r="V284">
        <f>VLOOKUP($A284,'[2]All month (2)'!$E:$Y,20,FALSE)</f>
        <v>4046760</v>
      </c>
      <c r="W284">
        <f t="shared" si="93"/>
        <v>11308660</v>
      </c>
      <c r="X284" s="152">
        <f t="shared" si="88"/>
        <v>0.56123802418877666</v>
      </c>
    </row>
    <row r="285" spans="1:24" ht="16.2" customHeight="1" x14ac:dyDescent="0.3">
      <c r="A285" s="57" t="s">
        <v>54</v>
      </c>
      <c r="B285" s="189">
        <f>VLOOKUP($A285,'Growth Analysis'!A:G,2,FALSE)</f>
        <v>0</v>
      </c>
      <c r="C285" s="189">
        <f>VLOOKUP(A285,'Growth Analysis'!A:G,4,FALSE)</f>
        <v>1</v>
      </c>
      <c r="D285" s="50">
        <f t="shared" si="80"/>
        <v>1</v>
      </c>
      <c r="E285" s="49">
        <f>VLOOKUP($A285,'Growth Analysis'!$A:$G,5,FALSE)</f>
        <v>0</v>
      </c>
      <c r="F285" s="49">
        <f>VLOOKUP($A285,'Growth Analysis'!$A:$G,6,FALSE)</f>
        <v>4637209.260970558</v>
      </c>
      <c r="G285" s="50">
        <f t="shared" si="81"/>
        <v>1</v>
      </c>
      <c r="H285" s="159">
        <f t="shared" si="82"/>
        <v>2.5981954139974541E-3</v>
      </c>
      <c r="I285" s="158">
        <f t="shared" si="83"/>
        <v>0</v>
      </c>
      <c r="J285" s="157">
        <v>0</v>
      </c>
      <c r="K285" s="162">
        <f>VLOOKUP($A285,[1]Notes!$A:$G,3,FALSE)</f>
        <v>3164007.0393382334</v>
      </c>
      <c r="L285" s="161">
        <f>VLOOKUP($A285,[1]Notes!$A:$G,5,FALSE)</f>
        <v>1898404.2236029403</v>
      </c>
      <c r="M285" s="161">
        <f>VLOOKUP($A285,[1]Notes!$A:$G,7,FALSE)</f>
        <v>2024964.5051764695</v>
      </c>
      <c r="N285" s="154">
        <f t="shared" si="84"/>
        <v>7087375.7681176439</v>
      </c>
      <c r="O285" s="45">
        <f t="shared" si="91"/>
        <v>3507563.808896563</v>
      </c>
      <c r="P285" s="45">
        <f t="shared" si="85"/>
        <v>2104538.285337938</v>
      </c>
      <c r="Q285" s="45">
        <f t="shared" si="86"/>
        <v>2244840.8376938002</v>
      </c>
      <c r="R285" s="45">
        <f t="shared" si="87"/>
        <v>7856942.9319283012</v>
      </c>
      <c r="S285" s="153">
        <f t="shared" si="92"/>
        <v>0.10858280821972688</v>
      </c>
      <c r="T285">
        <f>VLOOKUP($A285,'[2]All month (2)'!$E:$Y,8,FALSE)</f>
        <v>0</v>
      </c>
      <c r="U285">
        <f>VLOOKUP($A285,'[2]All month (2)'!$E:$Y,14,FALSE)</f>
        <v>3798720</v>
      </c>
      <c r="V285">
        <f>VLOOKUP($A285,'[2]All month (2)'!$E:$Y,20,FALSE)</f>
        <v>2548650</v>
      </c>
      <c r="W285">
        <f t="shared" si="93"/>
        <v>6347370</v>
      </c>
      <c r="X285" s="152">
        <f t="shared" si="88"/>
        <v>0.23782652215457761</v>
      </c>
    </row>
    <row r="286" spans="1:24" ht="16.2" customHeight="1" x14ac:dyDescent="0.3">
      <c r="A286" s="57" t="s">
        <v>53</v>
      </c>
      <c r="B286" s="189">
        <f>VLOOKUP($A286,'Growth Analysis'!A:G,2,FALSE)</f>
        <v>0</v>
      </c>
      <c r="C286" s="189">
        <f>VLOOKUP(A286,'Growth Analysis'!A:G,4,FALSE)</f>
        <v>1</v>
      </c>
      <c r="D286" s="50">
        <f t="shared" si="80"/>
        <v>1</v>
      </c>
      <c r="E286" s="49">
        <f>VLOOKUP($A286,'Growth Analysis'!$A:$G,5,FALSE)</f>
        <v>0</v>
      </c>
      <c r="F286" s="49">
        <f>VLOOKUP($A286,'Growth Analysis'!$A:$G,6,FALSE)</f>
        <v>6801238.693885481</v>
      </c>
      <c r="G286" s="50">
        <f t="shared" si="81"/>
        <v>1</v>
      </c>
      <c r="H286" s="159">
        <f t="shared" si="82"/>
        <v>3.8106857356393705E-3</v>
      </c>
      <c r="I286" s="158">
        <f t="shared" si="83"/>
        <v>0</v>
      </c>
      <c r="J286" s="157">
        <v>0</v>
      </c>
      <c r="K286" s="162">
        <f>VLOOKUP($A286,[1]Notes!$A:$G,3,FALSE)</f>
        <v>4640543.6576960767</v>
      </c>
      <c r="L286" s="161">
        <f>VLOOKUP($A286,[1]Notes!$A:$G,5,FALSE)</f>
        <v>2784326.1946176463</v>
      </c>
      <c r="M286" s="161">
        <f>VLOOKUP($A286,[1]Notes!$A:$G,7,FALSE)</f>
        <v>2969947.9409254892</v>
      </c>
      <c r="N286" s="154">
        <f t="shared" si="84"/>
        <v>10394817.793239214</v>
      </c>
      <c r="O286" s="45">
        <f t="shared" si="91"/>
        <v>5144425.7431131499</v>
      </c>
      <c r="P286" s="45">
        <f t="shared" si="85"/>
        <v>3086655.44586789</v>
      </c>
      <c r="Q286" s="45">
        <f t="shared" si="86"/>
        <v>3292432.4755924162</v>
      </c>
      <c r="R286" s="45">
        <f t="shared" si="87"/>
        <v>11523513.664573455</v>
      </c>
      <c r="S286" s="153">
        <f t="shared" si="92"/>
        <v>0.10858255467145805</v>
      </c>
      <c r="T286">
        <f>VLOOKUP($A286,'[2]All month (2)'!$E:$Y,8,FALSE)</f>
        <v>0</v>
      </c>
      <c r="U286">
        <f>VLOOKUP($A286,'[2]All month (2)'!$E:$Y,14,FALSE)</f>
        <v>5698080</v>
      </c>
      <c r="V286">
        <f>VLOOKUP($A286,'[2]All month (2)'!$E:$Y,20,FALSE)</f>
        <v>3822975</v>
      </c>
      <c r="W286">
        <f t="shared" si="93"/>
        <v>9521055</v>
      </c>
      <c r="X286" s="152">
        <f t="shared" si="88"/>
        <v>0.21031898928989018</v>
      </c>
    </row>
    <row r="287" spans="1:24" ht="16.2" customHeight="1" x14ac:dyDescent="0.3">
      <c r="A287" s="166" t="s">
        <v>52</v>
      </c>
      <c r="B287" s="189">
        <f>VLOOKUP($A287,'Growth Analysis'!A:G,2,FALSE)</f>
        <v>0</v>
      </c>
      <c r="C287" s="189">
        <f>VLOOKUP(A287,'Growth Analysis'!A:G,4,FALSE)</f>
        <v>1</v>
      </c>
      <c r="D287" s="50">
        <f t="shared" si="80"/>
        <v>1</v>
      </c>
      <c r="E287" s="49">
        <f>VLOOKUP($A287,'Growth Analysis'!$A:$G,5,FALSE)</f>
        <v>0</v>
      </c>
      <c r="F287" s="49">
        <f>VLOOKUP($A287,'Growth Analysis'!$A:$G,6,FALSE)</f>
        <v>7110386.1768677365</v>
      </c>
      <c r="G287" s="50">
        <f t="shared" si="81"/>
        <v>1</v>
      </c>
      <c r="H287" s="159">
        <f t="shared" si="82"/>
        <v>3.9838988746912921E-3</v>
      </c>
      <c r="I287" s="158">
        <f t="shared" si="83"/>
        <v>0</v>
      </c>
      <c r="J287" s="157">
        <v>0</v>
      </c>
      <c r="K287" s="162">
        <f>VLOOKUP($A287,[1]Notes!$A:$G,3,FALSE)</f>
        <v>4851477.4603186268</v>
      </c>
      <c r="L287" s="161">
        <f>VLOOKUP($A287,[1]Notes!$A:$G,5,FALSE)</f>
        <v>2910886.4761911761</v>
      </c>
      <c r="M287" s="161">
        <f>VLOOKUP($A287,[1]Notes!$A:$G,7,FALSE)</f>
        <v>3104945.5746039213</v>
      </c>
      <c r="N287" s="154">
        <f t="shared" si="84"/>
        <v>10867309.511113724</v>
      </c>
      <c r="O287" s="45">
        <f t="shared" si="91"/>
        <v>5378263.4808332445</v>
      </c>
      <c r="P287" s="45">
        <f t="shared" si="85"/>
        <v>3226958.0884999465</v>
      </c>
      <c r="Q287" s="45">
        <f t="shared" si="86"/>
        <v>3442088.6277332762</v>
      </c>
      <c r="R287" s="45">
        <f t="shared" si="87"/>
        <v>12047310.197066467</v>
      </c>
      <c r="S287" s="153">
        <f t="shared" si="92"/>
        <v>0.10858259670859538</v>
      </c>
      <c r="X287" s="152">
        <f t="shared" si="88"/>
        <v>1</v>
      </c>
    </row>
    <row r="288" spans="1:24" ht="16.2" customHeight="1" thickBot="1" x14ac:dyDescent="0.35">
      <c r="A288" s="59" t="s">
        <v>51</v>
      </c>
      <c r="B288" s="189">
        <f>VLOOKUP($A288,'Growth Analysis'!A:G,2,FALSE)</f>
        <v>709.23578400000008</v>
      </c>
      <c r="C288" s="189">
        <f>VLOOKUP(A288,'Growth Analysis'!A:G,4,FALSE)</f>
        <v>-0.79852603291657942</v>
      </c>
      <c r="D288" s="50">
        <f t="shared" si="80"/>
        <v>-1.0011258964239127</v>
      </c>
      <c r="E288" s="49">
        <f>VLOOKUP($A288,'Growth Analysis'!$A:$G,5,FALSE)</f>
        <v>14136486</v>
      </c>
      <c r="F288" s="49">
        <f>VLOOKUP($A288,'Growth Analysis'!$A:$G,6,FALSE)</f>
        <v>7679618.7287887819</v>
      </c>
      <c r="G288" s="50">
        <f t="shared" si="81"/>
        <v>-0.45675193051591589</v>
      </c>
      <c r="H288" s="159">
        <f t="shared" si="82"/>
        <v>4.3028358306633372E-3</v>
      </c>
      <c r="I288" s="158">
        <f t="shared" si="83"/>
        <v>8.787103073654684E-3</v>
      </c>
      <c r="J288" s="157">
        <v>695.32920000000001</v>
      </c>
      <c r="K288" s="156">
        <f>VLOOKUP($A288,[1]Notes!$A:$G,3,FALSE)</f>
        <v>5239869.3789838264</v>
      </c>
      <c r="L288" s="155">
        <f>VLOOKUP($A288,[1]Notes!$A:$G,5,FALSE)</f>
        <v>3143921.6273902962</v>
      </c>
      <c r="M288" s="155">
        <f>VLOOKUP($A288,[1]Notes!$A:$G,7,FALSE)</f>
        <v>3353516.4025496491</v>
      </c>
      <c r="N288" s="154">
        <f t="shared" si="84"/>
        <v>11737307.408923771</v>
      </c>
      <c r="O288" s="45">
        <f t="shared" si="91"/>
        <v>5808828.371395505</v>
      </c>
      <c r="P288" s="45">
        <f t="shared" si="85"/>
        <v>3485297.0228373031</v>
      </c>
      <c r="Q288" s="45">
        <f t="shared" si="86"/>
        <v>3717650.1576931234</v>
      </c>
      <c r="R288" s="45">
        <f t="shared" si="87"/>
        <v>13011775.551925931</v>
      </c>
      <c r="S288" s="153">
        <f>N288/R288-1</f>
        <v>-9.7947289200936205E-2</v>
      </c>
      <c r="T288">
        <f>VLOOKUP($A288,'[2]All month (2)'!$E:$Y,8,FALSE)</f>
        <v>9421000</v>
      </c>
      <c r="U288">
        <f>VLOOKUP($A288,'[2]All month (2)'!$E:$Y,14,FALSE)</f>
        <v>3165600</v>
      </c>
      <c r="V288">
        <f>VLOOKUP($A288,'[2]All month (2)'!$E:$Y,20,FALSE)</f>
        <v>2123875</v>
      </c>
      <c r="W288">
        <f>SUM(T288:V288)</f>
        <v>14710475</v>
      </c>
      <c r="X288" s="152">
        <f t="shared" si="88"/>
        <v>-0.11547549947055202</v>
      </c>
    </row>
    <row r="289" spans="1:24" ht="16.2" thickBot="1" x14ac:dyDescent="0.35">
      <c r="A289" s="56" t="s">
        <v>50</v>
      </c>
      <c r="B289" s="42">
        <f>SUM(B280:B288)</f>
        <v>1489.1756730000002</v>
      </c>
      <c r="C289" s="40">
        <f>SUM(C280:C288)</f>
        <v>4.0537847728175453</v>
      </c>
      <c r="D289" s="41">
        <f t="shared" si="80"/>
        <v>-0.99727783306810869</v>
      </c>
      <c r="E289" s="40">
        <f>SUM(E280:E288)</f>
        <v>34983837.600000001</v>
      </c>
      <c r="F289" s="40">
        <f>SUM(F280:F288)</f>
        <v>53774870.703512564</v>
      </c>
      <c r="G289" s="151">
        <f t="shared" si="81"/>
        <v>0.53713469969665539</v>
      </c>
      <c r="H289" s="150">
        <f t="shared" si="82"/>
        <v>3.0129678129067181E-2</v>
      </c>
      <c r="I289" s="150">
        <f t="shared" si="83"/>
        <v>2.1745615346218029E-2</v>
      </c>
      <c r="J289" s="42">
        <f>SUM(J280:J288)</f>
        <v>1459.97615</v>
      </c>
      <c r="K289" s="165">
        <f>SUM(K280:K288)</f>
        <v>37315200</v>
      </c>
      <c r="L289" s="165">
        <f>SUM(L280:L288)</f>
        <v>22389120</v>
      </c>
      <c r="M289" s="165">
        <f>SUM(M280:M288)</f>
        <v>23881728.000000007</v>
      </c>
      <c r="N289" s="36">
        <f t="shared" si="84"/>
        <v>83586048</v>
      </c>
      <c r="O289" s="36">
        <f t="shared" si="91"/>
        <v>40675065.47424069</v>
      </c>
      <c r="P289" s="36">
        <f t="shared" si="85"/>
        <v>24405039.284544416</v>
      </c>
      <c r="Q289" s="36">
        <f t="shared" si="86"/>
        <v>26032041.903514042</v>
      </c>
      <c r="R289" s="148">
        <f t="shared" si="87"/>
        <v>91112146.662299156</v>
      </c>
      <c r="S289" s="41"/>
      <c r="T289" s="42">
        <f>SUM(T280:T288)</f>
        <v>21275375</v>
      </c>
      <c r="U289" s="42">
        <f>SUM(U280:U288)</f>
        <v>18842740</v>
      </c>
      <c r="V289" s="42">
        <f>SUM(V280:V288)</f>
        <v>18346000</v>
      </c>
      <c r="W289" s="147">
        <f>SUM(W280:W288)</f>
        <v>58464115</v>
      </c>
      <c r="X289" s="146">
        <f t="shared" si="88"/>
        <v>0.55842856190158963</v>
      </c>
    </row>
    <row r="290" spans="1:24" ht="16.2" customHeight="1" x14ac:dyDescent="0.3">
      <c r="A290" s="58" t="s">
        <v>49</v>
      </c>
      <c r="B290" s="189">
        <f>VLOOKUP($A290,'Growth Analysis'!A:G,2,FALSE)</f>
        <v>325.07349000000005</v>
      </c>
      <c r="C290" s="189">
        <f>VLOOKUP(A290,'Growth Analysis'!A:G,4,FALSE)</f>
        <v>-0.25567630876328917</v>
      </c>
      <c r="D290" s="50">
        <f t="shared" si="80"/>
        <v>-1.0007865184846765</v>
      </c>
      <c r="E290" s="49">
        <f>VLOOKUP($A290,'Growth Analysis'!$A:$G,5,FALSE)</f>
        <v>6517800</v>
      </c>
      <c r="F290" s="49">
        <f>VLOOKUP($A290,'Growth Analysis'!$A:$G,6,FALSE)</f>
        <v>11711332.5</v>
      </c>
      <c r="G290" s="50">
        <f t="shared" si="81"/>
        <v>0.7968229310503544</v>
      </c>
      <c r="H290" s="159">
        <f t="shared" si="82"/>
        <v>6.5617764221687844E-3</v>
      </c>
      <c r="I290" s="158">
        <f t="shared" si="83"/>
        <v>4.0514014878567772E-3</v>
      </c>
      <c r="J290" s="157">
        <v>318.69950000000006</v>
      </c>
      <c r="K290" s="164">
        <f>VLOOKUP($A290,[1]Notes!$A:$G,3,FALSE)</f>
        <v>5740800</v>
      </c>
      <c r="L290" s="163">
        <f>VLOOKUP($A290,[1]Notes!$A:$G,5,FALSE)</f>
        <v>3444480</v>
      </c>
      <c r="M290" s="163">
        <f>VLOOKUP($A290,[1]Notes!$A:$G,7,FALSE)</f>
        <v>3674111.9999999995</v>
      </c>
      <c r="N290" s="154">
        <f t="shared" si="84"/>
        <v>12859392</v>
      </c>
      <c r="O290" s="45">
        <f t="shared" si="91"/>
        <v>8858398.1699278597</v>
      </c>
      <c r="P290" s="45">
        <f t="shared" si="85"/>
        <v>5315038.9019567156</v>
      </c>
      <c r="Q290" s="45">
        <f t="shared" si="86"/>
        <v>5669374.8287538299</v>
      </c>
      <c r="R290" s="45">
        <f t="shared" si="87"/>
        <v>19842811.900638405</v>
      </c>
      <c r="S290" s="153">
        <f t="shared" ref="S290:S296" si="94">R290/N290-1</f>
        <v>0.54305988188542709</v>
      </c>
      <c r="T290">
        <f>VLOOKUP($A290,'[2]All month (2)'!$E:$Y,8,FALSE)</f>
        <v>3450000</v>
      </c>
      <c r="U290">
        <f>VLOOKUP($A290,'[2]All month (2)'!$E:$Y,14,FALSE)</f>
        <v>3470000</v>
      </c>
      <c r="V290">
        <f>VLOOKUP($A290,'[2]All month (2)'!$E:$Y,20,FALSE)</f>
        <v>5200000</v>
      </c>
      <c r="W290">
        <f t="shared" ref="W290:W296" si="95">SUM(T290:V290)</f>
        <v>12120000</v>
      </c>
      <c r="X290" s="152">
        <f t="shared" si="88"/>
        <v>0.63719570137280568</v>
      </c>
    </row>
    <row r="291" spans="1:24" ht="16.2" customHeight="1" x14ac:dyDescent="0.3">
      <c r="A291" s="57" t="s">
        <v>48</v>
      </c>
      <c r="B291" s="189">
        <f>VLOOKUP($A291,'Growth Analysis'!A:G,2,FALSE)</f>
        <v>0</v>
      </c>
      <c r="C291" s="189">
        <f>VLOOKUP(A291,'Growth Analysis'!A:G,4,FALSE)</f>
        <v>1</v>
      </c>
      <c r="D291" s="50">
        <f t="shared" si="80"/>
        <v>1</v>
      </c>
      <c r="E291" s="49">
        <f>VLOOKUP($A291,'Growth Analysis'!$A:$G,5,FALSE)</f>
        <v>0</v>
      </c>
      <c r="F291" s="49">
        <f>VLOOKUP($A291,'Growth Analysis'!$A:$G,6,FALSE)</f>
        <v>13312579.44645771</v>
      </c>
      <c r="G291" s="50">
        <f t="shared" si="81"/>
        <v>1</v>
      </c>
      <c r="H291" s="159">
        <f t="shared" si="82"/>
        <v>7.458943713707639E-3</v>
      </c>
      <c r="I291" s="158">
        <f t="shared" si="83"/>
        <v>0</v>
      </c>
      <c r="J291" s="157">
        <v>0</v>
      </c>
      <c r="K291" s="162">
        <f>VLOOKUP($A291,[1]Notes!$A:$G,3,FALSE)</f>
        <v>9050282.3561696522</v>
      </c>
      <c r="L291" s="161">
        <f>VLOOKUP($A291,[1]Notes!$A:$G,5,FALSE)</f>
        <v>5430169.4137017913</v>
      </c>
      <c r="M291" s="161">
        <f>VLOOKUP($A291,[1]Notes!$A:$G,7,FALSE)</f>
        <v>5792180.7079485785</v>
      </c>
      <c r="N291" s="154">
        <f t="shared" si="84"/>
        <v>20272632.477820024</v>
      </c>
      <c r="O291" s="45">
        <f t="shared" si="91"/>
        <v>10069574.013505314</v>
      </c>
      <c r="P291" s="45">
        <f t="shared" si="85"/>
        <v>6041744.4081031876</v>
      </c>
      <c r="Q291" s="45">
        <f t="shared" si="86"/>
        <v>6444527.3686434003</v>
      </c>
      <c r="R291" s="45">
        <f t="shared" si="87"/>
        <v>22555845.7902519</v>
      </c>
      <c r="S291" s="153">
        <f t="shared" si="94"/>
        <v>0.11262539854801323</v>
      </c>
      <c r="T291">
        <f>VLOOKUP($A291,'[2]All month (2)'!$E:$Y,8,FALSE)</f>
        <v>0</v>
      </c>
      <c r="U291">
        <f>VLOOKUP($A291,'[2]All month (2)'!$E:$Y,14,FALSE)</f>
        <v>2285743.84</v>
      </c>
      <c r="V291">
        <f>VLOOKUP($A291,'[2]All month (2)'!$E:$Y,20,FALSE)</f>
        <v>2217140</v>
      </c>
      <c r="W291">
        <f t="shared" si="95"/>
        <v>4502883.84</v>
      </c>
      <c r="X291" s="152">
        <f t="shared" si="88"/>
        <v>4.0092000130858141</v>
      </c>
    </row>
    <row r="292" spans="1:24" ht="16.2" customHeight="1" x14ac:dyDescent="0.3">
      <c r="A292" s="57" t="s">
        <v>47</v>
      </c>
      <c r="B292" s="189">
        <f>VLOOKUP($A292,'Growth Analysis'!A:G,2,FALSE)</f>
        <v>96.776579999999996</v>
      </c>
      <c r="C292" s="189">
        <f>VLOOKUP(A292,'Growth Analysis'!A:G,4,FALSE)</f>
        <v>-6.4293273227882114E-2</v>
      </c>
      <c r="D292" s="50">
        <f t="shared" si="80"/>
        <v>-1.0006643474405468</v>
      </c>
      <c r="E292" s="49">
        <f>VLOOKUP($A292,'Growth Analysis'!$A:$G,5,FALSE)</f>
        <v>4866420</v>
      </c>
      <c r="F292" s="49">
        <f>VLOOKUP($A292,'Growth Analysis'!$A:$G,6,FALSE)</f>
        <v>5916701.8576700948</v>
      </c>
      <c r="G292" s="50">
        <f t="shared" si="81"/>
        <v>0.21582227955459965</v>
      </c>
      <c r="H292" s="159">
        <f t="shared" si="82"/>
        <v>3.3150860285677888E-3</v>
      </c>
      <c r="I292" s="158">
        <f t="shared" si="83"/>
        <v>3.0249196398379787E-3</v>
      </c>
      <c r="J292" s="157">
        <v>94.878999999999991</v>
      </c>
      <c r="K292" s="162">
        <f>VLOOKUP($A292,[1]Notes!$A:$G,3,FALSE)</f>
        <v>4022347.713853179</v>
      </c>
      <c r="L292" s="161">
        <f>VLOOKUP($A292,[1]Notes!$A:$G,5,FALSE)</f>
        <v>2413408.6283119079</v>
      </c>
      <c r="M292" s="161">
        <f>VLOOKUP($A292,[1]Notes!$A:$G,7,FALSE)</f>
        <v>2574302.5368660348</v>
      </c>
      <c r="N292" s="154">
        <f t="shared" si="84"/>
        <v>9010058.8790311217</v>
      </c>
      <c r="O292" s="45">
        <f t="shared" si="91"/>
        <v>4475366.1385665145</v>
      </c>
      <c r="P292" s="45">
        <f t="shared" si="85"/>
        <v>2685219.6831399091</v>
      </c>
      <c r="Q292" s="45">
        <f t="shared" si="86"/>
        <v>2864234.3286825693</v>
      </c>
      <c r="R292" s="45">
        <f t="shared" si="87"/>
        <v>10024820.150388993</v>
      </c>
      <c r="S292" s="153">
        <f t="shared" si="94"/>
        <v>0.11262537625802871</v>
      </c>
      <c r="T292">
        <f>VLOOKUP($A292,'[2]All month (2)'!$E:$Y,8,FALSE)</f>
        <v>1466000</v>
      </c>
      <c r="U292">
        <f>VLOOKUP($A292,'[2]All month (2)'!$E:$Y,14,FALSE)</f>
        <v>1411782.96</v>
      </c>
      <c r="V292">
        <f>VLOOKUP($A292,'[2]All month (2)'!$E:$Y,20,FALSE)</f>
        <v>1369410</v>
      </c>
      <c r="W292">
        <f t="shared" si="95"/>
        <v>4247192.96</v>
      </c>
      <c r="X292" s="152">
        <f t="shared" si="88"/>
        <v>1.3603401693312738</v>
      </c>
    </row>
    <row r="293" spans="1:24" ht="16.2" customHeight="1" x14ac:dyDescent="0.3">
      <c r="A293" s="57" t="s">
        <v>46</v>
      </c>
      <c r="B293" s="189">
        <f>VLOOKUP($A293,'Growth Analysis'!A:G,2,FALSE)</f>
        <v>1038.1587030000001</v>
      </c>
      <c r="C293" s="189">
        <f>VLOOKUP(A293,'Growth Analysis'!A:G,4,FALSE)</f>
        <v>-0.86438603761336474</v>
      </c>
      <c r="D293" s="50">
        <f t="shared" si="80"/>
        <v>-1.0008326145464228</v>
      </c>
      <c r="E293" s="49">
        <f>VLOOKUP($A293,'Growth Analysis'!$A:$G,5,FALSE)</f>
        <v>26523258.900000002</v>
      </c>
      <c r="F293" s="49">
        <f>VLOOKUP($A293,'Growth Analysis'!$A:$G,6,FALSE)</f>
        <v>6647309.909072197</v>
      </c>
      <c r="G293" s="50">
        <f t="shared" si="81"/>
        <v>-0.74937808607402323</v>
      </c>
      <c r="H293" s="159">
        <f t="shared" si="82"/>
        <v>3.7244405307593196E-3</v>
      </c>
      <c r="I293" s="158">
        <f t="shared" si="83"/>
        <v>1.6486601394683869E-2</v>
      </c>
      <c r="J293" s="157">
        <v>1017.80265</v>
      </c>
      <c r="K293" s="162">
        <f>VLOOKUP($A293,[1]Notes!$A:$G,3,FALSE)</f>
        <v>7039108.4992430629</v>
      </c>
      <c r="L293" s="161">
        <f>VLOOKUP($A293,[1]Notes!$A:$G,5,FALSE)</f>
        <v>4223465.0995458383</v>
      </c>
      <c r="M293" s="161">
        <f>VLOOKUP($A293,[1]Notes!$A:$G,7,FALSE)</f>
        <v>4505029.4395155599</v>
      </c>
      <c r="N293" s="154">
        <f t="shared" si="84"/>
        <v>15767603.038304463</v>
      </c>
      <c r="O293" s="45">
        <f t="shared" si="91"/>
        <v>5027994.7165250815</v>
      </c>
      <c r="P293" s="45">
        <f t="shared" si="85"/>
        <v>3016796.829915049</v>
      </c>
      <c r="Q293" s="45">
        <f t="shared" si="86"/>
        <v>3217916.6185760521</v>
      </c>
      <c r="R293" s="45">
        <f t="shared" si="87"/>
        <v>11262708.165016182</v>
      </c>
      <c r="S293" s="153">
        <f t="shared" si="94"/>
        <v>-0.28570575136528209</v>
      </c>
      <c r="T293">
        <f>VLOOKUP($A293,'[2]All month (2)'!$E:$Y,8,FALSE)</f>
        <v>11789850</v>
      </c>
      <c r="U293">
        <f>VLOOKUP($A293,'[2]All month (2)'!$E:$Y,14,FALSE)</f>
        <v>3025249.2</v>
      </c>
      <c r="V293">
        <f>VLOOKUP($A293,'[2]All month (2)'!$E:$Y,20,FALSE)</f>
        <v>2934450</v>
      </c>
      <c r="W293">
        <f t="shared" si="95"/>
        <v>17749549.199999999</v>
      </c>
      <c r="X293" s="152">
        <f t="shared" si="88"/>
        <v>-0.36546511474127003</v>
      </c>
    </row>
    <row r="294" spans="1:24" ht="16.2" customHeight="1" x14ac:dyDescent="0.3">
      <c r="A294" s="57" t="s">
        <v>45</v>
      </c>
      <c r="B294" s="189">
        <f>VLOOKUP($A294,'Growth Analysis'!A:G,2,FALSE)</f>
        <v>0</v>
      </c>
      <c r="C294" s="189">
        <f>VLOOKUP(A294,'Growth Analysis'!A:G,4,FALSE)</f>
        <v>1</v>
      </c>
      <c r="D294" s="50">
        <f t="shared" si="80"/>
        <v>1</v>
      </c>
      <c r="E294" s="49">
        <f>VLOOKUP($A294,'Growth Analysis'!$A:$G,5,FALSE)</f>
        <v>0</v>
      </c>
      <c r="F294" s="49">
        <f>VLOOKUP($A294,'Growth Analysis'!$A:$G,6,FALSE)</f>
        <v>8563051.3499999996</v>
      </c>
      <c r="G294" s="50">
        <f t="shared" si="81"/>
        <v>1</v>
      </c>
      <c r="H294" s="159">
        <f t="shared" si="82"/>
        <v>4.7978168539105671E-3</v>
      </c>
      <c r="I294" s="158">
        <f t="shared" si="83"/>
        <v>0</v>
      </c>
      <c r="J294" s="157">
        <v>0</v>
      </c>
      <c r="K294" s="162">
        <f>VLOOKUP($A294,[1]Notes!$A:$G,3,FALSE)</f>
        <v>6244370.4428769099</v>
      </c>
      <c r="L294" s="161">
        <f>VLOOKUP($A294,[1]Notes!$A:$G,5,FALSE)</f>
        <v>3746622.2657261463</v>
      </c>
      <c r="M294" s="161">
        <f>VLOOKUP($A294,[1]Notes!$A:$G,7,FALSE)</f>
        <v>3996397.0834412226</v>
      </c>
      <c r="N294" s="154">
        <f t="shared" si="84"/>
        <v>13987389.792044278</v>
      </c>
      <c r="O294" s="45">
        <f t="shared" si="91"/>
        <v>6477052.7527792659</v>
      </c>
      <c r="P294" s="45">
        <f t="shared" si="85"/>
        <v>3886231.6516675595</v>
      </c>
      <c r="Q294" s="45">
        <f t="shared" si="86"/>
        <v>4145313.76177873</v>
      </c>
      <c r="R294" s="45">
        <f t="shared" si="87"/>
        <v>14508598.166225556</v>
      </c>
      <c r="S294" s="153">
        <f t="shared" si="94"/>
        <v>3.7262733214007415E-2</v>
      </c>
      <c r="T294">
        <f>VLOOKUP($A294,'[2]All month (2)'!$E:$Y,8,FALSE)</f>
        <v>0</v>
      </c>
      <c r="U294">
        <f>VLOOKUP($A294,'[2]All month (2)'!$E:$Y,14,FALSE)</f>
        <v>2484000</v>
      </c>
      <c r="V294">
        <f>VLOOKUP($A294,'[2]All month (2)'!$E:$Y,20,FALSE)</f>
        <v>2800000</v>
      </c>
      <c r="W294">
        <f t="shared" si="95"/>
        <v>5284000</v>
      </c>
      <c r="X294" s="152">
        <f t="shared" si="88"/>
        <v>1.7457604402395073</v>
      </c>
    </row>
    <row r="295" spans="1:24" ht="16.2" customHeight="1" x14ac:dyDescent="0.3">
      <c r="A295" s="57" t="s">
        <v>44</v>
      </c>
      <c r="B295" s="189">
        <f>VLOOKUP($A295,'Growth Analysis'!A:G,2,FALSE)</f>
        <v>38.000610000000009</v>
      </c>
      <c r="C295" s="189">
        <f>VLOOKUP(A295,'Growth Analysis'!A:G,4,FALSE)</f>
        <v>1.4996714144851881</v>
      </c>
      <c r="D295" s="50">
        <f t="shared" si="80"/>
        <v>-0.96053559628423901</v>
      </c>
      <c r="E295" s="49">
        <f>VLOOKUP($A295,'Growth Analysis'!$A:$G,5,FALSE)</f>
        <v>1662600</v>
      </c>
      <c r="F295" s="49">
        <f>VLOOKUP($A295,'Growth Analysis'!$A:$G,6,FALSE)</f>
        <v>4840422.3</v>
      </c>
      <c r="G295" s="50">
        <f t="shared" si="81"/>
        <v>1.9113570913027786</v>
      </c>
      <c r="H295" s="159">
        <f t="shared" si="82"/>
        <v>2.7120542364824835E-3</v>
      </c>
      <c r="I295" s="158">
        <f t="shared" si="83"/>
        <v>1.0334560915816191E-3</v>
      </c>
      <c r="J295" s="157">
        <v>37.255500000000005</v>
      </c>
      <c r="K295" s="162">
        <f>VLOOKUP($A295,[1]Notes!$A:$G,3,FALSE)</f>
        <v>2097600</v>
      </c>
      <c r="L295" s="161">
        <f>VLOOKUP($A295,[1]Notes!$A:$G,5,FALSE)</f>
        <v>1258560</v>
      </c>
      <c r="M295" s="161">
        <f>VLOOKUP($A295,[1]Notes!$A:$G,7,FALSE)</f>
        <v>1342464.0000000002</v>
      </c>
      <c r="N295" s="154">
        <f t="shared" si="84"/>
        <v>4698624</v>
      </c>
      <c r="O295" s="45">
        <f t="shared" si="91"/>
        <v>3661273.2192513528</v>
      </c>
      <c r="P295" s="45">
        <f t="shared" si="85"/>
        <v>2196763.9315508115</v>
      </c>
      <c r="Q295" s="45">
        <f t="shared" si="86"/>
        <v>2343214.8603208656</v>
      </c>
      <c r="R295" s="45">
        <f t="shared" si="87"/>
        <v>8201252.0111230295</v>
      </c>
      <c r="S295" s="153">
        <f t="shared" si="94"/>
        <v>0.74545824716406961</v>
      </c>
      <c r="T295">
        <f>VLOOKUP($A295,'[2]All month (2)'!$E:$Y,8,FALSE)</f>
        <v>1880900</v>
      </c>
      <c r="U295">
        <f>VLOOKUP($A295,'[2]All month (2)'!$E:$Y,14,FALSE)</f>
        <v>738240</v>
      </c>
      <c r="V295">
        <f>VLOOKUP($A295,'[2]All month (2)'!$E:$Y,20,FALSE)</f>
        <v>2323950</v>
      </c>
      <c r="W295">
        <f t="shared" si="95"/>
        <v>4943090</v>
      </c>
      <c r="X295" s="152">
        <f t="shared" si="88"/>
        <v>0.6591346730735288</v>
      </c>
    </row>
    <row r="296" spans="1:24" ht="16.2" customHeight="1" thickBot="1" x14ac:dyDescent="0.35">
      <c r="A296" s="59" t="s">
        <v>43</v>
      </c>
      <c r="B296" s="189">
        <f>VLOOKUP($A296,'Growth Analysis'!A:G,2,FALSE)</f>
        <v>0</v>
      </c>
      <c r="C296" s="189">
        <f>VLOOKUP(A296,'Growth Analysis'!A:G,4,FALSE)</f>
        <v>1</v>
      </c>
      <c r="D296" s="50">
        <f t="shared" si="80"/>
        <v>1</v>
      </c>
      <c r="E296" s="49">
        <f>VLOOKUP($A296,'Growth Analysis'!$A:$G,5,FALSE)</f>
        <v>0</v>
      </c>
      <c r="F296" s="49">
        <f>VLOOKUP($A296,'Growth Analysis'!$A:$G,6,FALSE)</f>
        <v>7886651.8500000006</v>
      </c>
      <c r="G296" s="50">
        <f t="shared" si="81"/>
        <v>1</v>
      </c>
      <c r="H296" s="159">
        <f t="shared" si="82"/>
        <v>4.418835018063387E-3</v>
      </c>
      <c r="I296" s="158">
        <f t="shared" si="83"/>
        <v>0</v>
      </c>
      <c r="J296" s="157">
        <v>0</v>
      </c>
      <c r="K296" s="156">
        <f>VLOOKUP($A296,[1]Notes!$A:$G,3,FALSE)</f>
        <v>3091199.9999999995</v>
      </c>
      <c r="L296" s="155">
        <f>VLOOKUP($A296,[1]Notes!$A:$G,5,FALSE)</f>
        <v>1854720</v>
      </c>
      <c r="M296" s="155">
        <f>VLOOKUP($A296,[1]Notes!$A:$G,7,FALSE)</f>
        <v>1978368</v>
      </c>
      <c r="N296" s="154">
        <f t="shared" si="84"/>
        <v>6924288</v>
      </c>
      <c r="O296" s="45">
        <f t="shared" si="91"/>
        <v>5965427.2743855724</v>
      </c>
      <c r="P296" s="45">
        <f t="shared" si="85"/>
        <v>3579256.3646313436</v>
      </c>
      <c r="Q296" s="45">
        <f t="shared" si="86"/>
        <v>3817873.4556067665</v>
      </c>
      <c r="R296" s="45">
        <f t="shared" si="87"/>
        <v>13362557.094623681</v>
      </c>
      <c r="S296" s="153">
        <f t="shared" si="94"/>
        <v>0.92980954787317938</v>
      </c>
      <c r="T296">
        <f>VLOOKUP($A296,'[2]All month (2)'!$E:$Y,8,FALSE)</f>
        <v>2682000</v>
      </c>
      <c r="U296">
        <f>VLOOKUP($A296,'[2]All month (2)'!$E:$Y,14,FALSE)</f>
        <v>1640000</v>
      </c>
      <c r="V296">
        <f>VLOOKUP($A296,'[2]All month (2)'!$E:$Y,20,FALSE)</f>
        <v>1942000</v>
      </c>
      <c r="W296">
        <f t="shared" si="95"/>
        <v>6264000</v>
      </c>
      <c r="X296" s="152">
        <f t="shared" si="88"/>
        <v>1.1332306983754281</v>
      </c>
    </row>
    <row r="297" spans="1:24" ht="16.2" thickBot="1" x14ac:dyDescent="0.35">
      <c r="A297" s="56" t="s">
        <v>42</v>
      </c>
      <c r="B297" s="42">
        <f>SUM(B290:B296)</f>
        <v>1498.0093830000001</v>
      </c>
      <c r="C297" s="40">
        <f>SUM(C290:C296)</f>
        <v>3.315315794880652</v>
      </c>
      <c r="D297" s="41">
        <f t="shared" si="80"/>
        <v>-0.99778685245065601</v>
      </c>
      <c r="E297" s="40">
        <f>SUM(E290:E296)</f>
        <v>39570078.900000006</v>
      </c>
      <c r="F297" s="40">
        <f>SUM(F290:F296)</f>
        <v>58878049.213200003</v>
      </c>
      <c r="G297" s="151">
        <f t="shared" si="81"/>
        <v>0.48794369002888177</v>
      </c>
      <c r="H297" s="150">
        <f t="shared" si="82"/>
        <v>3.2988952803659967E-2</v>
      </c>
      <c r="I297" s="150">
        <f t="shared" si="83"/>
        <v>2.4596378613960246E-2</v>
      </c>
      <c r="J297" s="42">
        <f>SUM(J290:J296)</f>
        <v>1468.6366500000001</v>
      </c>
      <c r="K297" s="165">
        <f>SUM(K290:K296)</f>
        <v>37285709.012142807</v>
      </c>
      <c r="L297" s="165">
        <f>SUM(L290:L296)</f>
        <v>22371425.407285683</v>
      </c>
      <c r="M297" s="165">
        <f>SUM(M290:M296)</f>
        <v>23862853.767771397</v>
      </c>
      <c r="N297" s="36">
        <f t="shared" si="84"/>
        <v>83519988.187199891</v>
      </c>
      <c r="O297" s="36">
        <f t="shared" si="91"/>
        <v>44535086.284940958</v>
      </c>
      <c r="P297" s="36">
        <f t="shared" si="85"/>
        <v>26721051.770964574</v>
      </c>
      <c r="Q297" s="36">
        <f t="shared" si="86"/>
        <v>28502455.222362213</v>
      </c>
      <c r="R297" s="148">
        <f t="shared" si="87"/>
        <v>99758593.278267741</v>
      </c>
      <c r="S297" s="41"/>
      <c r="T297" s="42">
        <f>SUM(T290:T296)</f>
        <v>21268750</v>
      </c>
      <c r="U297" s="42">
        <f>SUM(U290:U296)</f>
        <v>15055016</v>
      </c>
      <c r="V297" s="42">
        <f>SUM(V290:V296)</f>
        <v>18786950</v>
      </c>
      <c r="W297" s="147">
        <f>SUM(W290:W296)</f>
        <v>55110716</v>
      </c>
      <c r="X297" s="146">
        <f t="shared" si="88"/>
        <v>0.81014874272850568</v>
      </c>
    </row>
    <row r="298" spans="1:24" ht="16.2" customHeight="1" x14ac:dyDescent="0.3">
      <c r="A298" s="58" t="s">
        <v>41</v>
      </c>
      <c r="B298" s="189">
        <f>VLOOKUP($A298,'Growth Analysis'!A:G,2,FALSE)</f>
        <v>0</v>
      </c>
      <c r="C298" s="189">
        <f>VLOOKUP(A298,'Growth Analysis'!A:G,4,FALSE)</f>
        <v>1</v>
      </c>
      <c r="D298" s="50">
        <f t="shared" si="80"/>
        <v>1</v>
      </c>
      <c r="E298" s="49">
        <f>VLOOKUP($A298,'Growth Analysis'!$A:$G,5,FALSE)</f>
        <v>0</v>
      </c>
      <c r="F298" s="49">
        <f>VLOOKUP($A298,'Growth Analysis'!$A:$G,6,FALSE)</f>
        <v>95200.000000000015</v>
      </c>
      <c r="G298" s="50">
        <f t="shared" si="81"/>
        <v>1</v>
      </c>
      <c r="H298" s="159">
        <f t="shared" si="82"/>
        <v>5.3339883859541036E-5</v>
      </c>
      <c r="I298" s="158">
        <f t="shared" si="83"/>
        <v>0</v>
      </c>
      <c r="J298" s="157">
        <v>0</v>
      </c>
      <c r="K298" s="164">
        <f>VLOOKUP($A298,[1]Notes!$A:$G,3,FALSE)</f>
        <v>883200.00000000012</v>
      </c>
      <c r="L298" s="163">
        <f>VLOOKUP($A298,[1]Notes!$A:$G,5,FALSE)</f>
        <v>529920</v>
      </c>
      <c r="M298" s="163">
        <f>VLOOKUP($A298,[1]Notes!$A:$G,7,FALSE)</f>
        <v>565248</v>
      </c>
      <c r="N298" s="154">
        <f t="shared" si="84"/>
        <v>1978368</v>
      </c>
      <c r="O298" s="45">
        <f t="shared" si="91"/>
        <v>72008.843210380393</v>
      </c>
      <c r="P298" s="45">
        <f t="shared" si="85"/>
        <v>43205.30592622824</v>
      </c>
      <c r="Q298" s="45">
        <f t="shared" si="86"/>
        <v>46085.659654643452</v>
      </c>
      <c r="R298" s="45">
        <f t="shared" si="87"/>
        <v>161299.80879125209</v>
      </c>
      <c r="S298" s="153">
        <f t="shared" ref="S298:S308" si="96">R298/N298-1</f>
        <v>-0.91846824817665262</v>
      </c>
      <c r="T298">
        <f>VLOOKUP($A298,'[2]All month (2)'!$E:$Y,8,FALSE)</f>
        <v>0</v>
      </c>
      <c r="U298">
        <f>VLOOKUP($A298,'[2]All month (2)'!$E:$Y,14,FALSE)</f>
        <v>0</v>
      </c>
      <c r="V298">
        <f>VLOOKUP($A298,'[2]All month (2)'!$E:$Y,20,FALSE)</f>
        <v>0</v>
      </c>
      <c r="W298">
        <f t="shared" ref="W298:W308" si="97">SUM(T298:V298)</f>
        <v>0</v>
      </c>
      <c r="X298" s="152">
        <f t="shared" si="88"/>
        <v>1</v>
      </c>
    </row>
    <row r="299" spans="1:24" ht="16.2" customHeight="1" x14ac:dyDescent="0.3">
      <c r="A299" s="57" t="s">
        <v>40</v>
      </c>
      <c r="B299" s="189">
        <f>VLOOKUP($A299,'Growth Analysis'!A:G,2,FALSE)</f>
        <v>0</v>
      </c>
      <c r="C299" s="189">
        <f>VLOOKUP(A299,'Growth Analysis'!A:G,4,FALSE)</f>
        <v>1</v>
      </c>
      <c r="D299" s="50">
        <f t="shared" si="80"/>
        <v>1</v>
      </c>
      <c r="E299" s="49">
        <f>VLOOKUP($A299,'Growth Analysis'!$A:$G,5,FALSE)</f>
        <v>0</v>
      </c>
      <c r="F299" s="49">
        <f>VLOOKUP($A299,'Growth Analysis'!$A:$G,6,FALSE)</f>
        <v>83300</v>
      </c>
      <c r="G299" s="50">
        <f t="shared" si="81"/>
        <v>1</v>
      </c>
      <c r="H299" s="159">
        <f t="shared" si="82"/>
        <v>4.6672398377098396E-5</v>
      </c>
      <c r="I299" s="158">
        <f t="shared" si="83"/>
        <v>0</v>
      </c>
      <c r="J299" s="157">
        <v>0</v>
      </c>
      <c r="K299" s="162">
        <f>VLOOKUP($A299,[1]Notes!$A:$G,3,FALSE)</f>
        <v>772799.99999999988</v>
      </c>
      <c r="L299" s="161">
        <f>VLOOKUP($A299,[1]Notes!$A:$G,5,FALSE)</f>
        <v>463680</v>
      </c>
      <c r="M299" s="161">
        <f>VLOOKUP($A299,[1]Notes!$A:$G,7,FALSE)</f>
        <v>494592</v>
      </c>
      <c r="N299" s="154">
        <f t="shared" si="84"/>
        <v>1731072</v>
      </c>
      <c r="O299" s="45">
        <f t="shared" si="91"/>
        <v>63007.737809082835</v>
      </c>
      <c r="P299" s="45">
        <f t="shared" si="85"/>
        <v>37804.642685449704</v>
      </c>
      <c r="Q299" s="45">
        <f t="shared" si="86"/>
        <v>40324.952197813014</v>
      </c>
      <c r="R299" s="45">
        <f t="shared" si="87"/>
        <v>141137.33269234555</v>
      </c>
      <c r="S299" s="153">
        <f t="shared" si="96"/>
        <v>-0.91846824817665262</v>
      </c>
      <c r="T299">
        <f>VLOOKUP($A299,'[2]All month (2)'!$E:$Y,8,FALSE)</f>
        <v>0</v>
      </c>
      <c r="U299">
        <f>VLOOKUP($A299,'[2]All month (2)'!$E:$Y,14,FALSE)</f>
        <v>0</v>
      </c>
      <c r="V299">
        <f>VLOOKUP($A299,'[2]All month (2)'!$E:$Y,20,FALSE)</f>
        <v>0</v>
      </c>
      <c r="W299">
        <f t="shared" si="97"/>
        <v>0</v>
      </c>
      <c r="X299" s="152">
        <f t="shared" si="88"/>
        <v>1</v>
      </c>
    </row>
    <row r="300" spans="1:24" ht="16.2" customHeight="1" x14ac:dyDescent="0.3">
      <c r="A300" s="55" t="s">
        <v>39</v>
      </c>
      <c r="B300" s="189">
        <f>VLOOKUP($A300,'Growth Analysis'!A:G,2,FALSE)</f>
        <v>87.867644999999996</v>
      </c>
      <c r="C300" s="189">
        <f>VLOOKUP(A300,'Growth Analysis'!A:G,4,FALSE)</f>
        <v>-0.11667622365433816</v>
      </c>
      <c r="D300" s="50">
        <f t="shared" si="80"/>
        <v>-1.0013278633296061</v>
      </c>
      <c r="E300" s="49">
        <f>VLOOKUP($A300,'Growth Analysis'!$A:$G,5,FALSE)</f>
        <v>2862400.5</v>
      </c>
      <c r="F300" s="49">
        <f>VLOOKUP($A300,'Growth Analysis'!$A:$G,6,FALSE)</f>
        <v>3334040.0310000004</v>
      </c>
      <c r="G300" s="50">
        <f t="shared" si="81"/>
        <v>0.16477062905767395</v>
      </c>
      <c r="H300" s="159">
        <f t="shared" si="82"/>
        <v>1.8680389499642919E-3</v>
      </c>
      <c r="I300" s="158">
        <f t="shared" si="83"/>
        <v>1.7792404867504347E-3</v>
      </c>
      <c r="J300" s="157">
        <v>86.144749999999988</v>
      </c>
      <c r="K300" s="162">
        <f>VLOOKUP($A300,[1]Notes!$A:$G,3,FALSE)</f>
        <v>3532800.0000000005</v>
      </c>
      <c r="L300" s="161">
        <f>VLOOKUP($A300,[1]Notes!$A:$G,5,FALSE)</f>
        <v>2119680</v>
      </c>
      <c r="M300" s="161">
        <f>VLOOKUP($A300,[1]Notes!$A:$G,7,FALSE)</f>
        <v>2260992</v>
      </c>
      <c r="N300" s="154">
        <f t="shared" si="84"/>
        <v>7913472</v>
      </c>
      <c r="O300" s="45">
        <f t="shared" si="91"/>
        <v>2521852.5824517943</v>
      </c>
      <c r="P300" s="45">
        <f t="shared" si="85"/>
        <v>1513111.5494710766</v>
      </c>
      <c r="Q300" s="45">
        <f t="shared" si="86"/>
        <v>1613985.6527691483</v>
      </c>
      <c r="R300" s="45">
        <f t="shared" si="87"/>
        <v>5648949.7846920192</v>
      </c>
      <c r="S300" s="153">
        <f t="shared" si="96"/>
        <v>-0.28616038766649843</v>
      </c>
      <c r="T300">
        <f>VLOOKUP($A300,'[2]All month (2)'!$E:$Y,8,FALSE)</f>
        <v>1706970</v>
      </c>
      <c r="U300">
        <f>VLOOKUP($A300,'[2]All month (2)'!$E:$Y,14,FALSE)</f>
        <v>1726050</v>
      </c>
      <c r="V300">
        <f>VLOOKUP($A300,'[2]All month (2)'!$E:$Y,20,FALSE)</f>
        <v>2096654</v>
      </c>
      <c r="W300">
        <f t="shared" si="97"/>
        <v>5529674</v>
      </c>
      <c r="X300" s="152">
        <f t="shared" si="88"/>
        <v>2.1570129575815722E-2</v>
      </c>
    </row>
    <row r="301" spans="1:24" ht="16.2" customHeight="1" x14ac:dyDescent="0.3">
      <c r="A301" s="57" t="s">
        <v>38</v>
      </c>
      <c r="B301" s="189">
        <f>VLOOKUP($A301,'Growth Analysis'!A:G,2,FALSE)</f>
        <v>0</v>
      </c>
      <c r="C301" s="189">
        <f>VLOOKUP(A301,'Growth Analysis'!A:G,4,FALSE)</f>
        <v>1</v>
      </c>
      <c r="D301" s="50">
        <f t="shared" si="80"/>
        <v>1</v>
      </c>
      <c r="E301" s="49">
        <f>VLOOKUP($A301,'Growth Analysis'!$A:$G,5,FALSE)</f>
        <v>0</v>
      </c>
      <c r="F301" s="49">
        <f>VLOOKUP($A301,'Growth Analysis'!$A:$G,6,FALSE)</f>
        <v>342016.5</v>
      </c>
      <c r="G301" s="50">
        <f t="shared" si="81"/>
        <v>1</v>
      </c>
      <c r="H301" s="159">
        <f t="shared" si="82"/>
        <v>1.9162941584082682E-4</v>
      </c>
      <c r="I301" s="158">
        <f t="shared" si="83"/>
        <v>0</v>
      </c>
      <c r="J301" s="157">
        <v>0</v>
      </c>
      <c r="K301" s="162">
        <f>VLOOKUP($A301,[1]Notes!$A:$G,3,FALSE)</f>
        <v>772799.99999999988</v>
      </c>
      <c r="L301" s="161">
        <f>VLOOKUP($A301,[1]Notes!$A:$G,5,FALSE)</f>
        <v>463680</v>
      </c>
      <c r="M301" s="161">
        <f>VLOOKUP($A301,[1]Notes!$A:$G,7,FALSE)</f>
        <v>494592</v>
      </c>
      <c r="N301" s="154">
        <f t="shared" si="84"/>
        <v>1731072</v>
      </c>
      <c r="O301" s="45">
        <f t="shared" si="91"/>
        <v>258699.71138511621</v>
      </c>
      <c r="P301" s="45">
        <f t="shared" si="85"/>
        <v>155219.82683106972</v>
      </c>
      <c r="Q301" s="45">
        <f t="shared" si="86"/>
        <v>165567.81528647439</v>
      </c>
      <c r="R301" s="45">
        <f t="shared" si="87"/>
        <v>579487.35350266029</v>
      </c>
      <c r="S301" s="153">
        <f t="shared" si="96"/>
        <v>-0.66524364468799657</v>
      </c>
      <c r="T301">
        <f>VLOOKUP($A301,'[2]All month (2)'!$E:$Y,8,FALSE)</f>
        <v>0</v>
      </c>
      <c r="U301">
        <f>VLOOKUP($A301,'[2]All month (2)'!$E:$Y,14,FALSE)</f>
        <v>250475.6</v>
      </c>
      <c r="V301">
        <f>VLOOKUP($A301,'[2]All month (2)'!$E:$Y,20,FALSE)</f>
        <v>165340.6</v>
      </c>
      <c r="W301">
        <f t="shared" si="97"/>
        <v>415816.2</v>
      </c>
      <c r="X301" s="152">
        <f t="shared" si="88"/>
        <v>0.39361418218592797</v>
      </c>
    </row>
    <row r="302" spans="1:24" ht="16.2" customHeight="1" x14ac:dyDescent="0.3">
      <c r="A302" s="57" t="s">
        <v>37</v>
      </c>
      <c r="B302" s="189">
        <f>VLOOKUP($A302,'Growth Analysis'!A:G,2,FALSE)</f>
        <v>0</v>
      </c>
      <c r="C302" s="189">
        <f>VLOOKUP(A302,'Growth Analysis'!A:G,4,FALSE)</f>
        <v>1</v>
      </c>
      <c r="D302" s="50">
        <f t="shared" si="80"/>
        <v>1</v>
      </c>
      <c r="E302" s="49">
        <f>VLOOKUP($A302,'Growth Analysis'!$A:$G,5,FALSE)</f>
        <v>0</v>
      </c>
      <c r="F302" s="49">
        <f>VLOOKUP($A302,'Growth Analysis'!$A:$G,6,FALSE)</f>
        <v>253732.5</v>
      </c>
      <c r="G302" s="50">
        <f t="shared" si="81"/>
        <v>1</v>
      </c>
      <c r="H302" s="159">
        <f t="shared" si="82"/>
        <v>1.4216451766167011E-4</v>
      </c>
      <c r="I302" s="158">
        <f t="shared" si="83"/>
        <v>0</v>
      </c>
      <c r="J302" s="157">
        <v>0</v>
      </c>
      <c r="K302" s="162">
        <f>VLOOKUP($A302,[1]Notes!$A:$G,3,FALSE)</f>
        <v>772799.99999999988</v>
      </c>
      <c r="L302" s="161">
        <f>VLOOKUP($A302,[1]Notes!$A:$G,5,FALSE)</f>
        <v>463680</v>
      </c>
      <c r="M302" s="161">
        <f>VLOOKUP($A302,[1]Notes!$A:$G,7,FALSE)</f>
        <v>494592</v>
      </c>
      <c r="N302" s="154">
        <f t="shared" si="84"/>
        <v>1731072</v>
      </c>
      <c r="O302" s="45">
        <f t="shared" si="91"/>
        <v>191922.09884325464</v>
      </c>
      <c r="P302" s="45">
        <f t="shared" si="85"/>
        <v>115153.25930595279</v>
      </c>
      <c r="Q302" s="45">
        <f t="shared" si="86"/>
        <v>122830.14325968297</v>
      </c>
      <c r="R302" s="45">
        <f t="shared" si="87"/>
        <v>429905.50140889041</v>
      </c>
      <c r="S302" s="153">
        <f t="shared" si="96"/>
        <v>-0.75165359880531235</v>
      </c>
      <c r="T302">
        <f>VLOOKUP($A302,'[2]All month (2)'!$E:$Y,8,FALSE)</f>
        <v>0</v>
      </c>
      <c r="U302">
        <f>VLOOKUP($A302,'[2]All month (2)'!$E:$Y,14,FALSE)</f>
        <v>75142.679999999993</v>
      </c>
      <c r="V302">
        <f>VLOOKUP($A302,'[2]All month (2)'!$E:$Y,20,FALSE)</f>
        <v>41335.15</v>
      </c>
      <c r="W302">
        <f t="shared" si="97"/>
        <v>116477.82999999999</v>
      </c>
      <c r="X302" s="152">
        <f t="shared" si="88"/>
        <v>2.6908783534934537</v>
      </c>
    </row>
    <row r="303" spans="1:24" ht="16.2" customHeight="1" x14ac:dyDescent="0.3">
      <c r="A303" s="57" t="s">
        <v>36</v>
      </c>
      <c r="B303" s="189">
        <f>VLOOKUP($A303,'Growth Analysis'!A:G,2,FALSE)</f>
        <v>0</v>
      </c>
      <c r="C303" s="189">
        <f>VLOOKUP(A303,'Growth Analysis'!A:G,4,FALSE)</f>
        <v>1</v>
      </c>
      <c r="D303" s="50">
        <f t="shared" si="80"/>
        <v>1</v>
      </c>
      <c r="E303" s="49">
        <f>VLOOKUP($A303,'Growth Analysis'!$A:$G,5,FALSE)</f>
        <v>0</v>
      </c>
      <c r="F303" s="49">
        <f>VLOOKUP($A303,'Growth Analysis'!$A:$G,6,FALSE)</f>
        <v>78669</v>
      </c>
      <c r="G303" s="50">
        <f t="shared" si="81"/>
        <v>1</v>
      </c>
      <c r="H303" s="159">
        <f t="shared" si="82"/>
        <v>4.4077681967922616E-5</v>
      </c>
      <c r="I303" s="158">
        <f t="shared" si="83"/>
        <v>0</v>
      </c>
      <c r="J303" s="157">
        <v>0</v>
      </c>
      <c r="K303" s="162">
        <f>VLOOKUP($A303,[1]Notes!$A:$G,3,FALSE)</f>
        <v>220800.00000000003</v>
      </c>
      <c r="L303" s="161">
        <f>VLOOKUP($A303,[1]Notes!$A:$G,5,FALSE)</f>
        <v>132480</v>
      </c>
      <c r="M303" s="161">
        <f>VLOOKUP($A303,[1]Notes!$A:$G,7,FALSE)</f>
        <v>141312</v>
      </c>
      <c r="N303" s="154">
        <f t="shared" si="84"/>
        <v>494592</v>
      </c>
      <c r="O303" s="45">
        <f t="shared" si="91"/>
        <v>59504.87065669553</v>
      </c>
      <c r="P303" s="45">
        <f t="shared" si="85"/>
        <v>35702.922394017318</v>
      </c>
      <c r="Q303" s="45">
        <f t="shared" si="86"/>
        <v>38083.117220285138</v>
      </c>
      <c r="R303" s="45">
        <f t="shared" si="87"/>
        <v>133290.91027099799</v>
      </c>
      <c r="S303" s="153">
        <f t="shared" si="96"/>
        <v>-0.73050330318525569</v>
      </c>
      <c r="T303">
        <f>VLOOKUP($A303,'[2]All month (2)'!$E:$Y,8,FALSE)</f>
        <v>0</v>
      </c>
      <c r="U303">
        <f>VLOOKUP($A303,'[2]All month (2)'!$E:$Y,14,FALSE)</f>
        <v>87666.46</v>
      </c>
      <c r="V303">
        <f>VLOOKUP($A303,'[2]All month (2)'!$E:$Y,20,FALSE)</f>
        <v>24801.09</v>
      </c>
      <c r="W303">
        <f t="shared" si="97"/>
        <v>112467.55</v>
      </c>
      <c r="X303" s="152">
        <f t="shared" si="88"/>
        <v>0.18514994121413678</v>
      </c>
    </row>
    <row r="304" spans="1:24" ht="16.2" customHeight="1" x14ac:dyDescent="0.3">
      <c r="A304" s="57" t="s">
        <v>35</v>
      </c>
      <c r="B304" s="189">
        <f>VLOOKUP($A304,'Growth Analysis'!A:G,2,FALSE)</f>
        <v>0</v>
      </c>
      <c r="C304" s="189">
        <f>VLOOKUP(A304,'Growth Analysis'!A:G,4,FALSE)</f>
        <v>1</v>
      </c>
      <c r="D304" s="50">
        <f t="shared" si="80"/>
        <v>1</v>
      </c>
      <c r="E304" s="49">
        <f>VLOOKUP($A304,'Growth Analysis'!$A:$G,5,FALSE)</f>
        <v>0</v>
      </c>
      <c r="F304" s="49">
        <f>VLOOKUP($A304,'Growth Analysis'!$A:$G,6,FALSE)</f>
        <v>72495</v>
      </c>
      <c r="G304" s="50">
        <f t="shared" si="81"/>
        <v>1</v>
      </c>
      <c r="H304" s="159">
        <f t="shared" si="82"/>
        <v>4.0618433617620031E-5</v>
      </c>
      <c r="I304" s="158">
        <f t="shared" si="83"/>
        <v>0</v>
      </c>
      <c r="J304" s="157">
        <v>0</v>
      </c>
      <c r="K304" s="162">
        <f>VLOOKUP($A304,[1]Notes!$A:$G,3,FALSE)</f>
        <v>220800.00000000003</v>
      </c>
      <c r="L304" s="161">
        <f>VLOOKUP($A304,[1]Notes!$A:$G,5,FALSE)</f>
        <v>132480</v>
      </c>
      <c r="M304" s="161">
        <f>VLOOKUP($A304,[1]Notes!$A:$G,7,FALSE)</f>
        <v>141312</v>
      </c>
      <c r="N304" s="154">
        <f t="shared" si="84"/>
        <v>494592</v>
      </c>
      <c r="O304" s="45">
        <f t="shared" si="91"/>
        <v>54834.885383787041</v>
      </c>
      <c r="P304" s="45">
        <f t="shared" si="85"/>
        <v>32900.931230272225</v>
      </c>
      <c r="Q304" s="45">
        <f t="shared" si="86"/>
        <v>35094.326645623703</v>
      </c>
      <c r="R304" s="45">
        <f t="shared" si="87"/>
        <v>122830.14325968297</v>
      </c>
      <c r="S304" s="153">
        <f t="shared" si="96"/>
        <v>-0.75165359880531235</v>
      </c>
      <c r="T304">
        <f>VLOOKUP($A304,'[2]All month (2)'!$E:$Y,8,FALSE)</f>
        <v>0</v>
      </c>
      <c r="U304">
        <f>VLOOKUP($A304,'[2]All month (2)'!$E:$Y,14,FALSE)</f>
        <v>125237.8</v>
      </c>
      <c r="V304">
        <f>VLOOKUP($A304,'[2]All month (2)'!$E:$Y,20,FALSE)</f>
        <v>82670.3</v>
      </c>
      <c r="W304">
        <f t="shared" si="97"/>
        <v>207908.1</v>
      </c>
      <c r="X304" s="152">
        <f t="shared" si="88"/>
        <v>-0.40920943792145198</v>
      </c>
    </row>
    <row r="305" spans="1:24" ht="16.2" customHeight="1" x14ac:dyDescent="0.3">
      <c r="A305" s="57" t="s">
        <v>34</v>
      </c>
      <c r="B305" s="189">
        <f>VLOOKUP($A305,'Growth Analysis'!A:G,2,FALSE)</f>
        <v>49.282687200000005</v>
      </c>
      <c r="C305" s="189">
        <f>VLOOKUP(A305,'Growth Analysis'!A:G,4,FALSE)</f>
        <v>-0.91754710972822118</v>
      </c>
      <c r="D305" s="50">
        <f t="shared" si="80"/>
        <v>-1.0186180413824557</v>
      </c>
      <c r="E305" s="49">
        <f>VLOOKUP($A305,'Growth Analysis'!$A:$G,5,FALSE)</f>
        <v>2020609.8</v>
      </c>
      <c r="F305" s="49">
        <f>VLOOKUP($A305,'Growth Analysis'!$A:$G,6,FALSE)</f>
        <v>118003.5</v>
      </c>
      <c r="G305" s="50">
        <f t="shared" si="81"/>
        <v>-0.94160005558717963</v>
      </c>
      <c r="H305" s="159">
        <f t="shared" si="82"/>
        <v>6.611652295188392E-5</v>
      </c>
      <c r="I305" s="158">
        <f t="shared" si="83"/>
        <v>1.2559915232283876E-3</v>
      </c>
      <c r="J305" s="157">
        <v>48.316360000000003</v>
      </c>
      <c r="K305" s="162">
        <f>VLOOKUP($A305,[1]Notes!$A:$G,3,FALSE)</f>
        <v>331200</v>
      </c>
      <c r="L305" s="161">
        <f>VLOOKUP($A305,[1]Notes!$A:$G,5,FALSE)</f>
        <v>198720</v>
      </c>
      <c r="M305" s="161">
        <f>VLOOKUP($A305,[1]Notes!$A:$G,7,FALSE)</f>
        <v>211968</v>
      </c>
      <c r="N305" s="154">
        <f t="shared" si="84"/>
        <v>741888</v>
      </c>
      <c r="O305" s="45">
        <f t="shared" si="91"/>
        <v>89257.305985043291</v>
      </c>
      <c r="P305" s="45">
        <f t="shared" si="85"/>
        <v>53554.383591025973</v>
      </c>
      <c r="Q305" s="45">
        <f t="shared" si="86"/>
        <v>57124.67583042771</v>
      </c>
      <c r="R305" s="45">
        <f t="shared" si="87"/>
        <v>199936.36540649697</v>
      </c>
      <c r="S305" s="153">
        <f t="shared" si="96"/>
        <v>-0.73050330318525569</v>
      </c>
      <c r="T305">
        <f>VLOOKUP($A305,'[2]All month (2)'!$E:$Y,8,FALSE)</f>
        <v>498200</v>
      </c>
      <c r="U305">
        <f>VLOOKUP($A305,'[2]All month (2)'!$E:$Y,14,FALSE)</f>
        <v>125237.8</v>
      </c>
      <c r="V305">
        <f>VLOOKUP($A305,'[2]All month (2)'!$E:$Y,20,FALSE)</f>
        <v>82670.3</v>
      </c>
      <c r="W305">
        <f t="shared" si="97"/>
        <v>706108.10000000009</v>
      </c>
      <c r="X305" s="152">
        <f t="shared" si="88"/>
        <v>-0.71684737024473033</v>
      </c>
    </row>
    <row r="306" spans="1:24" ht="16.2" customHeight="1" x14ac:dyDescent="0.3">
      <c r="A306" s="57" t="s">
        <v>33</v>
      </c>
      <c r="B306" s="189">
        <f>VLOOKUP($A306,'Growth Analysis'!A:G,2,FALSE)</f>
        <v>0</v>
      </c>
      <c r="C306" s="189">
        <f>VLOOKUP(A306,'Growth Analysis'!A:G,4,FALSE)</f>
        <v>1</v>
      </c>
      <c r="D306" s="50">
        <f t="shared" si="80"/>
        <v>1</v>
      </c>
      <c r="E306" s="49">
        <f>VLOOKUP($A306,'Growth Analysis'!$A:$G,5,FALSE)</f>
        <v>0</v>
      </c>
      <c r="F306" s="49">
        <f>VLOOKUP($A306,'Growth Analysis'!$A:$G,6,FALSE)</f>
        <v>108742.5</v>
      </c>
      <c r="G306" s="50">
        <f t="shared" si="81"/>
        <v>1</v>
      </c>
      <c r="H306" s="159">
        <f t="shared" si="82"/>
        <v>6.0927650426430043E-5</v>
      </c>
      <c r="I306" s="158">
        <f t="shared" si="83"/>
        <v>0</v>
      </c>
      <c r="J306" s="157">
        <v>0</v>
      </c>
      <c r="K306" s="162">
        <f>VLOOKUP($A306,[1]Notes!$A:$G,3,FALSE)</f>
        <v>331200</v>
      </c>
      <c r="L306" s="161">
        <f>VLOOKUP($A306,[1]Notes!$A:$G,5,FALSE)</f>
        <v>198720</v>
      </c>
      <c r="M306" s="161">
        <f>VLOOKUP($A306,[1]Notes!$A:$G,7,FALSE)</f>
        <v>211968</v>
      </c>
      <c r="N306" s="154">
        <f t="shared" si="84"/>
        <v>741888</v>
      </c>
      <c r="O306" s="45">
        <f t="shared" si="91"/>
        <v>82252.328075680562</v>
      </c>
      <c r="P306" s="45">
        <f t="shared" si="85"/>
        <v>49351.396845408337</v>
      </c>
      <c r="Q306" s="45">
        <f t="shared" si="86"/>
        <v>52641.489968435555</v>
      </c>
      <c r="R306" s="45">
        <f t="shared" si="87"/>
        <v>184245.21488952445</v>
      </c>
      <c r="S306" s="153">
        <f t="shared" si="96"/>
        <v>-0.75165359880531235</v>
      </c>
      <c r="T306">
        <f>VLOOKUP($A306,'[2]All month (2)'!$E:$Y,8,FALSE)</f>
        <v>0</v>
      </c>
      <c r="U306">
        <f>VLOOKUP($A306,'[2]All month (2)'!$E:$Y,14,FALSE)</f>
        <v>112714.02</v>
      </c>
      <c r="V306">
        <f>VLOOKUP($A306,'[2]All month (2)'!$E:$Y,20,FALSE)</f>
        <v>74403.27</v>
      </c>
      <c r="W306">
        <f t="shared" si="97"/>
        <v>187117.29</v>
      </c>
      <c r="X306" s="152">
        <f t="shared" si="88"/>
        <v>-1.5349063202420053E-2</v>
      </c>
    </row>
    <row r="307" spans="1:24" ht="16.2" customHeight="1" x14ac:dyDescent="0.3">
      <c r="A307" s="57" t="s">
        <v>32</v>
      </c>
      <c r="B307" s="189">
        <f>VLOOKUP($A307,'Growth Analysis'!A:G,2,FALSE)</f>
        <v>0</v>
      </c>
      <c r="C307" s="189">
        <f>VLOOKUP(A307,'Growth Analysis'!A:G,4,FALSE)</f>
        <v>1</v>
      </c>
      <c r="D307" s="50">
        <f t="shared" si="80"/>
        <v>1</v>
      </c>
      <c r="E307" s="49">
        <f>VLOOKUP($A307,'Growth Analysis'!$A:$G,5,FALSE)</f>
        <v>0</v>
      </c>
      <c r="F307" s="49">
        <f>VLOOKUP($A307,'Growth Analysis'!$A:$G,6,FALSE)</f>
        <v>78669</v>
      </c>
      <c r="G307" s="50">
        <f t="shared" si="81"/>
        <v>1</v>
      </c>
      <c r="H307" s="159">
        <f t="shared" si="82"/>
        <v>4.4077681967922616E-5</v>
      </c>
      <c r="I307" s="158">
        <f t="shared" si="83"/>
        <v>0</v>
      </c>
      <c r="J307" s="157">
        <v>0</v>
      </c>
      <c r="K307" s="162">
        <f>VLOOKUP($A307,[1]Notes!$A:$G,3,FALSE)</f>
        <v>220800.00000000003</v>
      </c>
      <c r="L307" s="161">
        <f>VLOOKUP($A307,[1]Notes!$A:$G,5,FALSE)</f>
        <v>132480</v>
      </c>
      <c r="M307" s="161">
        <f>VLOOKUP($A307,[1]Notes!$A:$G,7,FALSE)</f>
        <v>141312</v>
      </c>
      <c r="N307" s="154">
        <f t="shared" si="84"/>
        <v>494592</v>
      </c>
      <c r="O307" s="45">
        <f t="shared" si="91"/>
        <v>59504.87065669553</v>
      </c>
      <c r="P307" s="45">
        <f t="shared" si="85"/>
        <v>35702.922394017318</v>
      </c>
      <c r="Q307" s="45">
        <f t="shared" si="86"/>
        <v>38083.117220285138</v>
      </c>
      <c r="R307" s="45">
        <f t="shared" si="87"/>
        <v>133290.91027099799</v>
      </c>
      <c r="S307" s="153">
        <f t="shared" si="96"/>
        <v>-0.73050330318525569</v>
      </c>
      <c r="T307">
        <f>VLOOKUP($A307,'[2]All month (2)'!$E:$Y,8,FALSE)</f>
        <v>0</v>
      </c>
      <c r="U307">
        <f>VLOOKUP($A307,'[2]All month (2)'!$E:$Y,14,FALSE)</f>
        <v>0</v>
      </c>
      <c r="V307">
        <f>VLOOKUP($A307,'[2]All month (2)'!$E:$Y,20,FALSE)</f>
        <v>41335.15</v>
      </c>
      <c r="W307">
        <f t="shared" si="97"/>
        <v>41335.15</v>
      </c>
      <c r="X307" s="152">
        <f t="shared" si="88"/>
        <v>2.2246383591446506</v>
      </c>
    </row>
    <row r="308" spans="1:24" ht="16.2" customHeight="1" thickBot="1" x14ac:dyDescent="0.35">
      <c r="A308" s="54" t="s">
        <v>31</v>
      </c>
      <c r="B308" s="189">
        <f>VLOOKUP($A308,'Growth Analysis'!A:G,2,FALSE)</f>
        <v>0</v>
      </c>
      <c r="C308" s="189">
        <f>VLOOKUP(A308,'Growth Analysis'!A:G,4,FALSE)</f>
        <v>1</v>
      </c>
      <c r="D308" s="50">
        <f t="shared" si="80"/>
        <v>1</v>
      </c>
      <c r="E308" s="49">
        <f>VLOOKUP($A308,'Growth Analysis'!$A:$G,5,FALSE)</f>
        <v>0</v>
      </c>
      <c r="F308" s="49">
        <f>VLOOKUP($A308,'Growth Analysis'!$A:$G,6,FALSE)</f>
        <v>72495</v>
      </c>
      <c r="G308" s="50">
        <f t="shared" si="81"/>
        <v>1</v>
      </c>
      <c r="H308" s="159">
        <f t="shared" si="82"/>
        <v>4.0618433617620031E-5</v>
      </c>
      <c r="I308" s="158">
        <f t="shared" si="83"/>
        <v>0</v>
      </c>
      <c r="J308" s="157">
        <v>0</v>
      </c>
      <c r="K308" s="156">
        <f>VLOOKUP($A308,[1]Notes!$A:$G,3,FALSE)</f>
        <v>220800.00000000003</v>
      </c>
      <c r="L308" s="155">
        <f>VLOOKUP($A308,[1]Notes!$A:$G,5,FALSE)</f>
        <v>132480</v>
      </c>
      <c r="M308" s="155">
        <f>VLOOKUP($A308,[1]Notes!$A:$G,7,FALSE)</f>
        <v>141312</v>
      </c>
      <c r="N308" s="154">
        <f t="shared" si="84"/>
        <v>494592</v>
      </c>
      <c r="O308" s="45">
        <f t="shared" si="91"/>
        <v>54834.885383787041</v>
      </c>
      <c r="P308" s="45">
        <f t="shared" si="85"/>
        <v>32900.931230272225</v>
      </c>
      <c r="Q308" s="45">
        <f t="shared" si="86"/>
        <v>35094.326645623703</v>
      </c>
      <c r="R308" s="45">
        <f t="shared" si="87"/>
        <v>122830.14325968297</v>
      </c>
      <c r="S308" s="153">
        <f t="shared" si="96"/>
        <v>-0.75165359880531235</v>
      </c>
      <c r="T308">
        <f>VLOOKUP($A308,'[2]All month (2)'!$E:$Y,8,FALSE)</f>
        <v>0</v>
      </c>
      <c r="U308">
        <f>VLOOKUP($A308,'[2]All month (2)'!$E:$Y,14,FALSE)</f>
        <v>475903.64</v>
      </c>
      <c r="V308">
        <f>VLOOKUP($A308,'[2]All month (2)'!$E:$Y,20,FALSE)</f>
        <v>314147.14</v>
      </c>
      <c r="W308">
        <f t="shared" si="97"/>
        <v>790050.78</v>
      </c>
      <c r="X308" s="152">
        <f t="shared" si="88"/>
        <v>-0.84452879945301373</v>
      </c>
    </row>
    <row r="309" spans="1:24" ht="16.2" thickBot="1" x14ac:dyDescent="0.35">
      <c r="A309" s="56" t="s">
        <v>30</v>
      </c>
      <c r="B309" s="42">
        <f>SUM(B298:B308)</f>
        <v>137.15033220000001</v>
      </c>
      <c r="C309" s="40">
        <f>SUM(C298:C308)</f>
        <v>7.9657766666174412</v>
      </c>
      <c r="D309" s="41">
        <f t="shared" si="80"/>
        <v>-0.94191937752654276</v>
      </c>
      <c r="E309" s="40">
        <f>SUM(E298:E308)</f>
        <v>4883010.3</v>
      </c>
      <c r="F309" s="40">
        <f>SUM(F298:F308)</f>
        <v>4637363.0310000004</v>
      </c>
      <c r="G309" s="151">
        <f t="shared" si="81"/>
        <v>-5.0306522802132818E-2</v>
      </c>
      <c r="H309" s="150">
        <f t="shared" si="82"/>
        <v>2.5982815702528276E-3</v>
      </c>
      <c r="I309" s="150">
        <f t="shared" si="83"/>
        <v>3.0352320099788221E-3</v>
      </c>
      <c r="J309" s="42">
        <f>SUM(J298:J308)</f>
        <v>134.46110999999999</v>
      </c>
      <c r="K309" s="149">
        <f>SUM(K298:K308)</f>
        <v>8280000</v>
      </c>
      <c r="L309" s="149">
        <f>SUM(L298:L308)</f>
        <v>4968000</v>
      </c>
      <c r="M309" s="149">
        <f>SUM(M298:M308)</f>
        <v>5299200</v>
      </c>
      <c r="N309" s="36">
        <f t="shared" si="84"/>
        <v>18547200</v>
      </c>
      <c r="O309" s="36">
        <f t="shared" si="91"/>
        <v>3507680.1198413172</v>
      </c>
      <c r="P309" s="36">
        <f t="shared" si="85"/>
        <v>2104608.0719047906</v>
      </c>
      <c r="Q309" s="36">
        <f t="shared" si="86"/>
        <v>2244915.2766984431</v>
      </c>
      <c r="R309" s="148">
        <f t="shared" si="87"/>
        <v>7857203.4684445513</v>
      </c>
      <c r="S309" s="41"/>
      <c r="T309" s="42">
        <f>SUM(T298:T308)</f>
        <v>2205170</v>
      </c>
      <c r="U309" s="42">
        <f>SUM(U298:U308)</f>
        <v>2978428</v>
      </c>
      <c r="V309" s="42">
        <f>SUM(V298:V308)</f>
        <v>2923356.9999999995</v>
      </c>
      <c r="W309" s="147">
        <f>SUM(W298:W308)</f>
        <v>8106955</v>
      </c>
      <c r="X309" s="146">
        <f t="shared" si="88"/>
        <v>-3.0807070170668107E-2</v>
      </c>
    </row>
    <row r="310" spans="1:24" ht="16.2" customHeight="1" thickBot="1" x14ac:dyDescent="0.35">
      <c r="A310" s="35" t="s">
        <v>29</v>
      </c>
      <c r="B310" s="34">
        <f>B309+B297+B289</f>
        <v>3124.3353882000001</v>
      </c>
      <c r="C310" s="32">
        <f>C309+C297+C289</f>
        <v>15.334877234315639</v>
      </c>
      <c r="D310" s="33">
        <f t="shared" si="80"/>
        <v>-0.99509179542880311</v>
      </c>
      <c r="E310" s="32">
        <f>E309+E297+E289</f>
        <v>79436926.800000012</v>
      </c>
      <c r="F310" s="32">
        <f>F309+F297+F289</f>
        <v>117290282.94771257</v>
      </c>
      <c r="G310" s="145">
        <f t="shared" si="81"/>
        <v>0.47652090372298433</v>
      </c>
      <c r="H310" s="144">
        <f t="shared" si="82"/>
        <v>6.5716912502979979E-2</v>
      </c>
      <c r="I310" s="144">
        <f t="shared" si="83"/>
        <v>4.9377225970157097E-2</v>
      </c>
      <c r="J310" s="34">
        <f>J309+J297+J289</f>
        <v>3063.0739100000001</v>
      </c>
      <c r="K310" s="167">
        <f>K309+K297+K289</f>
        <v>82880909.012142807</v>
      </c>
      <c r="L310" s="167">
        <f>L309+L297+L289</f>
        <v>49728545.407285683</v>
      </c>
      <c r="M310" s="167">
        <f>M309+M297+M289</f>
        <v>53043781.767771408</v>
      </c>
      <c r="N310" s="28">
        <f t="shared" si="84"/>
        <v>185653236.18719989</v>
      </c>
      <c r="O310" s="28">
        <f t="shared" si="91"/>
        <v>88717831.879022971</v>
      </c>
      <c r="P310" s="28">
        <f t="shared" si="85"/>
        <v>53230699.127413787</v>
      </c>
      <c r="Q310" s="28">
        <f t="shared" si="86"/>
        <v>56779412.402574703</v>
      </c>
      <c r="R310" s="143">
        <f t="shared" si="87"/>
        <v>198727943.40901148</v>
      </c>
      <c r="S310" s="142"/>
      <c r="T310" s="34">
        <f>T309+T297+T289</f>
        <v>44749295</v>
      </c>
      <c r="U310" s="34">
        <f>U309+U297+U289</f>
        <v>36876184</v>
      </c>
      <c r="V310" s="34">
        <f>V309+V297+V289</f>
        <v>40056307</v>
      </c>
      <c r="W310" s="141">
        <f>W309+W297+W289</f>
        <v>121681786</v>
      </c>
      <c r="X310" s="140">
        <f t="shared" si="88"/>
        <v>0.63317740429131675</v>
      </c>
    </row>
    <row r="311" spans="1:24" ht="16.2" customHeight="1" x14ac:dyDescent="0.3">
      <c r="A311" s="53" t="s">
        <v>28</v>
      </c>
      <c r="B311" s="189">
        <f>VLOOKUP($A311,'Growth Analysis'!A:G,2,FALSE)</f>
        <v>381.592353</v>
      </c>
      <c r="C311" s="189">
        <f>VLOOKUP(A311,'Growth Analysis'!A:G,4,FALSE)</f>
        <v>-0.48066127127028668</v>
      </c>
      <c r="D311" s="50">
        <f t="shared" si="80"/>
        <v>-1.0012596197682984</v>
      </c>
      <c r="E311" s="49">
        <f>VLOOKUP($A311,'Growth Analysis'!$A:$G,5,FALSE)</f>
        <v>10308032.279999999</v>
      </c>
      <c r="F311" s="49">
        <f>VLOOKUP($A311,'Growth Analysis'!$A:$G,6,FALSE)</f>
        <v>9982524.3000000007</v>
      </c>
      <c r="G311" s="50">
        <f t="shared" si="81"/>
        <v>-3.1578090867212402E-2</v>
      </c>
      <c r="H311" s="159">
        <f t="shared" si="82"/>
        <v>5.5931374662504842E-3</v>
      </c>
      <c r="I311" s="158">
        <f t="shared" si="83"/>
        <v>6.4073732419018207E-3</v>
      </c>
      <c r="J311" s="157">
        <v>374.11014999999998</v>
      </c>
      <c r="K311" s="164">
        <f>VLOOKUP($A311,[1]Notes!$A:$G,3,FALSE)</f>
        <v>3311999.9999999995</v>
      </c>
      <c r="L311" s="163">
        <f>VLOOKUP($A311,[1]Notes!$A:$G,5,FALSE)</f>
        <v>1987199.9999999998</v>
      </c>
      <c r="M311" s="163">
        <f>VLOOKUP($A311,[1]Notes!$A:$G,7,FALSE)</f>
        <v>2119680</v>
      </c>
      <c r="N311" s="154">
        <f t="shared" si="84"/>
        <v>7418879.9999999991</v>
      </c>
      <c r="O311" s="45">
        <f t="shared" si="91"/>
        <v>7550735.5794381537</v>
      </c>
      <c r="P311" s="45">
        <f t="shared" si="85"/>
        <v>4530441.3476628922</v>
      </c>
      <c r="Q311" s="45">
        <f t="shared" si="86"/>
        <v>4832470.7708404185</v>
      </c>
      <c r="R311" s="45">
        <f t="shared" si="87"/>
        <v>16913647.697941463</v>
      </c>
      <c r="S311" s="153">
        <f>R311/N311-1</f>
        <v>1.2798114672216649</v>
      </c>
      <c r="T311">
        <f>VLOOKUP($A311,'[2]All month (2)'!$E:$Y,8,FALSE)</f>
        <v>4646865</v>
      </c>
      <c r="U311">
        <f>VLOOKUP($A311,'[2]All month (2)'!$E:$Y,14,FALSE)</f>
        <v>2643065.7000000002</v>
      </c>
      <c r="V311">
        <f>VLOOKUP($A311,'[2]All month (2)'!$E:$Y,20,FALSE)</f>
        <v>2116221.0299999998</v>
      </c>
      <c r="W311">
        <f>SUM(T311:V311)</f>
        <v>9406151.7300000004</v>
      </c>
      <c r="X311" s="152">
        <f t="shared" si="88"/>
        <v>0.79814744471929355</v>
      </c>
    </row>
    <row r="312" spans="1:24" ht="16.2" customHeight="1" x14ac:dyDescent="0.3">
      <c r="A312" s="52" t="s">
        <v>27</v>
      </c>
      <c r="B312" s="189">
        <f>VLOOKUP($A312,'Growth Analysis'!A:G,2,FALSE)</f>
        <v>0</v>
      </c>
      <c r="C312" s="189">
        <f>VLOOKUP(A312,'Growth Analysis'!A:G,4,FALSE)</f>
        <v>1</v>
      </c>
      <c r="D312" s="50">
        <f t="shared" si="80"/>
        <v>1</v>
      </c>
      <c r="E312" s="49">
        <f>VLOOKUP($A312,'Growth Analysis'!$A:$G,5,FALSE)</f>
        <v>0</v>
      </c>
      <c r="F312" s="49">
        <f>VLOOKUP($A312,'Growth Analysis'!$A:$G,6,FALSE)</f>
        <v>0</v>
      </c>
      <c r="G312" s="50">
        <f t="shared" si="81"/>
        <v>1</v>
      </c>
      <c r="H312" s="159">
        <f t="shared" si="82"/>
        <v>0</v>
      </c>
      <c r="I312" s="158">
        <f t="shared" si="83"/>
        <v>0</v>
      </c>
      <c r="J312" s="157">
        <v>0</v>
      </c>
      <c r="K312" s="162">
        <f>VLOOKUP($A312,[1]Notes!$A:$G,3,FALSE)</f>
        <v>6623999.9999999991</v>
      </c>
      <c r="L312" s="161">
        <f>VLOOKUP($A312,[1]Notes!$A:$G,5,FALSE)</f>
        <v>3974399.9999999995</v>
      </c>
      <c r="M312" s="161">
        <f>VLOOKUP($A312,[1]Notes!$A:$G,7,FALSE)</f>
        <v>4239360</v>
      </c>
      <c r="N312" s="154">
        <f t="shared" si="84"/>
        <v>14837759.999999998</v>
      </c>
      <c r="O312" s="45">
        <f t="shared" si="91"/>
        <v>0</v>
      </c>
      <c r="P312" s="45">
        <f t="shared" si="85"/>
        <v>0</v>
      </c>
      <c r="Q312" s="45">
        <f t="shared" si="86"/>
        <v>0</v>
      </c>
      <c r="R312" s="45">
        <f t="shared" si="87"/>
        <v>0</v>
      </c>
      <c r="S312" s="153">
        <f>R312/N312-1</f>
        <v>-1</v>
      </c>
      <c r="T312">
        <f>VLOOKUP($A312,'[2]All month (2)'!$E:$Y,8,FALSE)</f>
        <v>0</v>
      </c>
      <c r="U312">
        <f>VLOOKUP($A312,'[2]All month (2)'!$E:$Y,14,FALSE)</f>
        <v>1187464.3</v>
      </c>
      <c r="V312">
        <f>VLOOKUP($A312,'[2]All month (2)'!$E:$Y,20,FALSE)</f>
        <v>950765.97</v>
      </c>
      <c r="W312">
        <f>SUM(T312:V312)</f>
        <v>2138230.27</v>
      </c>
      <c r="X312" s="152">
        <f t="shared" si="88"/>
        <v>-1</v>
      </c>
    </row>
    <row r="313" spans="1:24" ht="16.2" customHeight="1" x14ac:dyDescent="0.3">
      <c r="A313" s="52" t="s">
        <v>26</v>
      </c>
      <c r="B313" s="189">
        <f>VLOOKUP($A313,'Growth Analysis'!A:G,2,FALSE)</f>
        <v>87.928335000000004</v>
      </c>
      <c r="C313" s="189">
        <f>VLOOKUP(A313,'Growth Analysis'!A:G,4,FALSE)</f>
        <v>-0.4188707769799121</v>
      </c>
      <c r="D313" s="50">
        <f t="shared" si="80"/>
        <v>-1.0047637746919684</v>
      </c>
      <c r="E313" s="49">
        <f>VLOOKUP($A313,'Growth Analysis'!$A:$G,5,FALSE)</f>
        <v>2348040</v>
      </c>
      <c r="F313" s="49">
        <f>VLOOKUP($A313,'Growth Analysis'!$A:$G,6,FALSE)</f>
        <v>2990967.5040000002</v>
      </c>
      <c r="G313" s="50">
        <f t="shared" si="81"/>
        <v>0.27381454489702056</v>
      </c>
      <c r="H313" s="159">
        <f t="shared" si="82"/>
        <v>1.6758178496956021E-3</v>
      </c>
      <c r="I313" s="158">
        <f t="shared" si="83"/>
        <v>1.4595189710557592E-3</v>
      </c>
      <c r="J313" s="157">
        <v>86.204250000000002</v>
      </c>
      <c r="K313" s="162">
        <f>VLOOKUP($A313,[1]Notes!$A:$G,3,FALSE)</f>
        <v>2208000</v>
      </c>
      <c r="L313" s="161">
        <f>VLOOKUP($A313,[1]Notes!$A:$G,5,FALSE)</f>
        <v>1324800</v>
      </c>
      <c r="M313" s="161">
        <f>VLOOKUP($A313,[1]Notes!$A:$G,7,FALSE)</f>
        <v>1413120</v>
      </c>
      <c r="N313" s="154">
        <f t="shared" si="84"/>
        <v>4945920</v>
      </c>
      <c r="O313" s="45">
        <f t="shared" si="91"/>
        <v>2262354.0970890629</v>
      </c>
      <c r="P313" s="45">
        <f t="shared" si="85"/>
        <v>1357412.4582534377</v>
      </c>
      <c r="Q313" s="45">
        <f t="shared" si="86"/>
        <v>1447906.6221370003</v>
      </c>
      <c r="R313" s="45">
        <f t="shared" si="87"/>
        <v>5067673.1774795009</v>
      </c>
      <c r="S313" s="153">
        <f>R313/N313-1</f>
        <v>2.4616891797582863E-2</v>
      </c>
      <c r="T313">
        <f>VLOOKUP($A313,'[2]All month (2)'!$E:$Y,8,FALSE)</f>
        <v>1120000</v>
      </c>
      <c r="U313">
        <f>VLOOKUP($A313,'[2]All month (2)'!$E:$Y,14,FALSE)</f>
        <v>1234280</v>
      </c>
      <c r="V313">
        <f>VLOOKUP($A313,'[2]All month (2)'!$E:$Y,20,FALSE)</f>
        <v>562000</v>
      </c>
      <c r="W313">
        <f>SUM(T313:V313)</f>
        <v>2916280</v>
      </c>
      <c r="X313" s="152">
        <f t="shared" si="88"/>
        <v>0.73771831836432056</v>
      </c>
    </row>
    <row r="314" spans="1:24" ht="16.2" customHeight="1" thickBot="1" x14ac:dyDescent="0.35">
      <c r="A314" s="51" t="s">
        <v>25</v>
      </c>
      <c r="B314" s="189">
        <f>VLOOKUP($A314,'Growth Analysis'!A:G,2,FALSE)</f>
        <v>218.00245799999999</v>
      </c>
      <c r="C314" s="189">
        <f>VLOOKUP(A314,'Growth Analysis'!A:G,4,FALSE)</f>
        <v>-0.64801049399176958</v>
      </c>
      <c r="D314" s="50">
        <f t="shared" si="80"/>
        <v>-1.0029724916862715</v>
      </c>
      <c r="E314" s="49">
        <f>VLOOKUP($A314,'Growth Analysis'!$A:$G,5,FALSE)</f>
        <v>5919492.4800000004</v>
      </c>
      <c r="F314" s="49">
        <f>VLOOKUP($A314,'Growth Analysis'!$A:$G,6,FALSE)</f>
        <v>2794025.85</v>
      </c>
      <c r="G314" s="50">
        <f t="shared" si="81"/>
        <v>-0.52799570918620375</v>
      </c>
      <c r="H314" s="159">
        <f t="shared" si="82"/>
        <v>1.5654728397012123E-3</v>
      </c>
      <c r="I314" s="158">
        <f t="shared" si="83"/>
        <v>3.6794993158472192E-3</v>
      </c>
      <c r="J314" s="157">
        <v>213.72789999999998</v>
      </c>
      <c r="K314" s="156">
        <f>VLOOKUP($A314,[1]Notes!$A:$G,3,FALSE)</f>
        <v>4416000</v>
      </c>
      <c r="L314" s="155">
        <f>VLOOKUP($A314,[1]Notes!$A:$G,5,FALSE)</f>
        <v>2649600</v>
      </c>
      <c r="M314" s="155">
        <f>VLOOKUP($A314,[1]Notes!$A:$G,7,FALSE)</f>
        <v>2826240</v>
      </c>
      <c r="N314" s="154">
        <f t="shared" si="84"/>
        <v>9891840</v>
      </c>
      <c r="O314" s="45">
        <f t="shared" si="91"/>
        <v>2113388.3335966365</v>
      </c>
      <c r="P314" s="45">
        <f t="shared" si="85"/>
        <v>1268033.0001579819</v>
      </c>
      <c r="Q314" s="45">
        <f t="shared" si="86"/>
        <v>1352568.5335018474</v>
      </c>
      <c r="R314" s="45">
        <f t="shared" si="87"/>
        <v>4733989.8672564663</v>
      </c>
      <c r="S314" s="153">
        <f>R314/N314-1</f>
        <v>-0.52142474329786304</v>
      </c>
      <c r="T314">
        <f>VLOOKUP($A314,'[2]All month (2)'!$E:$Y,8,FALSE)</f>
        <v>3343940</v>
      </c>
      <c r="U314">
        <f>VLOOKUP($A314,'[2]All month (2)'!$E:$Y,14,FALSE)</f>
        <v>2138037</v>
      </c>
      <c r="V314">
        <f>VLOOKUP($A314,'[2]All month (2)'!$E:$Y,20,FALSE)</f>
        <v>1825550</v>
      </c>
      <c r="W314">
        <f>SUM(T314:V314)</f>
        <v>7307527</v>
      </c>
      <c r="X314" s="152">
        <f t="shared" si="88"/>
        <v>-0.35217620581402348</v>
      </c>
    </row>
    <row r="315" spans="1:24" ht="16.2" thickBot="1" x14ac:dyDescent="0.35">
      <c r="A315" s="43" t="s">
        <v>24</v>
      </c>
      <c r="B315" s="42">
        <f>SUM(B311:B314)</f>
        <v>687.523146</v>
      </c>
      <c r="C315" s="40">
        <f>SUM(C311:C314)</f>
        <v>-0.54754254224196841</v>
      </c>
      <c r="D315" s="41">
        <f t="shared" si="80"/>
        <v>-1.0007963987037056</v>
      </c>
      <c r="E315" s="40">
        <f>SUM(E311:E314)</f>
        <v>18575564.759999998</v>
      </c>
      <c r="F315" s="40">
        <f>SUM(F311:F314)</f>
        <v>15767517.654000001</v>
      </c>
      <c r="G315" s="151">
        <f t="shared" si="81"/>
        <v>-0.15116886847213129</v>
      </c>
      <c r="H315" s="150">
        <f t="shared" si="82"/>
        <v>8.8344281556472989E-3</v>
      </c>
      <c r="I315" s="150">
        <f t="shared" si="83"/>
        <v>1.1546391528804798E-2</v>
      </c>
      <c r="J315" s="42">
        <f>SUM(J311:J314)</f>
        <v>674.04229999999995</v>
      </c>
      <c r="K315" s="165">
        <f>SUM(K311:K314)</f>
        <v>16559999.999999998</v>
      </c>
      <c r="L315" s="165">
        <f>SUM(L311:L314)</f>
        <v>9936000</v>
      </c>
      <c r="M315" s="165">
        <f>SUM(M311:M314)</f>
        <v>10598400</v>
      </c>
      <c r="N315" s="36">
        <f t="shared" si="84"/>
        <v>37094400</v>
      </c>
      <c r="O315" s="36">
        <f t="shared" si="91"/>
        <v>11926478.010123853</v>
      </c>
      <c r="P315" s="36">
        <f t="shared" si="85"/>
        <v>7155886.806074312</v>
      </c>
      <c r="Q315" s="36">
        <f t="shared" si="86"/>
        <v>7632945.926479266</v>
      </c>
      <c r="R315" s="148">
        <f t="shared" si="87"/>
        <v>26715310.742677428</v>
      </c>
      <c r="S315" s="41"/>
      <c r="T315" s="42">
        <f>SUM(T311:T314)</f>
        <v>9110805</v>
      </c>
      <c r="U315" s="42">
        <f>SUM(U311:U314)</f>
        <v>7202847</v>
      </c>
      <c r="V315" s="42">
        <f>SUM(V311:V314)</f>
        <v>5454537</v>
      </c>
      <c r="W315" s="147">
        <f>SUM(W311:W314)</f>
        <v>21768189</v>
      </c>
      <c r="X315" s="146">
        <f t="shared" si="88"/>
        <v>0.22726381798124906</v>
      </c>
    </row>
    <row r="316" spans="1:24" ht="16.2" customHeight="1" x14ac:dyDescent="0.3">
      <c r="A316" s="53" t="s">
        <v>23</v>
      </c>
      <c r="B316" s="189">
        <f>VLOOKUP($A316,'Growth Analysis'!A:G,2,FALSE)</f>
        <v>150.829083</v>
      </c>
      <c r="C316" s="189">
        <f>VLOOKUP(A316,'Growth Analysis'!A:G,4,FALSE)</f>
        <v>-0.2122814934835876</v>
      </c>
      <c r="D316" s="50">
        <f t="shared" si="80"/>
        <v>-1.001407430777018</v>
      </c>
      <c r="E316" s="49">
        <f>VLOOKUP($A316,'Growth Analysis'!$A:$G,5,FALSE)</f>
        <v>4546145.0999999996</v>
      </c>
      <c r="F316" s="49">
        <f>VLOOKUP($A316,'Growth Analysis'!$A:$G,6,FALSE)</f>
        <v>5728530.1500000004</v>
      </c>
      <c r="G316" s="50">
        <f t="shared" si="81"/>
        <v>0.26008519833649851</v>
      </c>
      <c r="H316" s="159">
        <f t="shared" si="82"/>
        <v>3.2096547572151172E-3</v>
      </c>
      <c r="I316" s="158">
        <f t="shared" si="83"/>
        <v>2.8258398573372603E-3</v>
      </c>
      <c r="J316" s="157">
        <v>147.87164999999999</v>
      </c>
      <c r="K316" s="164">
        <f>VLOOKUP($A316,[1]Notes!$A:$G,3,FALSE)</f>
        <v>6072000</v>
      </c>
      <c r="L316" s="163">
        <f>VLOOKUP($A316,[1]Notes!$A:$G,5,FALSE)</f>
        <v>3643200</v>
      </c>
      <c r="M316" s="163">
        <f>VLOOKUP($A316,[1]Notes!$A:$G,7,FALSE)</f>
        <v>3886080.0000000005</v>
      </c>
      <c r="N316" s="154">
        <f t="shared" si="84"/>
        <v>13601280</v>
      </c>
      <c r="O316" s="45">
        <f t="shared" si="91"/>
        <v>4333033.9222404081</v>
      </c>
      <c r="P316" s="45">
        <f t="shared" si="85"/>
        <v>2599820.3533442449</v>
      </c>
      <c r="Q316" s="45">
        <f t="shared" si="86"/>
        <v>2773141.7102338611</v>
      </c>
      <c r="R316" s="45">
        <f t="shared" si="87"/>
        <v>9705995.9858185146</v>
      </c>
      <c r="S316" s="153">
        <f t="shared" ref="S316:S324" si="98">R316/N316-1</f>
        <v>-0.28639098777331884</v>
      </c>
      <c r="T316">
        <f>VLOOKUP($A316,'[2]All month (2)'!$E:$Y,8,FALSE)</f>
        <v>2952588</v>
      </c>
      <c r="U316">
        <f>VLOOKUP($A316,'[2]All month (2)'!$E:$Y,14,FALSE)</f>
        <v>2998430</v>
      </c>
      <c r="V316">
        <f>VLOOKUP($A316,'[2]All month (2)'!$E:$Y,20,FALSE)</f>
        <v>3162849</v>
      </c>
      <c r="W316">
        <f>SUM(T316:V316)</f>
        <v>9113867</v>
      </c>
      <c r="X316" s="152">
        <f t="shared" si="88"/>
        <v>6.4970114861069905E-2</v>
      </c>
    </row>
    <row r="317" spans="1:24" ht="16.2" customHeight="1" x14ac:dyDescent="0.3">
      <c r="A317" s="52" t="s">
        <v>22</v>
      </c>
      <c r="B317" s="189">
        <f>VLOOKUP($A317,'Growth Analysis'!A:G,2,FALSE)</f>
        <v>0</v>
      </c>
      <c r="C317" s="189">
        <f>VLOOKUP(A317,'Growth Analysis'!A:G,4,FALSE)</f>
        <v>1</v>
      </c>
      <c r="D317" s="50">
        <f t="shared" si="80"/>
        <v>1</v>
      </c>
      <c r="E317" s="49">
        <f>VLOOKUP($A317,'Growth Analysis'!$A:$G,5,FALSE)</f>
        <v>0</v>
      </c>
      <c r="F317" s="49">
        <f>VLOOKUP($A317,'Growth Analysis'!$A:$G,6,FALSE)</f>
        <v>3159931.0164372469</v>
      </c>
      <c r="G317" s="50">
        <f t="shared" si="81"/>
        <v>1</v>
      </c>
      <c r="H317" s="159">
        <f t="shared" si="82"/>
        <v>1.7704869056819766E-3</v>
      </c>
      <c r="I317" s="158">
        <f t="shared" si="83"/>
        <v>0</v>
      </c>
      <c r="J317" s="157">
        <v>0</v>
      </c>
      <c r="K317" s="162">
        <f>VLOOKUP($A317,[1]Notes!$A:$G,3,FALSE)</f>
        <v>1987200</v>
      </c>
      <c r="L317" s="161">
        <f>VLOOKUP($A317,[1]Notes!$A:$G,5,FALSE)</f>
        <v>1192320</v>
      </c>
      <c r="M317" s="161">
        <f>VLOOKUP($A317,[1]Notes!$A:$G,7,FALSE)</f>
        <v>1271808</v>
      </c>
      <c r="N317" s="154">
        <f t="shared" si="84"/>
        <v>4451328</v>
      </c>
      <c r="O317" s="45">
        <f t="shared" si="91"/>
        <v>2390157.3226706684</v>
      </c>
      <c r="P317" s="45">
        <f t="shared" si="85"/>
        <v>1434094.393602401</v>
      </c>
      <c r="Q317" s="45">
        <f t="shared" si="86"/>
        <v>1529700.6865092278</v>
      </c>
      <c r="R317" s="45">
        <f t="shared" si="87"/>
        <v>5353952.4027822968</v>
      </c>
      <c r="S317" s="153">
        <f t="shared" si="98"/>
        <v>0.20277643049047311</v>
      </c>
      <c r="T317">
        <f>VLOOKUP($A317,'[2]All month (2)'!$E:$Y,8,FALSE)</f>
        <v>0</v>
      </c>
      <c r="U317">
        <f>VLOOKUP($A317,'[2]All month (2)'!$E:$Y,14,FALSE)</f>
        <v>583100</v>
      </c>
      <c r="V317">
        <f>VLOOKUP($A317,'[2]All month (2)'!$E:$Y,20,FALSE)</f>
        <v>875500</v>
      </c>
      <c r="W317">
        <f>SUM(T317:V317)</f>
        <v>1458600</v>
      </c>
      <c r="X317" s="152">
        <f t="shared" si="88"/>
        <v>2.6706104502826662</v>
      </c>
    </row>
    <row r="318" spans="1:24" ht="16.2" customHeight="1" x14ac:dyDescent="0.3">
      <c r="A318" s="52" t="s">
        <v>21</v>
      </c>
      <c r="B318" s="189">
        <f>VLOOKUP($A318,'Growth Analysis'!A:G,2,FALSE)</f>
        <v>0</v>
      </c>
      <c r="C318" s="189">
        <f>VLOOKUP(A318,'Growth Analysis'!A:G,4,FALSE)</f>
        <v>1</v>
      </c>
      <c r="D318" s="50">
        <f t="shared" si="80"/>
        <v>1</v>
      </c>
      <c r="E318" s="49">
        <f>VLOOKUP($A318,'Growth Analysis'!$A:$G,5,FALSE)</f>
        <v>0</v>
      </c>
      <c r="F318" s="49">
        <f>VLOOKUP($A318,'Growth Analysis'!$A:$G,6,FALSE)</f>
        <v>5895313.8170813406</v>
      </c>
      <c r="G318" s="50">
        <f t="shared" si="81"/>
        <v>1</v>
      </c>
      <c r="H318" s="159">
        <f t="shared" si="82"/>
        <v>3.3031024613305272E-3</v>
      </c>
      <c r="I318" s="158">
        <f t="shared" si="83"/>
        <v>0</v>
      </c>
      <c r="J318" s="157">
        <v>0</v>
      </c>
      <c r="K318" s="162">
        <f>VLOOKUP($A318,[1]Notes!$A:$G,3,FALSE)</f>
        <v>3643200</v>
      </c>
      <c r="L318" s="161">
        <f>VLOOKUP($A318,[1]Notes!$A:$G,5,FALSE)</f>
        <v>2185920</v>
      </c>
      <c r="M318" s="161">
        <f>VLOOKUP($A318,[1]Notes!$A:$G,7,FALSE)</f>
        <v>2331648</v>
      </c>
      <c r="N318" s="154">
        <f t="shared" si="84"/>
        <v>8160768</v>
      </c>
      <c r="O318" s="45">
        <f t="shared" si="91"/>
        <v>4459188.3227962116</v>
      </c>
      <c r="P318" s="45">
        <f t="shared" si="85"/>
        <v>2675512.9936777269</v>
      </c>
      <c r="Q318" s="45">
        <f t="shared" si="86"/>
        <v>2853880.5265895757</v>
      </c>
      <c r="R318" s="45">
        <f t="shared" si="87"/>
        <v>9988581.8430635147</v>
      </c>
      <c r="S318" s="153">
        <f t="shared" si="98"/>
        <v>0.22397571442583764</v>
      </c>
      <c r="T318">
        <f>VLOOKUP($A318,'[2]All month (2)'!$E:$Y,8,FALSE)</f>
        <v>0</v>
      </c>
      <c r="U318">
        <f>VLOOKUP($A318,'[2]All month (2)'!$E:$Y,14,FALSE)</f>
        <v>1474900</v>
      </c>
      <c r="V318">
        <f>VLOOKUP($A318,'[2]All month (2)'!$E:$Y,20,FALSE)</f>
        <v>2214500</v>
      </c>
      <c r="W318">
        <f>SUM(T318:V318)</f>
        <v>3689400</v>
      </c>
      <c r="X318" s="152">
        <f t="shared" si="88"/>
        <v>1.7073729720451876</v>
      </c>
    </row>
    <row r="319" spans="1:24" ht="16.2" customHeight="1" x14ac:dyDescent="0.3">
      <c r="A319" s="52" t="s">
        <v>20</v>
      </c>
      <c r="B319" s="189">
        <f>VLOOKUP($A319,'Growth Analysis'!A:G,2,FALSE)</f>
        <v>359.66556600000001</v>
      </c>
      <c r="C319" s="189">
        <f>VLOOKUP(A319,'Growth Analysis'!A:G,4,FALSE)</f>
        <v>-0.85879594253401503</v>
      </c>
      <c r="D319" s="50">
        <f t="shared" si="80"/>
        <v>-1.0023877624763613</v>
      </c>
      <c r="E319" s="49">
        <f>VLOOKUP($A319,'Growth Analysis'!$A:$G,5,FALSE)</f>
        <v>8262000</v>
      </c>
      <c r="F319" s="49">
        <f>VLOOKUP($A319,'Growth Analysis'!$A:$G,6,FALSE)</f>
        <v>3925637.2582407072</v>
      </c>
      <c r="G319" s="50">
        <f t="shared" si="81"/>
        <v>-0.52485629892995556</v>
      </c>
      <c r="H319" s="159">
        <f t="shared" si="82"/>
        <v>2.1995066746769579E-3</v>
      </c>
      <c r="I319" s="158">
        <f t="shared" si="83"/>
        <v>5.1355793508043651E-3</v>
      </c>
      <c r="J319" s="157">
        <v>352.61329999999998</v>
      </c>
      <c r="K319" s="162">
        <f>VLOOKUP($A319,[1]Notes!$A:$G,3,FALSE)</f>
        <v>2428800</v>
      </c>
      <c r="L319" s="161">
        <f>VLOOKUP($A319,[1]Notes!$A:$G,5,FALSE)</f>
        <v>1457280</v>
      </c>
      <c r="M319" s="161">
        <f>VLOOKUP($A319,[1]Notes!$A:$G,7,FALSE)</f>
        <v>1554432</v>
      </c>
      <c r="N319" s="154">
        <f t="shared" si="84"/>
        <v>5440512</v>
      </c>
      <c r="O319" s="45">
        <f t="shared" si="91"/>
        <v>2969334.0108138933</v>
      </c>
      <c r="P319" s="45">
        <f t="shared" si="85"/>
        <v>1781600.4064883359</v>
      </c>
      <c r="Q319" s="45">
        <f t="shared" si="86"/>
        <v>1900373.7669208916</v>
      </c>
      <c r="R319" s="45">
        <f t="shared" si="87"/>
        <v>6651308.184223121</v>
      </c>
      <c r="S319" s="153">
        <f t="shared" si="98"/>
        <v>0.22255188192271635</v>
      </c>
      <c r="T319">
        <f>VLOOKUP($A319,'[2]All month (2)'!$E:$Y,8,FALSE)</f>
        <v>5501000</v>
      </c>
      <c r="U319">
        <f>VLOOKUP($A319,'[2]All month (2)'!$E:$Y,14,FALSE)</f>
        <v>1709812.4</v>
      </c>
      <c r="V319">
        <f>VLOOKUP($A319,'[2]All month (2)'!$E:$Y,20,FALSE)</f>
        <v>2060000</v>
      </c>
      <c r="W319">
        <f>SUM(T319:V319)</f>
        <v>9270812.4000000004</v>
      </c>
      <c r="X319" s="152">
        <f t="shared" si="88"/>
        <v>-0.2825539017246082</v>
      </c>
    </row>
    <row r="320" spans="1:24" ht="16.2" customHeight="1" x14ac:dyDescent="0.3">
      <c r="A320" s="166" t="s">
        <v>19</v>
      </c>
      <c r="B320" s="189">
        <f>VLOOKUP($A320,'Growth Analysis'!A:G,2,FALSE)</f>
        <v>0</v>
      </c>
      <c r="C320" s="189">
        <f>VLOOKUP(A320,'Growth Analysis'!A:G,4,FALSE)</f>
        <v>1</v>
      </c>
      <c r="D320" s="50">
        <f t="shared" si="80"/>
        <v>1</v>
      </c>
      <c r="E320" s="49">
        <f>VLOOKUP($A320,'Growth Analysis'!$A:$G,5,FALSE)</f>
        <v>0</v>
      </c>
      <c r="F320" s="49">
        <f>VLOOKUP($A320,'Growth Analysis'!$A:$G,6,FALSE)</f>
        <v>3925637.2582407072</v>
      </c>
      <c r="G320" s="50">
        <f t="shared" si="81"/>
        <v>1</v>
      </c>
      <c r="H320" s="159">
        <f t="shared" si="82"/>
        <v>2.1995066746769579E-3</v>
      </c>
      <c r="I320" s="158">
        <f t="shared" si="83"/>
        <v>0</v>
      </c>
      <c r="J320" s="157">
        <v>0</v>
      </c>
      <c r="K320" s="162">
        <f>VLOOKUP($A320,[1]Notes!$A:$G,3,FALSE)</f>
        <v>2428800</v>
      </c>
      <c r="L320" s="161">
        <f>VLOOKUP($A320,[1]Notes!$A:$G,5,FALSE)</f>
        <v>1457280</v>
      </c>
      <c r="M320" s="161">
        <f>VLOOKUP($A320,[1]Notes!$A:$G,7,FALSE)</f>
        <v>1554432</v>
      </c>
      <c r="N320" s="154">
        <f t="shared" si="84"/>
        <v>5440512</v>
      </c>
      <c r="O320" s="45">
        <f t="shared" si="91"/>
        <v>2969334.0108138933</v>
      </c>
      <c r="P320" s="45">
        <f t="shared" si="85"/>
        <v>1781600.4064883359</v>
      </c>
      <c r="Q320" s="45">
        <f t="shared" si="86"/>
        <v>1900373.7669208916</v>
      </c>
      <c r="R320" s="45">
        <f t="shared" si="87"/>
        <v>6651308.184223121</v>
      </c>
      <c r="S320" s="153">
        <f t="shared" si="98"/>
        <v>0.22255188192271635</v>
      </c>
      <c r="X320" s="152">
        <f t="shared" si="88"/>
        <v>1</v>
      </c>
    </row>
    <row r="321" spans="1:24" ht="16.2" customHeight="1" x14ac:dyDescent="0.3">
      <c r="A321" s="52" t="s">
        <v>18</v>
      </c>
      <c r="B321" s="189">
        <f>VLOOKUP($A321,'Growth Analysis'!A:G,2,FALSE)</f>
        <v>165.08343000000002</v>
      </c>
      <c r="C321" s="189">
        <f>VLOOKUP(A321,'Growth Analysis'!A:G,4,FALSE)</f>
        <v>-0.47523988325175942</v>
      </c>
      <c r="D321" s="50">
        <f t="shared" si="80"/>
        <v>-1.0028787860977433</v>
      </c>
      <c r="E321" s="49">
        <f>VLOOKUP($A321,'Growth Analysis'!$A:$G,5,FALSE)</f>
        <v>3685088.64</v>
      </c>
      <c r="F321" s="49">
        <f>VLOOKUP($A321,'Growth Analysis'!$A:$G,6,FALSE)</f>
        <v>6116838</v>
      </c>
      <c r="G321" s="50">
        <f t="shared" si="81"/>
        <v>0.65988897352547804</v>
      </c>
      <c r="H321" s="159">
        <f t="shared" si="82"/>
        <v>3.4272208876851597E-3</v>
      </c>
      <c r="I321" s="158">
        <f t="shared" si="83"/>
        <v>2.2906154835957084E-3</v>
      </c>
      <c r="J321" s="157">
        <v>161.84650000000002</v>
      </c>
      <c r="K321" s="162">
        <f>VLOOKUP($A321,[1]Notes!$A:$G,3,FALSE)</f>
        <v>2980800</v>
      </c>
      <c r="L321" s="161">
        <f>VLOOKUP($A321,[1]Notes!$A:$G,5,FALSE)</f>
        <v>1788480</v>
      </c>
      <c r="M321" s="161">
        <f>VLOOKUP($A321,[1]Notes!$A:$G,7,FALSE)</f>
        <v>1907712.0000000002</v>
      </c>
      <c r="N321" s="154">
        <f t="shared" si="84"/>
        <v>6676992</v>
      </c>
      <c r="O321" s="45">
        <f t="shared" si="91"/>
        <v>4626748.1983749652</v>
      </c>
      <c r="P321" s="45">
        <f t="shared" si="85"/>
        <v>2776048.9190249792</v>
      </c>
      <c r="Q321" s="45">
        <f t="shared" si="86"/>
        <v>2961118.8469599779</v>
      </c>
      <c r="R321" s="45">
        <f t="shared" si="87"/>
        <v>10363915.964359922</v>
      </c>
      <c r="S321" s="153">
        <f t="shared" si="98"/>
        <v>0.552183373045815</v>
      </c>
      <c r="T321">
        <f>VLOOKUP($A321,'[2]All month (2)'!$E:$Y,8,FALSE)</f>
        <v>3142314</v>
      </c>
      <c r="U321">
        <f>VLOOKUP($A321,'[2]All month (2)'!$E:$Y,14,FALSE)</f>
        <v>1457164.92</v>
      </c>
      <c r="V321">
        <f>VLOOKUP($A321,'[2]All month (2)'!$E:$Y,20,FALSE)</f>
        <v>1801511.68</v>
      </c>
      <c r="W321">
        <f>SUM(T321:V321)</f>
        <v>6400990.5999999996</v>
      </c>
      <c r="X321" s="152">
        <f t="shared" si="88"/>
        <v>0.61911126136631456</v>
      </c>
    </row>
    <row r="322" spans="1:24" ht="16.2" customHeight="1" x14ac:dyDescent="0.3">
      <c r="A322" s="52" t="s">
        <v>17</v>
      </c>
      <c r="B322" s="189">
        <f>VLOOKUP($A322,'Growth Analysis'!A:G,2,FALSE)</f>
        <v>0</v>
      </c>
      <c r="C322" s="189">
        <f>VLOOKUP(A322,'Growth Analysis'!A:G,4,FALSE)</f>
        <v>1</v>
      </c>
      <c r="D322" s="50">
        <f t="shared" si="80"/>
        <v>1</v>
      </c>
      <c r="E322" s="49">
        <f>VLOOKUP($A322,'Growth Analysis'!$A:$G,5,FALSE)</f>
        <v>0</v>
      </c>
      <c r="F322" s="49">
        <f>VLOOKUP($A322,'Growth Analysis'!$A:$G,6,FALSE)</f>
        <v>4036294.5</v>
      </c>
      <c r="G322" s="50">
        <f t="shared" si="81"/>
        <v>1</v>
      </c>
      <c r="H322" s="159">
        <f t="shared" si="82"/>
        <v>2.2615071413120192E-3</v>
      </c>
      <c r="I322" s="158">
        <f t="shared" si="83"/>
        <v>0</v>
      </c>
      <c r="J322" s="157">
        <v>0</v>
      </c>
      <c r="K322" s="162">
        <f>VLOOKUP($A322,[1]Notes!$A:$G,3,FALSE)</f>
        <v>2428800</v>
      </c>
      <c r="L322" s="161">
        <f>VLOOKUP($A322,[1]Notes!$A:$G,5,FALSE)</f>
        <v>1457280</v>
      </c>
      <c r="M322" s="161">
        <f>VLOOKUP($A322,[1]Notes!$A:$G,7,FALSE)</f>
        <v>1554432</v>
      </c>
      <c r="N322" s="154">
        <f t="shared" si="84"/>
        <v>5440512</v>
      </c>
      <c r="O322" s="45">
        <f t="shared" si="91"/>
        <v>3053034.640771226</v>
      </c>
      <c r="P322" s="45">
        <f t="shared" si="85"/>
        <v>1831820.7844627355</v>
      </c>
      <c r="Q322" s="45">
        <f t="shared" si="86"/>
        <v>1953942.1700935846</v>
      </c>
      <c r="R322" s="45">
        <f t="shared" si="87"/>
        <v>6838797.5953275468</v>
      </c>
      <c r="S322" s="153">
        <f t="shared" si="98"/>
        <v>0.2570136037430939</v>
      </c>
      <c r="T322">
        <f>VLOOKUP($A322,'[2]All month (2)'!$E:$Y,8,FALSE)</f>
        <v>0</v>
      </c>
      <c r="U322">
        <f>VLOOKUP($A322,'[2]All month (2)'!$E:$Y,14,FALSE)</f>
        <v>893101.08</v>
      </c>
      <c r="V322">
        <f>VLOOKUP($A322,'[2]All month (2)'!$E:$Y,20,FALSE)</f>
        <v>6104152.3200000003</v>
      </c>
      <c r="W322">
        <f>SUM(T322:V322)</f>
        <v>6997253.4000000004</v>
      </c>
      <c r="X322" s="152">
        <f t="shared" si="88"/>
        <v>-2.2645428943941569E-2</v>
      </c>
    </row>
    <row r="323" spans="1:24" ht="16.2" customHeight="1" x14ac:dyDescent="0.3">
      <c r="A323" s="55" t="s">
        <v>16</v>
      </c>
      <c r="B323" s="189">
        <f>VLOOKUP($A323,'Growth Analysis'!A:G,2,FALSE)</f>
        <v>100.17879000000001</v>
      </c>
      <c r="C323" s="189">
        <f>VLOOKUP(A323,'Growth Analysis'!A:G,4,FALSE)</f>
        <v>9.4211109956508776E-2</v>
      </c>
      <c r="D323" s="50">
        <f t="shared" si="80"/>
        <v>-0.99905957029470505</v>
      </c>
      <c r="E323" s="49">
        <f>VLOOKUP($A323,'Growth Analysis'!$A:$G,5,FALSE)</f>
        <v>3212332.92</v>
      </c>
      <c r="F323" s="49">
        <f>VLOOKUP($A323,'Growth Analysis'!$A:$G,6,FALSE)</f>
        <v>4523077.6500000004</v>
      </c>
      <c r="G323" s="50">
        <f t="shared" si="81"/>
        <v>0.40803514537341307</v>
      </c>
      <c r="H323" s="159">
        <f t="shared" si="82"/>
        <v>2.5342482829693886E-3</v>
      </c>
      <c r="I323" s="158">
        <f t="shared" si="83"/>
        <v>1.9967550970541141E-3</v>
      </c>
      <c r="J323" s="157">
        <v>98.214500000000001</v>
      </c>
      <c r="K323" s="162">
        <f>VLOOKUP($A323,[1]Notes!$A:$G,3,FALSE)</f>
        <v>2980800</v>
      </c>
      <c r="L323" s="161">
        <f>VLOOKUP($A323,[1]Notes!$A:$G,5,FALSE)</f>
        <v>1788480</v>
      </c>
      <c r="M323" s="161">
        <f>VLOOKUP($A323,[1]Notes!$A:$G,7,FALSE)</f>
        <v>1907712.0000000002</v>
      </c>
      <c r="N323" s="154">
        <f t="shared" si="84"/>
        <v>6676992</v>
      </c>
      <c r="O323" s="45">
        <f t="shared" si="91"/>
        <v>3421235.1820086748</v>
      </c>
      <c r="P323" s="45">
        <f t="shared" si="85"/>
        <v>2052741.1092052048</v>
      </c>
      <c r="Q323" s="45">
        <f t="shared" si="86"/>
        <v>2189590.5164855518</v>
      </c>
      <c r="R323" s="45">
        <f t="shared" si="87"/>
        <v>7663566.8076994307</v>
      </c>
      <c r="S323" s="153">
        <f t="shared" si="98"/>
        <v>0.14775737453323745</v>
      </c>
      <c r="T323">
        <f>VLOOKUP($A323,'[2]All month (2)'!$E:$Y,8,FALSE)</f>
        <v>1958830</v>
      </c>
      <c r="U323">
        <f>VLOOKUP($A323,'[2]All month (2)'!$E:$Y,14,FALSE)</f>
        <v>706449</v>
      </c>
      <c r="V323">
        <f>VLOOKUP($A323,'[2]All month (2)'!$E:$Y,20,FALSE)</f>
        <v>476000</v>
      </c>
      <c r="W323">
        <f>SUM(T323:V323)</f>
        <v>3141279</v>
      </c>
      <c r="X323" s="152">
        <f t="shared" si="88"/>
        <v>1.4396326488985636</v>
      </c>
    </row>
    <row r="324" spans="1:24" ht="16.2" customHeight="1" thickBot="1" x14ac:dyDescent="0.35">
      <c r="A324" s="54" t="s">
        <v>15</v>
      </c>
      <c r="B324" s="189">
        <f>VLOOKUP($A324,'Growth Analysis'!A:G,2,FALSE)</f>
        <v>39.381740999999998</v>
      </c>
      <c r="C324" s="189">
        <f>VLOOKUP(A324,'Growth Analysis'!A:G,4,FALSE)</f>
        <v>1.7559127210754942E-2</v>
      </c>
      <c r="D324" s="50">
        <f t="shared" si="80"/>
        <v>-0.99955413024500994</v>
      </c>
      <c r="E324" s="49">
        <f>VLOOKUP($A324,'Growth Analysis'!$A:$G,5,FALSE)</f>
        <v>1239891.6000000001</v>
      </c>
      <c r="F324" s="49">
        <f>VLOOKUP($A324,'Growth Analysis'!$A:$G,6,FALSE)</f>
        <v>1862141.4000000001</v>
      </c>
      <c r="G324" s="50">
        <f t="shared" si="81"/>
        <v>0.50185822696113114</v>
      </c>
      <c r="H324" s="159">
        <f t="shared" si="82"/>
        <v>1.0433446009038144E-3</v>
      </c>
      <c r="I324" s="158">
        <f t="shared" si="83"/>
        <v>7.7070463546305814E-4</v>
      </c>
      <c r="J324" s="157">
        <v>38.609549999999999</v>
      </c>
      <c r="K324" s="156">
        <f>VLOOKUP($A324,[1]Notes!$A:$G,3,FALSE)</f>
        <v>1324800</v>
      </c>
      <c r="L324" s="155">
        <f>VLOOKUP($A324,[1]Notes!$A:$G,5,FALSE)</f>
        <v>794880</v>
      </c>
      <c r="M324" s="155">
        <f>VLOOKUP($A324,[1]Notes!$A:$G,7,FALSE)</f>
        <v>847872</v>
      </c>
      <c r="N324" s="154">
        <f t="shared" si="84"/>
        <v>2967552</v>
      </c>
      <c r="O324" s="45">
        <f t="shared" si="91"/>
        <v>1408515.2112201494</v>
      </c>
      <c r="P324" s="45">
        <f t="shared" si="85"/>
        <v>845109.12673208967</v>
      </c>
      <c r="Q324" s="45">
        <f t="shared" si="86"/>
        <v>901449.73518089566</v>
      </c>
      <c r="R324" s="45">
        <f t="shared" si="87"/>
        <v>3155074.0731331347</v>
      </c>
      <c r="S324" s="153">
        <f t="shared" si="98"/>
        <v>6.3190829725354281E-2</v>
      </c>
      <c r="T324">
        <f>VLOOKUP($A324,'[2]All month (2)'!$E:$Y,8,FALSE)</f>
        <v>844400</v>
      </c>
      <c r="U324">
        <f>VLOOKUP($A324,'[2]All month (2)'!$E:$Y,14,FALSE)</f>
        <v>458000</v>
      </c>
      <c r="V324">
        <f>VLOOKUP($A324,'[2]All month (2)'!$E:$Y,20,FALSE)</f>
        <v>862980</v>
      </c>
      <c r="W324">
        <f>SUM(T324:V324)</f>
        <v>2165380</v>
      </c>
      <c r="X324" s="152">
        <f t="shared" si="88"/>
        <v>0.45705329925146382</v>
      </c>
    </row>
    <row r="325" spans="1:24" ht="16.2" thickBot="1" x14ac:dyDescent="0.35">
      <c r="A325" s="43" t="s">
        <v>14</v>
      </c>
      <c r="B325" s="42">
        <f>SUM(B316:B324)</f>
        <v>815.13861000000009</v>
      </c>
      <c r="C325" s="40">
        <f>SUM(C316:C324)</f>
        <v>2.5654529178979018</v>
      </c>
      <c r="D325" s="41">
        <f t="shared" ref="D325:D388" si="99">IFERROR((C325-B325)/B325,100%)</f>
        <v>-0.99685274027456761</v>
      </c>
      <c r="E325" s="40">
        <f>SUM(E316:E324)</f>
        <v>20945458.260000002</v>
      </c>
      <c r="F325" s="40">
        <f>SUM(F316:F324)</f>
        <v>39173401.050000004</v>
      </c>
      <c r="G325" s="151">
        <f t="shared" ref="G325:G388" si="100">IFERROR((F325-E325)/E325,100%)</f>
        <v>0.87025753095172442</v>
      </c>
      <c r="H325" s="150">
        <f t="shared" ref="H325:H339" si="101">F325/$F$3</f>
        <v>2.1948578386451919E-2</v>
      </c>
      <c r="I325" s="150">
        <f t="shared" ref="I325:I339" si="102">E325/$E$3</f>
        <v>1.3019494424254508E-2</v>
      </c>
      <c r="J325" s="42">
        <f>SUM(J316:J324)</f>
        <v>799.15550000000007</v>
      </c>
      <c r="K325" s="165">
        <f>SUM(K316:K324)</f>
        <v>26275200</v>
      </c>
      <c r="L325" s="165">
        <f>SUM(L316:L324)</f>
        <v>15765120</v>
      </c>
      <c r="M325" s="165">
        <f>SUM(M316:M324)</f>
        <v>16816128</v>
      </c>
      <c r="N325" s="36">
        <f t="shared" ref="N325:N388" si="103">SUM(K325:M325)</f>
        <v>58856448</v>
      </c>
      <c r="O325" s="36">
        <f t="shared" si="91"/>
        <v>29630580.821710091</v>
      </c>
      <c r="P325" s="36">
        <f t="shared" ref="P325:P339" si="104">$P$3*H325</f>
        <v>17778348.493026055</v>
      </c>
      <c r="Q325" s="36">
        <f t="shared" ref="Q325:Q339" si="105">$Q$3*H325</f>
        <v>18963571.725894459</v>
      </c>
      <c r="R325" s="148">
        <f t="shared" ref="R325:R388" si="106">SUM(O325:Q325)</f>
        <v>66372501.040630601</v>
      </c>
      <c r="S325" s="41"/>
      <c r="T325" s="42">
        <f>SUM(T316:T324)</f>
        <v>14399132</v>
      </c>
      <c r="U325" s="42">
        <f>SUM(U316:U324)</f>
        <v>10280957.4</v>
      </c>
      <c r="V325" s="42">
        <f>SUM(V316:V324)</f>
        <v>17557493</v>
      </c>
      <c r="W325" s="147">
        <f>SUM(W316:W324)</f>
        <v>42237582.399999999</v>
      </c>
      <c r="X325" s="146">
        <f t="shared" ref="X325:X388" si="107">IFERROR((R325-W325)/W325,100%)</f>
        <v>0.57140861927340336</v>
      </c>
    </row>
    <row r="326" spans="1:24" ht="16.2" customHeight="1" x14ac:dyDescent="0.3">
      <c r="A326" s="53" t="s">
        <v>13</v>
      </c>
      <c r="B326" s="189">
        <f>VLOOKUP($A326,'Growth Analysis'!A:G,2,FALSE)</f>
        <v>73.450199999999995</v>
      </c>
      <c r="C326" s="189">
        <f>VLOOKUP(A326,'Growth Analysis'!A:G,4,FALSE)</f>
        <v>-0.82845519821593405</v>
      </c>
      <c r="D326" s="50">
        <f t="shared" si="99"/>
        <v>-1.0112791414892803</v>
      </c>
      <c r="E326" s="49">
        <f>VLOOKUP($A326,'Growth Analysis'!$A:$G,5,FALSE)</f>
        <v>2572730.7000000002</v>
      </c>
      <c r="F326" s="49">
        <f>VLOOKUP($A326,'Growth Analysis'!$A:$G,6,FALSE)</f>
        <v>932817.9</v>
      </c>
      <c r="G326" s="50">
        <f t="shared" si="100"/>
        <v>-0.63742108725176727</v>
      </c>
      <c r="H326" s="159">
        <f t="shared" si="101"/>
        <v>5.226512442027411E-4</v>
      </c>
      <c r="I326" s="158">
        <f t="shared" si="102"/>
        <v>1.5991845386226654E-3</v>
      </c>
      <c r="J326" s="157">
        <v>72.009999999999991</v>
      </c>
      <c r="K326" s="164">
        <f>VLOOKUP($A326,[1]Notes!$A:$G,3,FALSE)</f>
        <v>1766400.0000000002</v>
      </c>
      <c r="L326" s="163">
        <f>VLOOKUP($A326,[1]Notes!$A:$G,5,FALSE)</f>
        <v>1059840</v>
      </c>
      <c r="M326" s="163">
        <f>VLOOKUP($A326,[1]Notes!$A:$G,7,FALSE)</f>
        <v>1130496</v>
      </c>
      <c r="N326" s="154">
        <f t="shared" si="103"/>
        <v>3956736</v>
      </c>
      <c r="O326" s="45">
        <f t="shared" si="91"/>
        <v>705579.17967370048</v>
      </c>
      <c r="P326" s="45">
        <f t="shared" si="104"/>
        <v>423347.50780422031</v>
      </c>
      <c r="Q326" s="45">
        <f t="shared" si="105"/>
        <v>451570.67499116831</v>
      </c>
      <c r="R326" s="45">
        <f t="shared" si="106"/>
        <v>1580497.362469089</v>
      </c>
      <c r="S326" s="153">
        <f t="shared" ref="S326:S335" si="108">R326/N326-1</f>
        <v>-0.60055526513037794</v>
      </c>
      <c r="T326">
        <f>VLOOKUP($A326,'[2]All month (2)'!$E:$Y,8,FALSE)</f>
        <v>2404335</v>
      </c>
      <c r="U326">
        <f>VLOOKUP($A326,'[2]All month (2)'!$E:$Y,14,FALSE)</f>
        <v>1237332</v>
      </c>
      <c r="V326">
        <f>VLOOKUP($A326,'[2]All month (2)'!$E:$Y,20,FALSE)</f>
        <v>0</v>
      </c>
      <c r="W326">
        <f t="shared" ref="W326:W334" si="109">SUM(T326:V326)</f>
        <v>3641667</v>
      </c>
      <c r="X326" s="152">
        <f t="shared" si="107"/>
        <v>-0.5659961873314916</v>
      </c>
    </row>
    <row r="327" spans="1:24" ht="16.2" customHeight="1" x14ac:dyDescent="0.3">
      <c r="A327" s="52" t="s">
        <v>12</v>
      </c>
      <c r="B327" s="189">
        <f>VLOOKUP($A327,'Growth Analysis'!A:G,2,FALSE)</f>
        <v>110.80550700000001</v>
      </c>
      <c r="C327" s="189">
        <f>VLOOKUP(A327,'Growth Analysis'!A:G,4,FALSE)</f>
        <v>-0.85380034811807681</v>
      </c>
      <c r="D327" s="50">
        <f t="shared" si="99"/>
        <v>-1.0077053963402565</v>
      </c>
      <c r="E327" s="49">
        <f>VLOOKUP($A327,'Growth Analysis'!$A:$G,5,FALSE)</f>
        <v>3516894.72</v>
      </c>
      <c r="F327" s="49">
        <f>VLOOKUP($A327,'Growth Analysis'!$A:$G,6,FALSE)</f>
        <v>1265147.1136363638</v>
      </c>
      <c r="G327" s="50">
        <f t="shared" si="100"/>
        <v>-0.64026585543158832</v>
      </c>
      <c r="H327" s="159">
        <f t="shared" si="101"/>
        <v>7.0885294229618904E-4</v>
      </c>
      <c r="I327" s="158">
        <f t="shared" si="102"/>
        <v>2.1860677684561731E-3</v>
      </c>
      <c r="J327" s="157">
        <v>108.63285</v>
      </c>
      <c r="K327" s="162">
        <f>VLOOKUP($A327,[1]Notes!$A:$G,3,FALSE)</f>
        <v>883200.00000000012</v>
      </c>
      <c r="L327" s="161">
        <f>VLOOKUP($A327,[1]Notes!$A:$G,5,FALSE)</f>
        <v>529920</v>
      </c>
      <c r="M327" s="161">
        <f>VLOOKUP($A327,[1]Notes!$A:$G,7,FALSE)</f>
        <v>565248</v>
      </c>
      <c r="N327" s="154">
        <f t="shared" si="103"/>
        <v>1978368</v>
      </c>
      <c r="O327" s="45">
        <f t="shared" si="91"/>
        <v>956951.47209985519</v>
      </c>
      <c r="P327" s="45">
        <f t="shared" si="104"/>
        <v>574170.88325991307</v>
      </c>
      <c r="Q327" s="45">
        <f t="shared" si="105"/>
        <v>612448.9421439073</v>
      </c>
      <c r="R327" s="45">
        <f t="shared" si="106"/>
        <v>2143571.2975036753</v>
      </c>
      <c r="S327" s="153">
        <f t="shared" si="108"/>
        <v>8.3504837069582338E-2</v>
      </c>
      <c r="T327">
        <f>VLOOKUP($A327,'[2]All month (2)'!$E:$Y,8,FALSE)</f>
        <v>1731827</v>
      </c>
      <c r="U327">
        <f>VLOOKUP($A327,'[2]All month (2)'!$E:$Y,14,FALSE)</f>
        <v>918964.8</v>
      </c>
      <c r="V327">
        <f>VLOOKUP($A327,'[2]All month (2)'!$E:$Y,20,FALSE)</f>
        <v>441674.1</v>
      </c>
      <c r="W327">
        <f t="shared" si="109"/>
        <v>3092465.9</v>
      </c>
      <c r="X327" s="152">
        <f t="shared" si="107"/>
        <v>-0.30684076500126473</v>
      </c>
    </row>
    <row r="328" spans="1:24" ht="16.2" customHeight="1" x14ac:dyDescent="0.3">
      <c r="A328" s="52" t="s">
        <v>11</v>
      </c>
      <c r="B328" s="189">
        <f>VLOOKUP($A328,'Growth Analysis'!A:G,2,FALSE)</f>
        <v>0</v>
      </c>
      <c r="C328" s="189">
        <f>VLOOKUP(A328,'Growth Analysis'!A:G,4,FALSE)</f>
        <v>1</v>
      </c>
      <c r="D328" s="50">
        <f t="shared" si="99"/>
        <v>1</v>
      </c>
      <c r="E328" s="49">
        <f>VLOOKUP($A328,'Growth Analysis'!$A:$G,5,FALSE)</f>
        <v>0</v>
      </c>
      <c r="F328" s="49">
        <f>VLOOKUP($A328,'Growth Analysis'!$A:$G,6,FALSE)</f>
        <v>1309065.4636363636</v>
      </c>
      <c r="G328" s="50">
        <f t="shared" si="100"/>
        <v>1</v>
      </c>
      <c r="H328" s="159">
        <f t="shared" si="101"/>
        <v>7.3346008187920027E-4</v>
      </c>
      <c r="I328" s="158">
        <f t="shared" si="102"/>
        <v>0</v>
      </c>
      <c r="J328" s="157">
        <v>0</v>
      </c>
      <c r="K328" s="162">
        <f>VLOOKUP($A328,[1]Notes!$A:$G,3,FALSE)</f>
        <v>883200.00000000012</v>
      </c>
      <c r="L328" s="161">
        <f>VLOOKUP($A328,[1]Notes!$A:$G,5,FALSE)</f>
        <v>529920</v>
      </c>
      <c r="M328" s="161">
        <f>VLOOKUP($A328,[1]Notes!$A:$G,7,FALSE)</f>
        <v>565248</v>
      </c>
      <c r="N328" s="154">
        <f t="shared" si="103"/>
        <v>1978368</v>
      </c>
      <c r="O328" s="45">
        <f t="shared" si="91"/>
        <v>990171.11053692037</v>
      </c>
      <c r="P328" s="45">
        <f t="shared" si="104"/>
        <v>594102.66632215225</v>
      </c>
      <c r="Q328" s="45">
        <f t="shared" si="105"/>
        <v>633709.51074362907</v>
      </c>
      <c r="R328" s="45">
        <f t="shared" si="106"/>
        <v>2217983.2876027017</v>
      </c>
      <c r="S328" s="153">
        <f t="shared" si="108"/>
        <v>0.12111765232894056</v>
      </c>
      <c r="T328">
        <f>VLOOKUP($A328,'[2]All month (2)'!$E:$Y,8,FALSE)</f>
        <v>0</v>
      </c>
      <c r="U328">
        <f>VLOOKUP($A328,'[2]All month (2)'!$E:$Y,14,FALSE)</f>
        <v>490114.56</v>
      </c>
      <c r="V328">
        <f>VLOOKUP($A328,'[2]All month (2)'!$E:$Y,20,FALSE)</f>
        <v>235559.52</v>
      </c>
      <c r="W328">
        <f t="shared" si="109"/>
        <v>725674.08</v>
      </c>
      <c r="X328" s="152">
        <f t="shared" si="107"/>
        <v>2.0564455155993744</v>
      </c>
    </row>
    <row r="329" spans="1:24" ht="16.2" customHeight="1" x14ac:dyDescent="0.3">
      <c r="A329" s="52" t="s">
        <v>10</v>
      </c>
      <c r="B329" s="189">
        <f>VLOOKUP($A329,'Growth Analysis'!A:G,2,FALSE)</f>
        <v>0</v>
      </c>
      <c r="C329" s="189">
        <f>VLOOKUP(A329,'Growth Analysis'!A:G,4,FALSE)</f>
        <v>1</v>
      </c>
      <c r="D329" s="50">
        <f t="shared" si="99"/>
        <v>1</v>
      </c>
      <c r="E329" s="49">
        <f>VLOOKUP($A329,'Growth Analysis'!$A:$G,5,FALSE)</f>
        <v>0</v>
      </c>
      <c r="F329" s="49">
        <f>VLOOKUP($A329,'Growth Analysis'!$A:$G,6,FALSE)</f>
        <v>953565.8727272728</v>
      </c>
      <c r="G329" s="50">
        <f t="shared" si="100"/>
        <v>1</v>
      </c>
      <c r="H329" s="159">
        <f t="shared" si="101"/>
        <v>5.3427618596317865E-4</v>
      </c>
      <c r="I329" s="158">
        <f t="shared" si="102"/>
        <v>0</v>
      </c>
      <c r="J329" s="157">
        <v>0</v>
      </c>
      <c r="K329" s="162">
        <f>VLOOKUP($A329,[1]Notes!$A:$G,3,FALSE)</f>
        <v>662400</v>
      </c>
      <c r="L329" s="161">
        <f>VLOOKUP($A329,[1]Notes!$A:$G,5,FALSE)</f>
        <v>397440</v>
      </c>
      <c r="M329" s="161">
        <f>VLOOKUP($A329,[1]Notes!$A:$G,7,FALSE)</f>
        <v>423936</v>
      </c>
      <c r="N329" s="154">
        <f t="shared" si="103"/>
        <v>1483776</v>
      </c>
      <c r="O329" s="45">
        <f t="shared" si="91"/>
        <v>721272.85105029121</v>
      </c>
      <c r="P329" s="45">
        <f t="shared" si="104"/>
        <v>432763.71063017473</v>
      </c>
      <c r="Q329" s="45">
        <f t="shared" si="105"/>
        <v>461614.62467218633</v>
      </c>
      <c r="R329" s="45">
        <f t="shared" si="106"/>
        <v>1615651.1863526523</v>
      </c>
      <c r="S329" s="153">
        <f t="shared" si="108"/>
        <v>8.8878096392347894E-2</v>
      </c>
      <c r="T329">
        <f>VLOOKUP($A329,'[2]All month (2)'!$E:$Y,8,FALSE)</f>
        <v>0</v>
      </c>
      <c r="U329">
        <f>VLOOKUP($A329,'[2]All month (2)'!$E:$Y,14,FALSE)</f>
        <v>571800.31999999995</v>
      </c>
      <c r="V329">
        <f>VLOOKUP($A329,'[2]All month (2)'!$E:$Y,20,FALSE)</f>
        <v>274819.44</v>
      </c>
      <c r="W329">
        <f t="shared" si="109"/>
        <v>846619.76</v>
      </c>
      <c r="X329" s="152">
        <f t="shared" si="107"/>
        <v>0.90835515858105209</v>
      </c>
    </row>
    <row r="330" spans="1:24" ht="16.2" customHeight="1" x14ac:dyDescent="0.3">
      <c r="A330" s="52" t="s">
        <v>9</v>
      </c>
      <c r="B330" s="189">
        <f>VLOOKUP($A330,'Growth Analysis'!A:G,2,FALSE)</f>
        <v>0</v>
      </c>
      <c r="C330" s="189">
        <f>VLOOKUP(A330,'Growth Analysis'!A:G,4,FALSE)</f>
        <v>1</v>
      </c>
      <c r="D330" s="50">
        <f t="shared" si="99"/>
        <v>1</v>
      </c>
      <c r="E330" s="49">
        <f>VLOOKUP($A330,'Growth Analysis'!$A:$G,5,FALSE)</f>
        <v>0</v>
      </c>
      <c r="F330" s="49">
        <f>VLOOKUP($A330,'Growth Analysis'!$A:$G,6,FALSE)</f>
        <v>996843.03205128212</v>
      </c>
      <c r="G330" s="50">
        <f t="shared" si="100"/>
        <v>1</v>
      </c>
      <c r="H330" s="159">
        <f t="shared" si="101"/>
        <v>5.5852407096437101E-4</v>
      </c>
      <c r="I330" s="158">
        <f t="shared" si="102"/>
        <v>0</v>
      </c>
      <c r="J330" s="157">
        <v>0</v>
      </c>
      <c r="K330" s="162">
        <f>VLOOKUP($A330,[1]Notes!$A:$G,3,FALSE)</f>
        <v>662400</v>
      </c>
      <c r="L330" s="161">
        <f>VLOOKUP($A330,[1]Notes!$A:$G,5,FALSE)</f>
        <v>397440</v>
      </c>
      <c r="M330" s="161">
        <f>VLOOKUP($A330,[1]Notes!$A:$G,7,FALSE)</f>
        <v>423936</v>
      </c>
      <c r="N330" s="154">
        <f t="shared" si="103"/>
        <v>1483776</v>
      </c>
      <c r="O330" s="45">
        <f t="shared" si="91"/>
        <v>754007.49580190086</v>
      </c>
      <c r="P330" s="45">
        <f t="shared" si="104"/>
        <v>452404.49748114054</v>
      </c>
      <c r="Q330" s="45">
        <f t="shared" si="105"/>
        <v>482564.79731321655</v>
      </c>
      <c r="R330" s="45">
        <f t="shared" si="106"/>
        <v>1688976.7905962579</v>
      </c>
      <c r="S330" s="153">
        <f t="shared" si="108"/>
        <v>0.13829634028064741</v>
      </c>
      <c r="T330">
        <f>VLOOKUP($A330,'[2]All month (2)'!$E:$Y,8,FALSE)</f>
        <v>0</v>
      </c>
      <c r="U330">
        <f>VLOOKUP($A330,'[2]All month (2)'!$E:$Y,14,FALSE)</f>
        <v>229424.16</v>
      </c>
      <c r="V330">
        <f>VLOOKUP($A330,'[2]All month (2)'!$E:$Y,20,FALSE)</f>
        <v>178836</v>
      </c>
      <c r="W330">
        <f t="shared" si="109"/>
        <v>408260.16000000003</v>
      </c>
      <c r="X330" s="152">
        <f t="shared" si="107"/>
        <v>3.1370110436351606</v>
      </c>
    </row>
    <row r="331" spans="1:24" ht="16.2" customHeight="1" x14ac:dyDescent="0.3">
      <c r="A331" s="52" t="s">
        <v>8</v>
      </c>
      <c r="B331" s="189">
        <f>VLOOKUP($A331,'Growth Analysis'!A:G,2,FALSE)</f>
        <v>115.12561500000001</v>
      </c>
      <c r="C331" s="189">
        <f>VLOOKUP(A331,'Growth Analysis'!A:G,4,FALSE)</f>
        <v>-0.4416081855458493</v>
      </c>
      <c r="D331" s="50">
        <f t="shared" si="99"/>
        <v>-1.0038358812289154</v>
      </c>
      <c r="E331" s="49">
        <f>VLOOKUP($A331,'Growth Analysis'!$A:$G,5,FALSE)</f>
        <v>4605492.78</v>
      </c>
      <c r="F331" s="49">
        <f>VLOOKUP($A331,'Growth Analysis'!$A:$G,6,FALSE)</f>
        <v>3412130.0679487186</v>
      </c>
      <c r="G331" s="50">
        <f t="shared" si="100"/>
        <v>-0.25911726910823246</v>
      </c>
      <c r="H331" s="159">
        <f t="shared" si="101"/>
        <v>1.9117922430465597E-3</v>
      </c>
      <c r="I331" s="158">
        <f t="shared" si="102"/>
        <v>2.8627298016517299E-3</v>
      </c>
      <c r="J331" s="157">
        <v>112.86825</v>
      </c>
      <c r="K331" s="162">
        <f>VLOOKUP($A331,[1]Notes!$A:$G,3,FALSE)</f>
        <v>2318400</v>
      </c>
      <c r="L331" s="161">
        <f>VLOOKUP($A331,[1]Notes!$A:$G,5,FALSE)</f>
        <v>1391040.0000000002</v>
      </c>
      <c r="M331" s="161">
        <f>VLOOKUP($A331,[1]Notes!$A:$G,7,FALSE)</f>
        <v>1483776</v>
      </c>
      <c r="N331" s="154">
        <f t="shared" si="103"/>
        <v>5193216</v>
      </c>
      <c r="O331" s="45">
        <f t="shared" si="91"/>
        <v>2580919.5281128557</v>
      </c>
      <c r="P331" s="45">
        <f t="shared" si="104"/>
        <v>1548551.7168677133</v>
      </c>
      <c r="Q331" s="45">
        <f t="shared" si="105"/>
        <v>1651788.4979922276</v>
      </c>
      <c r="R331" s="45">
        <f t="shared" si="106"/>
        <v>5781259.7429727968</v>
      </c>
      <c r="S331" s="153">
        <f t="shared" si="108"/>
        <v>0.11323306078021722</v>
      </c>
      <c r="T331">
        <f>VLOOKUP($A331,'[2]All month (2)'!$E:$Y,8,FALSE)</f>
        <v>1075028</v>
      </c>
      <c r="U331">
        <f>VLOOKUP($A331,'[2]All month (2)'!$E:$Y,14,FALSE)</f>
        <v>863071.84</v>
      </c>
      <c r="V331">
        <f>VLOOKUP($A331,'[2]All month (2)'!$E:$Y,20,FALSE)</f>
        <v>672764</v>
      </c>
      <c r="W331">
        <f t="shared" si="109"/>
        <v>2610863.84</v>
      </c>
      <c r="X331" s="152">
        <f t="shared" si="107"/>
        <v>1.2143091701682909</v>
      </c>
    </row>
    <row r="332" spans="1:24" ht="16.2" customHeight="1" x14ac:dyDescent="0.3">
      <c r="A332" s="52" t="s">
        <v>7</v>
      </c>
      <c r="B332" s="189">
        <f>VLOOKUP($A332,'Growth Analysis'!A:G,2,FALSE)</f>
        <v>0</v>
      </c>
      <c r="C332" s="189">
        <f>VLOOKUP(A332,'Growth Analysis'!A:G,4,FALSE)</f>
        <v>1</v>
      </c>
      <c r="D332" s="50">
        <f t="shared" si="99"/>
        <v>1</v>
      </c>
      <c r="E332" s="49">
        <f>VLOOKUP($A332,'Growth Analysis'!$A:$G,5,FALSE)</f>
        <v>0</v>
      </c>
      <c r="F332" s="49">
        <f>VLOOKUP($A332,'Growth Analysis'!$A:$G,6,FALSE)</f>
        <v>0</v>
      </c>
      <c r="G332" s="50">
        <f t="shared" si="100"/>
        <v>1</v>
      </c>
      <c r="H332" s="159">
        <f t="shared" si="101"/>
        <v>0</v>
      </c>
      <c r="I332" s="158">
        <f t="shared" si="102"/>
        <v>0</v>
      </c>
      <c r="J332" s="157">
        <v>0</v>
      </c>
      <c r="K332" s="162">
        <f>VLOOKUP($A332,[1]Notes!$A:$G,3,FALSE)</f>
        <v>1324800</v>
      </c>
      <c r="L332" s="161">
        <f>VLOOKUP($A332,[1]Notes!$A:$G,5,FALSE)</f>
        <v>794880</v>
      </c>
      <c r="M332" s="161">
        <f>VLOOKUP($A332,[1]Notes!$A:$G,7,FALSE)</f>
        <v>847872</v>
      </c>
      <c r="N332" s="154">
        <f t="shared" si="103"/>
        <v>2967552</v>
      </c>
      <c r="O332" s="45">
        <f t="shared" si="91"/>
        <v>0</v>
      </c>
      <c r="P332" s="45">
        <f t="shared" si="104"/>
        <v>0</v>
      </c>
      <c r="Q332" s="45">
        <f t="shared" si="105"/>
        <v>0</v>
      </c>
      <c r="R332" s="45">
        <f t="shared" si="106"/>
        <v>0</v>
      </c>
      <c r="S332" s="153">
        <f t="shared" si="108"/>
        <v>-1</v>
      </c>
      <c r="T332">
        <f>VLOOKUP($A332,'[2]All month (2)'!$E:$Y,8,FALSE)</f>
        <v>0</v>
      </c>
      <c r="U332">
        <f>VLOOKUP($A332,'[2]All month (2)'!$E:$Y,14,FALSE)</f>
        <v>61264.32</v>
      </c>
      <c r="V332">
        <f>VLOOKUP($A332,'[2]All month (2)'!$E:$Y,20,FALSE)</f>
        <v>1029444.94</v>
      </c>
      <c r="W332">
        <f t="shared" si="109"/>
        <v>1090709.26</v>
      </c>
      <c r="X332" s="152">
        <f t="shared" si="107"/>
        <v>-1</v>
      </c>
    </row>
    <row r="333" spans="1:24" ht="16.2" customHeight="1" x14ac:dyDescent="0.3">
      <c r="A333" s="52" t="s">
        <v>6</v>
      </c>
      <c r="B333" s="189">
        <f>VLOOKUP($A333,'Growth Analysis'!A:G,2,FALSE)</f>
        <v>48.996057000000008</v>
      </c>
      <c r="C333" s="189">
        <f>VLOOKUP(A333,'Growth Analysis'!A:G,4,FALSE)</f>
        <v>-1</v>
      </c>
      <c r="D333" s="50">
        <f t="shared" si="99"/>
        <v>-1.0204098056298694</v>
      </c>
      <c r="E333" s="49">
        <f>VLOOKUP($A333,'Growth Analysis'!$A:$G,5,FALSE)</f>
        <v>1495971.78</v>
      </c>
      <c r="F333" s="49">
        <f>VLOOKUP($A333,'Growth Analysis'!$A:$G,6,FALSE)</f>
        <v>283062.15000000002</v>
      </c>
      <c r="G333" s="50">
        <f t="shared" si="100"/>
        <v>-0.81078376358142257</v>
      </c>
      <c r="H333" s="159">
        <f t="shared" si="101"/>
        <v>1.5859771224823512E-4</v>
      </c>
      <c r="I333" s="158">
        <f t="shared" si="102"/>
        <v>9.2988160043016839E-4</v>
      </c>
      <c r="J333" s="157">
        <v>48.035350000000008</v>
      </c>
      <c r="K333" s="162">
        <f>VLOOKUP($A333,[1]Notes!$A:$G,3,FALSE)</f>
        <v>1324800</v>
      </c>
      <c r="L333" s="161">
        <f>VLOOKUP($A333,[1]Notes!$A:$G,5,FALSE)</f>
        <v>794880</v>
      </c>
      <c r="M333" s="161">
        <f>VLOOKUP($A333,[1]Notes!$A:$G,7,FALSE)</f>
        <v>847872</v>
      </c>
      <c r="N333" s="154">
        <f t="shared" si="103"/>
        <v>2967552</v>
      </c>
      <c r="O333" s="45">
        <f t="shared" si="91"/>
        <v>214106.91153511743</v>
      </c>
      <c r="P333" s="45">
        <f t="shared" si="104"/>
        <v>128464.14692107045</v>
      </c>
      <c r="Q333" s="45">
        <f t="shared" si="105"/>
        <v>137028.42338247516</v>
      </c>
      <c r="R333" s="45">
        <f t="shared" si="106"/>
        <v>479599.48183866305</v>
      </c>
      <c r="S333" s="153">
        <f t="shared" si="108"/>
        <v>-0.83838548344269515</v>
      </c>
      <c r="T333">
        <f>VLOOKUP($A333,'[2]All month (2)'!$E:$Y,8,FALSE)</f>
        <v>583162</v>
      </c>
      <c r="U333">
        <f>VLOOKUP($A333,'[2]All month (2)'!$E:$Y,14,FALSE)</f>
        <v>196100</v>
      </c>
      <c r="V333">
        <f>VLOOKUP($A333,'[2]All month (2)'!$E:$Y,20,FALSE)</f>
        <v>669420</v>
      </c>
      <c r="W333">
        <f t="shared" si="109"/>
        <v>1448682</v>
      </c>
      <c r="X333" s="152">
        <f t="shared" si="107"/>
        <v>-0.66894081527991434</v>
      </c>
    </row>
    <row r="334" spans="1:24" ht="16.2" customHeight="1" x14ac:dyDescent="0.3">
      <c r="A334" s="52" t="s">
        <v>5</v>
      </c>
      <c r="B334" s="189">
        <f>VLOOKUP($A334,'Growth Analysis'!A:G,2,FALSE)</f>
        <v>85.68</v>
      </c>
      <c r="C334" s="189">
        <f>VLOOKUP(A334,'Growth Analysis'!A:G,4,FALSE)</f>
        <v>-0.70588235294117652</v>
      </c>
      <c r="D334" s="50">
        <f t="shared" si="99"/>
        <v>-1.0082385895534685</v>
      </c>
      <c r="E334" s="49">
        <f>VLOOKUP($A334,'Growth Analysis'!$A:$G,5,FALSE)</f>
        <v>2087674.8</v>
      </c>
      <c r="F334" s="49">
        <f>VLOOKUP($A334,'Growth Analysis'!$A:$G,6,FALSE)</f>
        <v>1780800</v>
      </c>
      <c r="G334" s="50">
        <f t="shared" si="100"/>
        <v>-0.14699358348340461</v>
      </c>
      <c r="H334" s="159">
        <f t="shared" si="101"/>
        <v>9.977695921961204E-4</v>
      </c>
      <c r="I334" s="158">
        <f t="shared" si="102"/>
        <v>1.2976784790697934E-3</v>
      </c>
      <c r="J334" s="157">
        <v>84</v>
      </c>
      <c r="K334" s="162">
        <f>VLOOKUP($A334,[1]Notes!$A:$G,3,FALSE)</f>
        <v>1324800</v>
      </c>
      <c r="L334" s="161">
        <f>VLOOKUP($A334,[1]Notes!$A:$G,5,FALSE)</f>
        <v>794880</v>
      </c>
      <c r="M334" s="161">
        <f>VLOOKUP($A334,[1]Notes!$A:$G,7,FALSE)</f>
        <v>847872</v>
      </c>
      <c r="N334" s="154">
        <f t="shared" si="103"/>
        <v>2967552</v>
      </c>
      <c r="O334" s="45">
        <f t="shared" si="91"/>
        <v>1346988.9494647626</v>
      </c>
      <c r="P334" s="45">
        <f t="shared" si="104"/>
        <v>808193.3696788575</v>
      </c>
      <c r="Q334" s="45">
        <f t="shared" si="105"/>
        <v>862072.92765744799</v>
      </c>
      <c r="R334" s="45">
        <f t="shared" si="106"/>
        <v>3017255.2468010681</v>
      </c>
      <c r="S334" s="153">
        <f t="shared" si="108"/>
        <v>1.6748905091155342E-2</v>
      </c>
      <c r="T334">
        <f>VLOOKUP($A334,'[2]All month (2)'!$E:$Y,8,FALSE)</f>
        <v>274000</v>
      </c>
      <c r="U334">
        <f>VLOOKUP($A334,'[2]All month (2)'!$E:$Y,14,FALSE)</f>
        <v>921168</v>
      </c>
      <c r="V334">
        <f>VLOOKUP($A334,'[2]All month (2)'!$E:$Y,20,FALSE)</f>
        <v>720000</v>
      </c>
      <c r="W334">
        <f t="shared" si="109"/>
        <v>1915168</v>
      </c>
      <c r="X334" s="152">
        <f t="shared" si="107"/>
        <v>0.57545199523021906</v>
      </c>
    </row>
    <row r="335" spans="1:24" ht="16.2" customHeight="1" thickBot="1" x14ac:dyDescent="0.35">
      <c r="A335" s="160" t="s">
        <v>4</v>
      </c>
      <c r="B335" s="189">
        <f>VLOOKUP($A335,'Growth Analysis'!A:G,2,FALSE)</f>
        <v>0</v>
      </c>
      <c r="C335" s="189">
        <f>VLOOKUP(A335,'Growth Analysis'!A:G,4,FALSE)</f>
        <v>1</v>
      </c>
      <c r="D335" s="50">
        <f t="shared" si="99"/>
        <v>1</v>
      </c>
      <c r="E335" s="49">
        <f>VLOOKUP($A335,'Growth Analysis'!$A:$G,5,FALSE)</f>
        <v>0</v>
      </c>
      <c r="F335" s="49">
        <f>VLOOKUP($A335,'Growth Analysis'!$A:$G,6,FALSE)</f>
        <v>1451437.05</v>
      </c>
      <c r="G335" s="50">
        <f t="shared" si="100"/>
        <v>1</v>
      </c>
      <c r="H335" s="159">
        <f t="shared" si="101"/>
        <v>8.1322987055078625E-4</v>
      </c>
      <c r="I335" s="158">
        <f t="shared" si="102"/>
        <v>0</v>
      </c>
      <c r="J335" s="157">
        <v>0</v>
      </c>
      <c r="K335" s="156">
        <f>VLOOKUP($A335,[1]Notes!$A:$G,3,FALSE)</f>
        <v>1324800</v>
      </c>
      <c r="L335" s="155">
        <f>VLOOKUP($A335,[1]Notes!$A:$G,5,FALSE)</f>
        <v>794880</v>
      </c>
      <c r="M335" s="155">
        <f>VLOOKUP($A335,[1]Notes!$A:$G,7,FALSE)</f>
        <v>847872</v>
      </c>
      <c r="N335" s="154">
        <f t="shared" si="103"/>
        <v>2967552</v>
      </c>
      <c r="O335" s="45">
        <f t="shared" si="91"/>
        <v>1097860.3252435615</v>
      </c>
      <c r="P335" s="45">
        <f t="shared" si="104"/>
        <v>658716.19514613692</v>
      </c>
      <c r="Q335" s="45">
        <f t="shared" si="105"/>
        <v>702630.60815587931</v>
      </c>
      <c r="R335" s="45">
        <f t="shared" si="106"/>
        <v>2459207.1285455776</v>
      </c>
      <c r="S335" s="153">
        <f t="shared" si="108"/>
        <v>-0.17130108299851943</v>
      </c>
      <c r="X335" s="152">
        <f t="shared" si="107"/>
        <v>1</v>
      </c>
    </row>
    <row r="336" spans="1:24" ht="16.2" thickBot="1" x14ac:dyDescent="0.35">
      <c r="A336" s="43" t="s">
        <v>3</v>
      </c>
      <c r="B336" s="42">
        <f>SUM(B326:B335)</f>
        <v>434.05737900000003</v>
      </c>
      <c r="C336" s="40">
        <f>SUM(C326:C335)</f>
        <v>1.170253915178963</v>
      </c>
      <c r="D336" s="41">
        <f t="shared" si="99"/>
        <v>-0.99730391885544012</v>
      </c>
      <c r="E336" s="40">
        <f>SUM(E326:E335)</f>
        <v>14278764.779999999</v>
      </c>
      <c r="F336" s="40">
        <f>SUM(F326:F335)</f>
        <v>12384868.650000002</v>
      </c>
      <c r="G336" s="151">
        <f t="shared" si="100"/>
        <v>-0.13263725253410871</v>
      </c>
      <c r="H336" s="150">
        <f t="shared" si="101"/>
        <v>6.939153943347382E-3</v>
      </c>
      <c r="I336" s="150">
        <f t="shared" si="102"/>
        <v>8.8755421882305303E-3</v>
      </c>
      <c r="J336" s="42">
        <f>SUM(J326:J335)</f>
        <v>425.54644999999999</v>
      </c>
      <c r="K336" s="149">
        <f>SUM(K326:K335)</f>
        <v>12475200</v>
      </c>
      <c r="L336" s="149">
        <f>SUM(L326:L335)</f>
        <v>7485120</v>
      </c>
      <c r="M336" s="149">
        <f>SUM(M326:M335)</f>
        <v>7984128</v>
      </c>
      <c r="N336" s="36">
        <f t="shared" si="103"/>
        <v>27944448</v>
      </c>
      <c r="O336" s="36">
        <f t="shared" si="91"/>
        <v>9367857.8235189654</v>
      </c>
      <c r="P336" s="36">
        <f t="shared" si="104"/>
        <v>5620714.6941113798</v>
      </c>
      <c r="Q336" s="36">
        <f t="shared" si="105"/>
        <v>5995429.0070521384</v>
      </c>
      <c r="R336" s="148">
        <f t="shared" si="106"/>
        <v>20984001.524682485</v>
      </c>
      <c r="S336" s="41"/>
      <c r="T336" s="42">
        <f>SUM(T326:T335)</f>
        <v>6068352</v>
      </c>
      <c r="U336" s="42">
        <f>SUM(U326:U335)</f>
        <v>5489240</v>
      </c>
      <c r="V336" s="42">
        <f>SUM(V326:V335)</f>
        <v>4222518</v>
      </c>
      <c r="W336" s="147">
        <f>SUM(W326:W335)</f>
        <v>15780110</v>
      </c>
      <c r="X336" s="146">
        <f t="shared" si="107"/>
        <v>0.32977536434679383</v>
      </c>
    </row>
    <row r="337" spans="1:24" ht="16.2" customHeight="1" thickBot="1" x14ac:dyDescent="0.35">
      <c r="A337" s="35" t="s">
        <v>2</v>
      </c>
      <c r="B337" s="34">
        <f>B336+B325+B315</f>
        <v>1936.7191350000001</v>
      </c>
      <c r="C337" s="32">
        <f>C336+C325+C315</f>
        <v>3.1881642908348962</v>
      </c>
      <c r="D337" s="33">
        <f t="shared" si="99"/>
        <v>-0.99835383239974296</v>
      </c>
      <c r="E337" s="32">
        <f>E336+E325+E315</f>
        <v>53799787.799999997</v>
      </c>
      <c r="F337" s="32">
        <f>F336+F325+F315</f>
        <v>67325787.354000002</v>
      </c>
      <c r="G337" s="145">
        <f t="shared" si="100"/>
        <v>0.25141362275038576</v>
      </c>
      <c r="H337" s="144">
        <f t="shared" si="101"/>
        <v>3.7722160485446597E-2</v>
      </c>
      <c r="I337" s="144">
        <f t="shared" si="102"/>
        <v>3.3441428141289836E-2</v>
      </c>
      <c r="J337" s="34">
        <f>J336+J325+J315</f>
        <v>1898.7442500000002</v>
      </c>
      <c r="K337" s="34">
        <f>K336+K325+K315</f>
        <v>55310400</v>
      </c>
      <c r="L337" s="34">
        <f>L336+L325+L315</f>
        <v>33186240</v>
      </c>
      <c r="M337" s="34">
        <f>M336+M325+M315</f>
        <v>35398656</v>
      </c>
      <c r="N337" s="28">
        <f t="shared" si="103"/>
        <v>123895296</v>
      </c>
      <c r="O337" s="28">
        <f t="shared" si="91"/>
        <v>50924916.655352905</v>
      </c>
      <c r="P337" s="28">
        <f t="shared" si="104"/>
        <v>30554949.993211742</v>
      </c>
      <c r="Q337" s="28">
        <f t="shared" si="105"/>
        <v>32591946.659425858</v>
      </c>
      <c r="R337" s="143">
        <f t="shared" si="106"/>
        <v>114071813.30799051</v>
      </c>
      <c r="S337" s="142"/>
      <c r="T337" s="34">
        <f>T336+T325+T315</f>
        <v>29578289</v>
      </c>
      <c r="U337" s="34">
        <f>U336+U325+U315</f>
        <v>22973044.399999999</v>
      </c>
      <c r="V337" s="34">
        <f>V336+V325+V315</f>
        <v>27234548</v>
      </c>
      <c r="W337" s="141">
        <f>W336+W325+W315</f>
        <v>79785881.400000006</v>
      </c>
      <c r="X337" s="140">
        <f t="shared" si="107"/>
        <v>0.42972429841441218</v>
      </c>
    </row>
    <row r="338" spans="1:24" ht="15" customHeight="1" thickBot="1" x14ac:dyDescent="0.35">
      <c r="A338" s="27" t="s">
        <v>349</v>
      </c>
      <c r="B338" s="26">
        <f>B337+B310</f>
        <v>5061.0545232000004</v>
      </c>
      <c r="C338" s="24">
        <f>C337+C310</f>
        <v>18.523041525150536</v>
      </c>
      <c r="D338" s="25">
        <f t="shared" si="99"/>
        <v>-0.99634008259736373</v>
      </c>
      <c r="E338" s="24">
        <f>E337+E310</f>
        <v>133236714.60000001</v>
      </c>
      <c r="F338" s="24">
        <f>F337+F310</f>
        <v>184616070.30171257</v>
      </c>
      <c r="G338" s="139">
        <f t="shared" si="100"/>
        <v>0.38562460697085188</v>
      </c>
      <c r="H338" s="138">
        <f t="shared" si="101"/>
        <v>0.10343907298842657</v>
      </c>
      <c r="I338" s="138">
        <f t="shared" si="102"/>
        <v>8.2818654111446927E-2</v>
      </c>
      <c r="J338" s="26">
        <f>J337+J310</f>
        <v>4961.8181600000007</v>
      </c>
      <c r="K338" s="26">
        <f>K337+K310</f>
        <v>138191309.01214281</v>
      </c>
      <c r="L338" s="26">
        <f>L337+L310</f>
        <v>82914785.40728569</v>
      </c>
      <c r="M338" s="26">
        <f>M337+M310</f>
        <v>88442437.767771408</v>
      </c>
      <c r="N338" s="20">
        <f t="shared" si="103"/>
        <v>309548532.18719989</v>
      </c>
      <c r="O338" s="20">
        <f t="shared" si="91"/>
        <v>139642748.53437588</v>
      </c>
      <c r="P338" s="20">
        <f t="shared" si="104"/>
        <v>83785649.120625526</v>
      </c>
      <c r="Q338" s="20">
        <f t="shared" si="105"/>
        <v>89371359.062000558</v>
      </c>
      <c r="R338" s="137">
        <f t="shared" si="106"/>
        <v>312799756.71700197</v>
      </c>
      <c r="S338" s="136"/>
      <c r="T338" s="26">
        <f>T337+T310</f>
        <v>74327584</v>
      </c>
      <c r="U338" s="26">
        <f>U337+U310</f>
        <v>59849228.399999999</v>
      </c>
      <c r="V338" s="26">
        <f>V337+V310</f>
        <v>67290855</v>
      </c>
      <c r="W338" s="135">
        <f>W337+W310</f>
        <v>201467667.40000001</v>
      </c>
      <c r="X338" s="134">
        <f t="shared" si="107"/>
        <v>0.55260524308329761</v>
      </c>
    </row>
    <row r="339" spans="1:24" ht="16.2" customHeight="1" thickBot="1" x14ac:dyDescent="0.35">
      <c r="A339" s="19" t="s">
        <v>0</v>
      </c>
      <c r="B339" s="18">
        <f>B338+B279+B208+B114</f>
        <v>55197.687304200001</v>
      </c>
      <c r="C339" s="17">
        <f>C338+C279+C208+C114</f>
        <v>113.49621955050442</v>
      </c>
      <c r="D339" s="16">
        <f t="shared" si="99"/>
        <v>-0.99794382291915573</v>
      </c>
      <c r="E339" s="15">
        <f>E338+E279+E208+E114</f>
        <v>1608776622.4152002</v>
      </c>
      <c r="F339" s="15">
        <f>F338+F279+F208+F114</f>
        <v>1784780789.3153334</v>
      </c>
      <c r="G339" s="133">
        <f t="shared" si="100"/>
        <v>0.10940248910125522</v>
      </c>
      <c r="H339" s="132">
        <f t="shared" si="101"/>
        <v>1.0000000001766791</v>
      </c>
      <c r="I339" s="132">
        <f t="shared" si="102"/>
        <v>1.0000000002580844</v>
      </c>
      <c r="J339" s="18">
        <f>J338+J279+J208+J114</f>
        <v>54115.379709999994</v>
      </c>
      <c r="K339" s="128">
        <f>K338+K279+K208+K114</f>
        <v>1379970866.130291</v>
      </c>
      <c r="L339" s="128">
        <f>L338+L279+L208+L114</f>
        <v>827982519.6781745</v>
      </c>
      <c r="M339" s="128">
        <f>M338+M279+M208+M114</f>
        <v>883181354.32338619</v>
      </c>
      <c r="N339" s="131">
        <f t="shared" si="103"/>
        <v>3091134740.1318517</v>
      </c>
      <c r="O339" s="11">
        <f t="shared" si="91"/>
        <v>1350000000.2385168</v>
      </c>
      <c r="P339" s="11">
        <f t="shared" si="104"/>
        <v>810000000.14311004</v>
      </c>
      <c r="Q339" s="11">
        <f t="shared" si="105"/>
        <v>864000000.15265071</v>
      </c>
      <c r="R339" s="130">
        <f t="shared" si="106"/>
        <v>3024000000.5342779</v>
      </c>
      <c r="S339" s="129"/>
      <c r="T339" s="128">
        <f>T338+T279+T208+T114</f>
        <v>1083538552.53</v>
      </c>
      <c r="U339" s="128">
        <f>U338+U279+U208+U114</f>
        <v>780392667.93000007</v>
      </c>
      <c r="V339" s="128">
        <f>V338+V279+V208+V114</f>
        <v>814038134.00999999</v>
      </c>
      <c r="W339" s="127">
        <f>W338+W279+W208+W114</f>
        <v>2677969354.4700003</v>
      </c>
      <c r="X339" s="13">
        <f t="shared" si="107"/>
        <v>0.12921381848029434</v>
      </c>
    </row>
    <row r="340" spans="1:24" ht="15.6" customHeight="1" x14ac:dyDescent="0.3">
      <c r="D340" s="9"/>
      <c r="E340" s="10"/>
      <c r="F340" s="10"/>
      <c r="G340" s="9"/>
      <c r="W340" s="126"/>
      <c r="X340" s="50"/>
    </row>
    <row r="341" spans="1:24" ht="15.6" customHeight="1" x14ac:dyDescent="0.3">
      <c r="W341" s="126"/>
      <c r="X341" s="50"/>
    </row>
    <row r="342" spans="1:24" ht="15.6" customHeight="1" x14ac:dyDescent="0.3">
      <c r="W342" s="126"/>
      <c r="X342" s="50"/>
    </row>
    <row r="343" spans="1:24" ht="15.6" customHeight="1" x14ac:dyDescent="0.3">
      <c r="D343" s="8"/>
      <c r="W343" s="126"/>
      <c r="X343" s="50"/>
    </row>
    <row r="344" spans="1:24" ht="15.6" customHeight="1" x14ac:dyDescent="0.3">
      <c r="E344" s="7"/>
      <c r="W344" s="126"/>
      <c r="X344" s="50"/>
    </row>
    <row r="345" spans="1:24" ht="15.6" customHeight="1" x14ac:dyDescent="0.3">
      <c r="W345" s="126"/>
      <c r="X345" s="50"/>
    </row>
    <row r="346" spans="1:24" ht="15.6" customHeight="1" x14ac:dyDescent="0.3">
      <c r="W346" s="126"/>
      <c r="X346" s="50"/>
    </row>
    <row r="347" spans="1:24" ht="15.6" customHeight="1" x14ac:dyDescent="0.3">
      <c r="W347" s="126"/>
      <c r="X347" s="50"/>
    </row>
    <row r="350" spans="1:24" ht="18" x14ac:dyDescent="0.3">
      <c r="W350" s="125"/>
      <c r="X350" s="124"/>
    </row>
  </sheetData>
  <autoFilter ref="A4:AB347" xr:uid="{33AC77EB-C3CD-4F4E-A40D-EA35EC2E55D1}">
    <filterColumn colId="24" showButton="0"/>
    <filterColumn colId="25" showButton="0"/>
    <filterColumn colId="26" showButton="0"/>
  </autoFilter>
  <mergeCells count="11">
    <mergeCell ref="O2:R2"/>
    <mergeCell ref="T2:W2"/>
    <mergeCell ref="H3:I3"/>
    <mergeCell ref="S3:S4"/>
    <mergeCell ref="A1:A4"/>
    <mergeCell ref="B1:G1"/>
    <mergeCell ref="K1:N1"/>
    <mergeCell ref="O1:R1"/>
    <mergeCell ref="B2:D2"/>
    <mergeCell ref="E2:G2"/>
    <mergeCell ref="K2:N2"/>
  </mergeCells>
  <conditionalFormatting sqref="A1">
    <cfRule type="duplicateValues" dxfId="72" priority="41"/>
    <cfRule type="duplicateValues" dxfId="71" priority="42"/>
  </conditionalFormatting>
  <conditionalFormatting sqref="A1:A4">
    <cfRule type="duplicateValues" dxfId="70" priority="43"/>
  </conditionalFormatting>
  <conditionalFormatting sqref="A54:A61 A51:A52 A38:A43 A28:A35 A13:A19 A21:A26 A5:A11 A45:A49">
    <cfRule type="duplicateValues" dxfId="69" priority="28"/>
  </conditionalFormatting>
  <conditionalFormatting sqref="A82">
    <cfRule type="duplicateValues" dxfId="68" priority="21"/>
  </conditionalFormatting>
  <conditionalFormatting sqref="A89">
    <cfRule type="duplicateValues" dxfId="67" priority="18"/>
  </conditionalFormatting>
  <conditionalFormatting sqref="A90">
    <cfRule type="duplicateValues" dxfId="66" priority="16"/>
  </conditionalFormatting>
  <conditionalFormatting sqref="A97">
    <cfRule type="duplicateValues" dxfId="65" priority="17"/>
  </conditionalFormatting>
  <conditionalFormatting sqref="A105">
    <cfRule type="duplicateValues" dxfId="64" priority="20"/>
  </conditionalFormatting>
  <conditionalFormatting sqref="A106:A111 A98:A104 A91:A96 A83:A88 A64:A70 A74:A81">
    <cfRule type="duplicateValues" dxfId="63" priority="29"/>
  </conditionalFormatting>
  <conditionalFormatting sqref="A112">
    <cfRule type="duplicateValues" dxfId="62" priority="19"/>
  </conditionalFormatting>
  <conditionalFormatting sqref="A126:A134">
    <cfRule type="duplicateValues" dxfId="61" priority="31"/>
  </conditionalFormatting>
  <conditionalFormatting sqref="A134">
    <cfRule type="duplicateValues" dxfId="60" priority="30"/>
  </conditionalFormatting>
  <conditionalFormatting sqref="A136:A142 A122:A124 A115:A119">
    <cfRule type="duplicateValues" dxfId="59" priority="22"/>
  </conditionalFormatting>
  <conditionalFormatting sqref="A164:A166 A168:A173 A154:A162 A145:A152">
    <cfRule type="duplicateValues" dxfId="58" priority="26"/>
  </conditionalFormatting>
  <conditionalFormatting sqref="A185:A190 A136:A142 A38:A43 A28:A35 A13:A19 A21:A26 A5:A11 A122:A124 A164:A166 A168:A173 A176 A178:A183 A64:A70 A83:A88 A91:A96 A98:A104 A115:A119 A154:A162 A192:A196 A198:A205 A45:A52 A106:A111 A126:A134 A145:A152 A54:A61 A74:A81">
    <cfRule type="duplicateValues" dxfId="57" priority="32"/>
  </conditionalFormatting>
  <conditionalFormatting sqref="A185:A190 A176 A178:A183 A192:A196 A198:A205">
    <cfRule type="duplicateValues" dxfId="56" priority="33"/>
  </conditionalFormatting>
  <conditionalFormatting sqref="A230">
    <cfRule type="duplicateValues" dxfId="55" priority="36"/>
    <cfRule type="duplicateValues" dxfId="54" priority="37"/>
    <cfRule type="duplicateValues" dxfId="53" priority="38"/>
    <cfRule type="duplicateValues" dxfId="52" priority="39"/>
    <cfRule type="duplicateValues" dxfId="51" priority="40"/>
  </conditionalFormatting>
  <conditionalFormatting sqref="A241:A248 A225:A228 A209:A214 A216:A223 A231:A239">
    <cfRule type="duplicateValues" dxfId="50" priority="23"/>
  </conditionalFormatting>
  <conditionalFormatting sqref="A276 A251:A256 A264:A269 A258:A262 A271:A274">
    <cfRule type="duplicateValues" dxfId="49" priority="24"/>
  </conditionalFormatting>
  <conditionalFormatting sqref="A298:A308 A290:A296 A280:A288">
    <cfRule type="duplicateValues" dxfId="48" priority="34"/>
  </conditionalFormatting>
  <conditionalFormatting sqref="A311">
    <cfRule type="duplicateValues" dxfId="47" priority="35"/>
  </conditionalFormatting>
  <conditionalFormatting sqref="A312:A314 A316:A324 A326">
    <cfRule type="duplicateValues" dxfId="46" priority="27"/>
  </conditionalFormatting>
  <conditionalFormatting sqref="A327:A334">
    <cfRule type="duplicateValues" dxfId="45" priority="25"/>
  </conditionalFormatting>
  <conditionalFormatting sqref="G1:G1048576">
    <cfRule type="cellIs" dxfId="44" priority="11" operator="lessThan">
      <formula>0</formula>
    </cfRule>
  </conditionalFormatting>
  <conditionalFormatting sqref="S5:S339">
    <cfRule type="cellIs" dxfId="43" priority="5" operator="lessThan">
      <formula>0</formula>
    </cfRule>
  </conditionalFormatting>
  <conditionalFormatting sqref="W346 W343">
    <cfRule type="duplicateValues" dxfId="42" priority="7"/>
    <cfRule type="duplicateValues" dxfId="41" priority="8"/>
    <cfRule type="duplicateValues" dxfId="40" priority="9"/>
  </conditionalFormatting>
  <conditionalFormatting sqref="W346">
    <cfRule type="duplicateValues" dxfId="39" priority="10"/>
  </conditionalFormatting>
  <conditionalFormatting sqref="X3">
    <cfRule type="cellIs" dxfId="38" priority="3" operator="lessThan">
      <formula>0</formula>
    </cfRule>
  </conditionalFormatting>
  <conditionalFormatting sqref="X5:X347">
    <cfRule type="cellIs" dxfId="37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5" id="{5955B4D8-CA1F-4433-992A-A8446D1B056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D1:D2 D340:D1048576</xm:sqref>
        </x14:conditionalFormatting>
        <x14:conditionalFormatting xmlns:xm="http://schemas.microsoft.com/office/excel/2006/main">
          <x14:cfRule type="iconSet" priority="12" id="{CB16F43A-08E8-46E0-9AA0-356DF58F808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D3</xm:sqref>
        </x14:conditionalFormatting>
        <x14:conditionalFormatting xmlns:xm="http://schemas.microsoft.com/office/excel/2006/main">
          <x14:cfRule type="iconSet" priority="13" id="{4AA12A92-6210-48E5-9BCD-D874491CFCC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D4:D339</xm:sqref>
        </x14:conditionalFormatting>
        <x14:conditionalFormatting xmlns:xm="http://schemas.microsoft.com/office/excel/2006/main">
          <x14:cfRule type="iconSet" priority="14" id="{B88C0FAA-06E5-4F75-BF2E-5A6EC9C6AE7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G3:G339</xm:sqref>
        </x14:conditionalFormatting>
        <x14:conditionalFormatting xmlns:xm="http://schemas.microsoft.com/office/excel/2006/main">
          <x14:cfRule type="iconSet" priority="4" id="{4A89E739-57CA-4525-89EC-A121B3C3CB1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X3</xm:sqref>
        </x14:conditionalFormatting>
        <x14:conditionalFormatting xmlns:xm="http://schemas.microsoft.com/office/excel/2006/main">
          <x14:cfRule type="iconSet" priority="2" id="{83138EB0-24BD-46E7-A6E9-D0F993A4B22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X5:X339</xm:sqref>
        </x14:conditionalFormatting>
        <x14:conditionalFormatting xmlns:xm="http://schemas.microsoft.com/office/excel/2006/main">
          <x14:cfRule type="iconSet" priority="6" id="{98677F02-768F-4F04-BA2A-B1712EC29738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X340:X347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4B1F-D2FF-4E8C-8C60-0E89591E8F0C}">
  <dimension ref="A1:W350"/>
  <sheetViews>
    <sheetView showGridLines="0" zoomScale="79" zoomScaleNormal="99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O4" sqref="O4"/>
    </sheetView>
  </sheetViews>
  <sheetFormatPr defaultRowHeight="14.4" outlineLevelCol="1" x14ac:dyDescent="0.3"/>
  <cols>
    <col min="1" max="1" width="27.77734375" style="6" customWidth="1"/>
    <col min="2" max="3" width="18.88671875" style="5" customWidth="1" outlineLevel="1"/>
    <col min="4" max="4" width="18.88671875" style="3" customWidth="1" outlineLevel="1"/>
    <col min="5" max="6" width="21.6640625" style="4" customWidth="1" outlineLevel="1"/>
    <col min="7" max="7" width="18.88671875" style="3" customWidth="1" outlineLevel="1"/>
    <col min="8" max="9" width="25.109375" style="2" bestFit="1" customWidth="1"/>
    <col min="10" max="13" width="25.109375" style="1" customWidth="1"/>
    <col min="14" max="14" width="18.6640625" style="1" customWidth="1"/>
    <col min="15" max="15" width="21.77734375" style="1" customWidth="1"/>
    <col min="16" max="16" width="21.33203125" style="1" customWidth="1"/>
    <col min="17" max="17" width="21.44140625" style="1" customWidth="1"/>
    <col min="18" max="18" width="12.77734375" bestFit="1" customWidth="1"/>
    <col min="19" max="22" width="16" customWidth="1"/>
    <col min="23" max="23" width="15.44140625" bestFit="1" customWidth="1"/>
    <col min="24" max="24" width="13.44140625" customWidth="1"/>
  </cols>
  <sheetData>
    <row r="1" spans="1:23" s="107" customFormat="1" ht="26.4" customHeight="1" thickBot="1" x14ac:dyDescent="0.35">
      <c r="A1" s="225" t="s">
        <v>348</v>
      </c>
      <c r="B1" s="236" t="s">
        <v>347</v>
      </c>
      <c r="C1" s="236"/>
      <c r="D1" s="236"/>
      <c r="E1" s="236"/>
      <c r="F1" s="236"/>
      <c r="G1" s="236"/>
      <c r="H1" s="217"/>
      <c r="I1" s="216"/>
      <c r="J1" s="236" t="s">
        <v>355</v>
      </c>
      <c r="K1" s="236"/>
      <c r="L1" s="236"/>
      <c r="M1" s="236"/>
      <c r="N1" s="236" t="s">
        <v>355</v>
      </c>
      <c r="O1" s="236"/>
      <c r="P1" s="236"/>
      <c r="Q1" s="236"/>
      <c r="R1" s="123"/>
    </row>
    <row r="2" spans="1:23" s="107" customFormat="1" ht="26.4" customHeight="1" thickBot="1" x14ac:dyDescent="0.35">
      <c r="A2" s="225"/>
      <c r="B2" s="223" t="s">
        <v>345</v>
      </c>
      <c r="C2" s="223"/>
      <c r="D2" s="223"/>
      <c r="E2" s="224" t="s">
        <v>344</v>
      </c>
      <c r="F2" s="224"/>
      <c r="G2" s="224"/>
      <c r="H2" s="122"/>
      <c r="I2" s="122"/>
      <c r="J2" s="226" t="s">
        <v>354</v>
      </c>
      <c r="K2" s="226"/>
      <c r="L2" s="226"/>
      <c r="M2" s="226"/>
      <c r="N2" s="226" t="s">
        <v>353</v>
      </c>
      <c r="O2" s="226"/>
      <c r="P2" s="226"/>
      <c r="Q2" s="226"/>
      <c r="R2" s="121"/>
      <c r="S2" s="230" t="s">
        <v>352</v>
      </c>
      <c r="T2" s="231"/>
      <c r="U2" s="231"/>
      <c r="V2" s="232"/>
    </row>
    <row r="3" spans="1:23" s="107" customFormat="1" ht="26.4" customHeight="1" thickBot="1" x14ac:dyDescent="0.4">
      <c r="A3" s="225"/>
      <c r="B3" s="237">
        <v>55197.687304199993</v>
      </c>
      <c r="C3" s="237">
        <v>36479.581178250002</v>
      </c>
      <c r="D3" s="238">
        <f>IFERROR((C3-B3)/B3,100%)</f>
        <v>-0.33911033306146743</v>
      </c>
      <c r="E3" s="218">
        <v>1608776622.4152</v>
      </c>
      <c r="F3" s="218">
        <v>1784780789.3153334</v>
      </c>
      <c r="G3" s="219">
        <f>IFERROR((F3-E3)/E3,100%)</f>
        <v>0.10940248910125538</v>
      </c>
      <c r="H3" s="233" t="s">
        <v>342</v>
      </c>
      <c r="I3" s="233"/>
      <c r="J3" s="117">
        <v>37500</v>
      </c>
      <c r="K3" s="117">
        <v>22500</v>
      </c>
      <c r="L3" s="117">
        <v>24000</v>
      </c>
      <c r="M3" s="117">
        <v>84000</v>
      </c>
      <c r="N3" s="117">
        <v>38000</v>
      </c>
      <c r="O3" s="117">
        <v>24600</v>
      </c>
      <c r="P3" s="117">
        <v>27000</v>
      </c>
      <c r="Q3" s="215">
        <f>SUM(N3:P3)</f>
        <v>89600</v>
      </c>
      <c r="R3" s="234" t="s">
        <v>351</v>
      </c>
      <c r="S3" s="117">
        <v>25111.231950000001</v>
      </c>
      <c r="T3" s="117">
        <v>25149.97</v>
      </c>
      <c r="U3" s="117">
        <v>16790.525000000001</v>
      </c>
      <c r="V3" s="117">
        <v>67051.726949999997</v>
      </c>
      <c r="W3" s="197">
        <f>IFERROR((Q3/V3-1),100%)</f>
        <v>0.33628176447735769</v>
      </c>
    </row>
    <row r="4" spans="1:23" s="107" customFormat="1" ht="26.4" customHeight="1" thickBot="1" x14ac:dyDescent="0.35">
      <c r="A4" s="225"/>
      <c r="B4" s="114">
        <v>2025</v>
      </c>
      <c r="C4" s="114">
        <v>2025</v>
      </c>
      <c r="D4" s="115" t="s">
        <v>341</v>
      </c>
      <c r="E4" s="114">
        <v>2025</v>
      </c>
      <c r="F4" s="114">
        <v>2026</v>
      </c>
      <c r="G4" s="113" t="s">
        <v>341</v>
      </c>
      <c r="H4" s="196" t="s">
        <v>340</v>
      </c>
      <c r="I4" s="195" t="s">
        <v>339</v>
      </c>
      <c r="J4" s="110" t="s">
        <v>338</v>
      </c>
      <c r="K4" s="109" t="s">
        <v>337</v>
      </c>
      <c r="L4" s="109" t="s">
        <v>336</v>
      </c>
      <c r="M4" s="194" t="s">
        <v>342</v>
      </c>
      <c r="N4" s="110" t="s">
        <v>338</v>
      </c>
      <c r="O4" s="109" t="s">
        <v>337</v>
      </c>
      <c r="P4" s="109" t="s">
        <v>336</v>
      </c>
      <c r="Q4" s="194" t="s">
        <v>342</v>
      </c>
      <c r="R4" s="235"/>
      <c r="S4" s="109" t="s">
        <v>338</v>
      </c>
      <c r="T4" s="109" t="s">
        <v>337</v>
      </c>
      <c r="U4" s="194" t="s">
        <v>336</v>
      </c>
      <c r="V4" s="193" t="s">
        <v>342</v>
      </c>
      <c r="W4" s="192" t="s">
        <v>341</v>
      </c>
    </row>
    <row r="5" spans="1:23" ht="16.2" customHeight="1" x14ac:dyDescent="0.3">
      <c r="A5" s="53" t="s">
        <v>334</v>
      </c>
      <c r="B5" s="189">
        <v>0</v>
      </c>
      <c r="C5" s="49">
        <v>218.61452550000004</v>
      </c>
      <c r="D5" s="106">
        <f>IFERROR((C5-B5)/B5,100%)</f>
        <v>1</v>
      </c>
      <c r="E5" s="49">
        <v>0</v>
      </c>
      <c r="F5" s="49">
        <v>10882605.697297297</v>
      </c>
      <c r="G5" s="105">
        <f t="shared" ref="G5:G68" si="0">IFERROR((F5-E5)/E5,100%)</f>
        <v>1</v>
      </c>
      <c r="H5" s="214">
        <f t="shared" ref="H5:H68" si="1">C5/$C$3</f>
        <v>5.9927915408837873E-3</v>
      </c>
      <c r="I5" s="213">
        <f>B5/$B$3</f>
        <v>0</v>
      </c>
      <c r="J5" s="212">
        <v>222.222222222222</v>
      </c>
      <c r="K5" s="212">
        <v>133.33333333333334</v>
      </c>
      <c r="L5" s="212">
        <v>142.22222222222223</v>
      </c>
      <c r="M5" s="154">
        <v>497.777777777778</v>
      </c>
      <c r="N5" s="45">
        <f t="shared" ref="N5:N68" si="2">$N$3*H5</f>
        <v>227.72607855358393</v>
      </c>
      <c r="O5" s="102">
        <f t="shared" ref="O5:O68" si="3">$O$3*H5</f>
        <v>147.42267190574117</v>
      </c>
      <c r="P5" s="102">
        <f t="shared" ref="P5:P68" si="4">$P$3*H5</f>
        <v>161.80537160386226</v>
      </c>
      <c r="Q5" s="102">
        <f t="shared" ref="Q5:Q68" si="5">SUM(N5:P5)</f>
        <v>536.95412206318736</v>
      </c>
      <c r="R5" s="153">
        <f>M5/Q5-1</f>
        <v>-7.2960319468036716E-2</v>
      </c>
      <c r="S5">
        <v>0</v>
      </c>
      <c r="T5">
        <v>323.3</v>
      </c>
      <c r="U5">
        <v>231.16749999999999</v>
      </c>
      <c r="V5">
        <f t="shared" ref="V5:V11" si="6">SUM(S5:U5)</f>
        <v>554.46749999999997</v>
      </c>
      <c r="W5" s="188">
        <f t="shared" ref="W5:W68" si="7">IFERROR((Q5-V5)/V5,100%)</f>
        <v>-3.1585941352401392E-2</v>
      </c>
    </row>
    <row r="6" spans="1:23" ht="16.2" customHeight="1" x14ac:dyDescent="0.3">
      <c r="A6" s="52" t="s">
        <v>333</v>
      </c>
      <c r="B6" s="157">
        <v>863.54775900000004</v>
      </c>
      <c r="C6" s="5">
        <v>161.43507450000001</v>
      </c>
      <c r="D6" s="50">
        <f>IFERROR((C6-B6)/B6,100%)</f>
        <v>-0.81305599740430801</v>
      </c>
      <c r="E6" s="49">
        <v>29967600</v>
      </c>
      <c r="F6" s="49">
        <v>6965953.702702703</v>
      </c>
      <c r="G6" s="48">
        <f t="shared" si="0"/>
        <v>-0.76755049778084661</v>
      </c>
      <c r="H6" s="207">
        <f t="shared" si="1"/>
        <v>4.425354384174001E-3</v>
      </c>
      <c r="I6" s="206">
        <f>B6/$B$3</f>
        <v>1.5644636599372392E-2</v>
      </c>
      <c r="J6" s="205">
        <v>218.25396825396828</v>
      </c>
      <c r="K6" s="205">
        <v>130.95238095238096</v>
      </c>
      <c r="L6" s="205">
        <v>139.6825396825397</v>
      </c>
      <c r="M6" s="154">
        <v>488.88888888888903</v>
      </c>
      <c r="N6" s="45">
        <f t="shared" si="2"/>
        <v>168.16346659861205</v>
      </c>
      <c r="O6" s="45">
        <f t="shared" si="3"/>
        <v>108.86371785068043</v>
      </c>
      <c r="P6" s="45">
        <f t="shared" si="4"/>
        <v>119.48456837269802</v>
      </c>
      <c r="Q6" s="45">
        <f t="shared" si="5"/>
        <v>396.51175282199051</v>
      </c>
      <c r="R6" s="153">
        <f t="shared" ref="R6:R11" si="8">Q6/M6-1</f>
        <v>-0.18895323286411059</v>
      </c>
      <c r="S6">
        <v>686.27324999999996</v>
      </c>
      <c r="T6">
        <v>350.24</v>
      </c>
      <c r="U6">
        <v>250.4325</v>
      </c>
      <c r="V6">
        <f t="shared" si="6"/>
        <v>1286.9457499999999</v>
      </c>
      <c r="W6" s="152">
        <f t="shared" si="7"/>
        <v>-0.69189707272276979</v>
      </c>
    </row>
    <row r="7" spans="1:23" ht="16.2" customHeight="1" x14ac:dyDescent="0.3">
      <c r="A7" s="52" t="s">
        <v>332</v>
      </c>
      <c r="B7" s="157">
        <v>0</v>
      </c>
      <c r="C7" s="5">
        <v>86.578038750000005</v>
      </c>
      <c r="D7" s="50">
        <f>IFERROR((C7-B7)/B7,100%)</f>
        <v>1</v>
      </c>
      <c r="E7" s="49">
        <v>0</v>
      </c>
      <c r="F7" s="49">
        <v>4737540.7610750152</v>
      </c>
      <c r="G7" s="48">
        <f t="shared" si="0"/>
        <v>1</v>
      </c>
      <c r="H7" s="207">
        <f t="shared" si="1"/>
        <v>2.3733287486759824E-3</v>
      </c>
      <c r="I7" s="206">
        <f>B7/$B$3</f>
        <v>0</v>
      </c>
      <c r="J7" s="205">
        <v>79.365079365079353</v>
      </c>
      <c r="K7" s="205">
        <v>47.619047619047613</v>
      </c>
      <c r="L7" s="205">
        <v>50.793650793650784</v>
      </c>
      <c r="M7" s="154">
        <v>177.77777777777774</v>
      </c>
      <c r="N7" s="45">
        <f t="shared" si="2"/>
        <v>90.186492449687336</v>
      </c>
      <c r="O7" s="45">
        <f t="shared" si="3"/>
        <v>58.383887217429169</v>
      </c>
      <c r="P7" s="45">
        <f t="shared" si="4"/>
        <v>64.079876214251527</v>
      </c>
      <c r="Q7" s="45">
        <f t="shared" si="5"/>
        <v>212.65025588136803</v>
      </c>
      <c r="R7" s="153">
        <f t="shared" si="8"/>
        <v>0.19615768933269528</v>
      </c>
      <c r="S7">
        <v>0</v>
      </c>
      <c r="T7">
        <v>90.89</v>
      </c>
      <c r="U7">
        <v>59.435000000000002</v>
      </c>
      <c r="V7">
        <f t="shared" si="6"/>
        <v>150.32499999999999</v>
      </c>
      <c r="W7" s="152">
        <f t="shared" si="7"/>
        <v>0.41460339851234351</v>
      </c>
    </row>
    <row r="8" spans="1:23" ht="16.2" customHeight="1" x14ac:dyDescent="0.3">
      <c r="A8" s="55" t="s">
        <v>331</v>
      </c>
      <c r="B8" s="157">
        <v>382.58924999999999</v>
      </c>
      <c r="C8" s="5">
        <v>166.62421125000003</v>
      </c>
      <c r="D8" s="50">
        <f>IFERROR((C8-B8)/B8,100%)</f>
        <v>-0.56448276774634931</v>
      </c>
      <c r="E8" s="49">
        <v>6759276.8399999999</v>
      </c>
      <c r="F8" s="49">
        <v>8571373.0389249846</v>
      </c>
      <c r="G8" s="48">
        <f t="shared" si="0"/>
        <v>0.26809024719943042</v>
      </c>
      <c r="H8" s="207">
        <f t="shared" si="1"/>
        <v>4.5676020904907031E-3</v>
      </c>
      <c r="I8" s="206">
        <f>B8/$B$3</f>
        <v>6.9312550703711957E-3</v>
      </c>
      <c r="J8" s="205">
        <v>192.46031746031747</v>
      </c>
      <c r="K8" s="205">
        <v>115.47619047619047</v>
      </c>
      <c r="L8" s="205">
        <v>123.17460317460318</v>
      </c>
      <c r="M8" s="154">
        <v>431.11111111111114</v>
      </c>
      <c r="N8" s="45">
        <f t="shared" si="2"/>
        <v>173.56887943864672</v>
      </c>
      <c r="O8" s="45">
        <f t="shared" si="3"/>
        <v>112.3630114260713</v>
      </c>
      <c r="P8" s="45">
        <f t="shared" si="4"/>
        <v>123.32525644324899</v>
      </c>
      <c r="Q8" s="45">
        <f t="shared" si="5"/>
        <v>409.25714730796699</v>
      </c>
      <c r="R8" s="153">
        <f t="shared" si="8"/>
        <v>-5.069218407945808E-2</v>
      </c>
      <c r="S8">
        <v>84.048999999999992</v>
      </c>
      <c r="T8">
        <v>222.52</v>
      </c>
      <c r="U8">
        <v>145.51249999999999</v>
      </c>
      <c r="V8">
        <f t="shared" si="6"/>
        <v>452.08150000000001</v>
      </c>
      <c r="W8" s="152">
        <f t="shared" si="7"/>
        <v>-9.4727062912401891E-2</v>
      </c>
    </row>
    <row r="9" spans="1:23" ht="16.2" customHeight="1" x14ac:dyDescent="0.3">
      <c r="A9" s="52" t="s">
        <v>330</v>
      </c>
      <c r="B9" s="157">
        <v>375.10041000000007</v>
      </c>
      <c r="C9" s="5">
        <v>111.14100375000001</v>
      </c>
      <c r="D9" s="50">
        <f>IFERROR((C9-B9)/B9,100%)</f>
        <v>-0.7037033263973238</v>
      </c>
      <c r="E9" s="49">
        <v>15849771.84</v>
      </c>
      <c r="F9" s="49">
        <v>8071774.3888742747</v>
      </c>
      <c r="G9" s="48">
        <f t="shared" si="0"/>
        <v>-0.49073245530868947</v>
      </c>
      <c r="H9" s="207">
        <f t="shared" si="1"/>
        <v>3.0466633705834574E-3</v>
      </c>
      <c r="I9" s="206">
        <f>B9/$B$3</f>
        <v>6.7955819948177188E-3</v>
      </c>
      <c r="J9" s="205">
        <v>144.84126984126979</v>
      </c>
      <c r="K9" s="205">
        <v>86.90476190476187</v>
      </c>
      <c r="L9" s="205">
        <v>92.698412698412668</v>
      </c>
      <c r="M9" s="154">
        <v>324.44444444444434</v>
      </c>
      <c r="N9" s="45">
        <f t="shared" si="2"/>
        <v>115.77320808217138</v>
      </c>
      <c r="O9" s="45">
        <f t="shared" si="3"/>
        <v>74.947918916353046</v>
      </c>
      <c r="P9" s="45">
        <f t="shared" si="4"/>
        <v>82.259911005753352</v>
      </c>
      <c r="Q9" s="45">
        <f t="shared" si="5"/>
        <v>272.98103800427776</v>
      </c>
      <c r="R9" s="153">
        <f t="shared" si="8"/>
        <v>-0.15862008834297925</v>
      </c>
      <c r="S9">
        <v>241.47799999999998</v>
      </c>
      <c r="T9">
        <v>119.07</v>
      </c>
      <c r="U9">
        <v>100.7625</v>
      </c>
      <c r="V9">
        <f t="shared" si="6"/>
        <v>461.31049999999999</v>
      </c>
      <c r="W9" s="152">
        <f t="shared" si="7"/>
        <v>-0.40824880854808687</v>
      </c>
    </row>
    <row r="10" spans="1:23" ht="16.2" customHeight="1" x14ac:dyDescent="0.3">
      <c r="A10" s="52" t="s">
        <v>329</v>
      </c>
      <c r="B10" s="157">
        <v>0</v>
      </c>
      <c r="C10" s="5">
        <v>86.868626250000005</v>
      </c>
      <c r="D10" s="50">
        <f>IFERROR((C10-B10)/B10,100%)</f>
        <v>1</v>
      </c>
      <c r="E10" s="49">
        <v>405501</v>
      </c>
      <c r="F10" s="49">
        <v>5615183.3665411826</v>
      </c>
      <c r="G10" s="48">
        <f t="shared" si="0"/>
        <v>12.84752039215978</v>
      </c>
      <c r="H10" s="207">
        <f t="shared" si="1"/>
        <v>2.3812945062481462E-3</v>
      </c>
      <c r="I10" s="206">
        <f>B10/$B$3</f>
        <v>0</v>
      </c>
      <c r="J10" s="205">
        <v>105.15873015873012</v>
      </c>
      <c r="K10" s="205">
        <v>63.095238095238081</v>
      </c>
      <c r="L10" s="205">
        <v>67.301587301587276</v>
      </c>
      <c r="M10" s="154">
        <v>235.55555555555549</v>
      </c>
      <c r="N10" s="45">
        <f t="shared" si="2"/>
        <v>90.489191237429552</v>
      </c>
      <c r="O10" s="45">
        <f t="shared" si="3"/>
        <v>58.579844853704394</v>
      </c>
      <c r="P10" s="45">
        <f t="shared" si="4"/>
        <v>64.294951668699952</v>
      </c>
      <c r="Q10" s="45">
        <f t="shared" si="5"/>
        <v>213.36398775983389</v>
      </c>
      <c r="R10" s="153">
        <f t="shared" si="8"/>
        <v>-9.4209485925233261E-2</v>
      </c>
      <c r="S10">
        <v>0</v>
      </c>
      <c r="T10">
        <v>81.47</v>
      </c>
      <c r="U10">
        <v>68.942499999999995</v>
      </c>
      <c r="V10">
        <f t="shared" si="6"/>
        <v>150.41249999999999</v>
      </c>
      <c r="W10" s="152">
        <f t="shared" si="7"/>
        <v>0.41852563955677818</v>
      </c>
    </row>
    <row r="11" spans="1:23" ht="16.2" customHeight="1" thickBot="1" x14ac:dyDescent="0.35">
      <c r="A11" s="51" t="s">
        <v>328</v>
      </c>
      <c r="B11" s="157">
        <v>0</v>
      </c>
      <c r="C11" s="5">
        <v>93.155370000000005</v>
      </c>
      <c r="D11" s="50">
        <f>IFERROR((C11-B11)/B11,100%)</f>
        <v>1</v>
      </c>
      <c r="E11" s="49">
        <v>0</v>
      </c>
      <c r="F11" s="49">
        <v>7678287.8945845431</v>
      </c>
      <c r="G11" s="48">
        <f t="shared" si="0"/>
        <v>1</v>
      </c>
      <c r="H11" s="207">
        <f t="shared" si="1"/>
        <v>2.5536304691881019E-3</v>
      </c>
      <c r="I11" s="206">
        <f>B11/$B$3</f>
        <v>0</v>
      </c>
      <c r="J11" s="205">
        <v>162.69841269841268</v>
      </c>
      <c r="K11" s="205">
        <v>97.619047619047606</v>
      </c>
      <c r="L11" s="205">
        <v>104.12698412698411</v>
      </c>
      <c r="M11" s="154">
        <v>364.4444444444444</v>
      </c>
      <c r="N11" s="45">
        <f t="shared" si="2"/>
        <v>97.037957829147871</v>
      </c>
      <c r="O11" s="45">
        <f t="shared" si="3"/>
        <v>62.819309542027305</v>
      </c>
      <c r="P11" s="45">
        <f t="shared" si="4"/>
        <v>68.94802266807875</v>
      </c>
      <c r="Q11" s="45">
        <f t="shared" si="5"/>
        <v>228.80529003925392</v>
      </c>
      <c r="R11" s="153">
        <f t="shared" si="8"/>
        <v>-0.37218060659960805</v>
      </c>
      <c r="S11">
        <v>0</v>
      </c>
      <c r="T11">
        <v>112.81</v>
      </c>
      <c r="U11">
        <v>95.46</v>
      </c>
      <c r="V11">
        <f t="shared" si="6"/>
        <v>208.26999999999998</v>
      </c>
      <c r="W11" s="152">
        <f t="shared" si="7"/>
        <v>9.8599366395803231E-2</v>
      </c>
    </row>
    <row r="12" spans="1:23" ht="16.2" thickBot="1" x14ac:dyDescent="0.35">
      <c r="A12" s="43" t="s">
        <v>327</v>
      </c>
      <c r="B12" s="42">
        <v>1621.237419</v>
      </c>
      <c r="C12" s="40">
        <v>924.41685000000007</v>
      </c>
      <c r="D12" s="41">
        <f>IFERROR((C12-B12)/B12,100%)</f>
        <v>-0.42980784975331238</v>
      </c>
      <c r="E12" s="40">
        <v>52982149.680000007</v>
      </c>
      <c r="F12" s="40">
        <v>52522718.850000001</v>
      </c>
      <c r="G12" s="39">
        <f t="shared" si="0"/>
        <v>-8.6714267498556059E-3</v>
      </c>
      <c r="H12" s="150">
        <f t="shared" si="1"/>
        <v>2.534066511024418E-2</v>
      </c>
      <c r="I12" s="150">
        <f>B12/$B$3</f>
        <v>2.9371473664561307E-2</v>
      </c>
      <c r="J12" s="204">
        <v>1125</v>
      </c>
      <c r="K12" s="36">
        <v>674.99999999999989</v>
      </c>
      <c r="L12" s="36">
        <v>719.99999999999989</v>
      </c>
      <c r="M12" s="36">
        <v>2520</v>
      </c>
      <c r="N12" s="36">
        <f t="shared" si="2"/>
        <v>962.94527418927885</v>
      </c>
      <c r="O12" s="36">
        <f t="shared" si="3"/>
        <v>623.38036171200679</v>
      </c>
      <c r="P12" s="36">
        <f t="shared" si="4"/>
        <v>684.19795797659287</v>
      </c>
      <c r="Q12" s="148">
        <f t="shared" si="5"/>
        <v>2270.5235938778787</v>
      </c>
      <c r="R12" s="41"/>
      <c r="S12" s="42">
        <f>SUM(S5:S11)</f>
        <v>1011.8002499999999</v>
      </c>
      <c r="T12" s="42">
        <f>SUM(T5:T11)</f>
        <v>1300.3</v>
      </c>
      <c r="U12" s="42">
        <f>SUM(U5:U11)</f>
        <v>951.7125000000002</v>
      </c>
      <c r="V12" s="147">
        <f>SUM(V5:V11)</f>
        <v>3263.8127499999996</v>
      </c>
      <c r="W12" s="146">
        <f t="shared" si="7"/>
        <v>-0.30433398978606263</v>
      </c>
    </row>
    <row r="13" spans="1:23" s="181" customFormat="1" ht="16.2" customHeight="1" x14ac:dyDescent="0.3">
      <c r="A13" s="64" t="s">
        <v>326</v>
      </c>
      <c r="B13" s="185">
        <v>0</v>
      </c>
      <c r="C13" s="187">
        <v>77.639814000000001</v>
      </c>
      <c r="D13" s="186">
        <f>IFERROR((C13-B13)/B13,100%)</f>
        <v>1</v>
      </c>
      <c r="E13" s="49">
        <v>812738.04</v>
      </c>
      <c r="F13" s="49">
        <v>6165818.3412903231</v>
      </c>
      <c r="G13" s="48">
        <f t="shared" si="0"/>
        <v>6.5864768693370408</v>
      </c>
      <c r="H13" s="211">
        <f t="shared" si="1"/>
        <v>2.1283088098141521E-3</v>
      </c>
      <c r="I13" s="210">
        <f>B13/$B$3</f>
        <v>0</v>
      </c>
      <c r="J13" s="209">
        <v>135</v>
      </c>
      <c r="K13" s="209">
        <v>81</v>
      </c>
      <c r="L13" s="209">
        <v>86.399999999999991</v>
      </c>
      <c r="M13" s="208">
        <v>302.39999999999998</v>
      </c>
      <c r="N13" s="184">
        <f t="shared" si="2"/>
        <v>80.875734772937776</v>
      </c>
      <c r="O13" s="184">
        <f t="shared" si="3"/>
        <v>52.35639672142814</v>
      </c>
      <c r="P13" s="184">
        <f t="shared" si="4"/>
        <v>57.464337864982106</v>
      </c>
      <c r="Q13" s="184">
        <f t="shared" si="5"/>
        <v>190.69646935934801</v>
      </c>
      <c r="R13" s="183">
        <f t="shared" ref="R13:R19" si="9">Q13/M13-1</f>
        <v>-0.36938998227728825</v>
      </c>
      <c r="S13" s="181">
        <v>0</v>
      </c>
      <c r="T13" s="181">
        <v>150.88</v>
      </c>
      <c r="U13" s="181">
        <v>66.297499999999999</v>
      </c>
      <c r="V13" s="181">
        <f t="shared" ref="V13:V19" si="10">SUM(S13:U13)</f>
        <v>217.17750000000001</v>
      </c>
      <c r="W13" s="182">
        <f t="shared" si="7"/>
        <v>-0.12193266171980059</v>
      </c>
    </row>
    <row r="14" spans="1:23" ht="16.2" customHeight="1" x14ac:dyDescent="0.3">
      <c r="A14" s="52" t="s">
        <v>325</v>
      </c>
      <c r="B14" s="157">
        <v>0</v>
      </c>
      <c r="C14" s="5">
        <v>118.16876190000001</v>
      </c>
      <c r="D14" s="50">
        <f>IFERROR((C14-B14)/B14,100%)</f>
        <v>1</v>
      </c>
      <c r="E14" s="49">
        <v>0</v>
      </c>
      <c r="F14" s="49">
        <v>8376159.9306451613</v>
      </c>
      <c r="G14" s="48">
        <f t="shared" si="0"/>
        <v>1</v>
      </c>
      <c r="H14" s="207">
        <f t="shared" si="1"/>
        <v>3.2393124614724209E-3</v>
      </c>
      <c r="I14" s="206">
        <f>B14/$B$3</f>
        <v>0</v>
      </c>
      <c r="J14" s="205">
        <v>207</v>
      </c>
      <c r="K14" s="205">
        <v>124.19999999999999</v>
      </c>
      <c r="L14" s="205">
        <v>132.47999999999999</v>
      </c>
      <c r="M14" s="154">
        <v>463.67999999999995</v>
      </c>
      <c r="N14" s="45">
        <f t="shared" si="2"/>
        <v>123.093873535952</v>
      </c>
      <c r="O14" s="45">
        <f t="shared" si="3"/>
        <v>79.687086552221558</v>
      </c>
      <c r="P14" s="45">
        <f t="shared" si="4"/>
        <v>87.461436459755362</v>
      </c>
      <c r="Q14" s="45">
        <f t="shared" si="5"/>
        <v>290.24239654792893</v>
      </c>
      <c r="R14" s="153">
        <f t="shared" si="9"/>
        <v>-0.37404590116474945</v>
      </c>
      <c r="S14">
        <v>0</v>
      </c>
      <c r="T14">
        <v>171.69</v>
      </c>
      <c r="U14">
        <v>75.442499999999995</v>
      </c>
      <c r="V14">
        <f t="shared" si="10"/>
        <v>247.13249999999999</v>
      </c>
      <c r="W14" s="152">
        <f t="shared" si="7"/>
        <v>0.17444041778369473</v>
      </c>
    </row>
    <row r="15" spans="1:23" ht="16.2" customHeight="1" x14ac:dyDescent="0.3">
      <c r="A15" s="52" t="s">
        <v>324</v>
      </c>
      <c r="B15" s="157">
        <v>515.93150400000002</v>
      </c>
      <c r="C15" s="5">
        <v>119.80646265</v>
      </c>
      <c r="D15" s="50">
        <f>IFERROR((C15-B15)/B15,100%)</f>
        <v>-0.767786107804729</v>
      </c>
      <c r="E15" s="49">
        <v>25461029.879999999</v>
      </c>
      <c r="F15" s="49">
        <v>9484805.2780645173</v>
      </c>
      <c r="G15" s="48">
        <f t="shared" si="0"/>
        <v>-0.62747754812875944</v>
      </c>
      <c r="H15" s="207">
        <f t="shared" si="1"/>
        <v>3.2842060895543249E-3</v>
      </c>
      <c r="I15" s="206">
        <f>B15/$B$3</f>
        <v>9.3469768245297985E-3</v>
      </c>
      <c r="J15" s="205">
        <v>215.99999999999994</v>
      </c>
      <c r="K15" s="205">
        <v>129.59999999999997</v>
      </c>
      <c r="L15" s="205">
        <v>138.23999999999998</v>
      </c>
      <c r="M15" s="154">
        <v>483.83999999999992</v>
      </c>
      <c r="N15" s="45">
        <f t="shared" si="2"/>
        <v>124.79983140306435</v>
      </c>
      <c r="O15" s="45">
        <f t="shared" si="3"/>
        <v>80.791469803036392</v>
      </c>
      <c r="P15" s="45">
        <f t="shared" si="4"/>
        <v>88.673564417966773</v>
      </c>
      <c r="Q15" s="45">
        <f t="shared" si="5"/>
        <v>294.26486562406751</v>
      </c>
      <c r="R15" s="153">
        <f t="shared" si="9"/>
        <v>-0.39181368711956932</v>
      </c>
      <c r="S15">
        <v>578.64565000000005</v>
      </c>
      <c r="T15">
        <v>197.7</v>
      </c>
      <c r="U15">
        <v>86.875</v>
      </c>
      <c r="V15">
        <f t="shared" si="10"/>
        <v>863.22064999999998</v>
      </c>
      <c r="W15" s="152">
        <f t="shared" si="7"/>
        <v>-0.6591081716776962</v>
      </c>
    </row>
    <row r="16" spans="1:23" ht="16.2" customHeight="1" x14ac:dyDescent="0.3">
      <c r="A16" s="52" t="s">
        <v>323</v>
      </c>
      <c r="B16" s="157">
        <v>0</v>
      </c>
      <c r="C16" s="5">
        <v>113.724975</v>
      </c>
      <c r="D16" s="50">
        <f>IFERROR((C16-B16)/B16,100%)</f>
        <v>1</v>
      </c>
      <c r="E16" s="49">
        <v>203245.2</v>
      </c>
      <c r="F16" s="49">
        <v>4186426.6500000004</v>
      </c>
      <c r="G16" s="48">
        <f t="shared" si="0"/>
        <v>19.597911537394239</v>
      </c>
      <c r="H16" s="207">
        <f t="shared" si="1"/>
        <v>3.117496729041548E-3</v>
      </c>
      <c r="I16" s="206">
        <f>B16/$B$3</f>
        <v>0</v>
      </c>
      <c r="J16" s="205">
        <v>135</v>
      </c>
      <c r="K16" s="205">
        <v>81</v>
      </c>
      <c r="L16" s="205">
        <v>86.399999999999991</v>
      </c>
      <c r="M16" s="154">
        <v>302.39999999999998</v>
      </c>
      <c r="N16" s="45">
        <f t="shared" si="2"/>
        <v>118.46487570357883</v>
      </c>
      <c r="O16" s="45">
        <f t="shared" si="3"/>
        <v>76.690419534422077</v>
      </c>
      <c r="P16" s="45">
        <f t="shared" si="4"/>
        <v>84.172411684121798</v>
      </c>
      <c r="Q16" s="45">
        <f t="shared" si="5"/>
        <v>279.32770692212273</v>
      </c>
      <c r="R16" s="153">
        <f t="shared" si="9"/>
        <v>-7.6297265469170816E-2</v>
      </c>
      <c r="S16">
        <v>385.40394999999995</v>
      </c>
      <c r="T16">
        <v>109.29</v>
      </c>
      <c r="U16">
        <v>72.457499999999996</v>
      </c>
      <c r="V16">
        <f t="shared" si="10"/>
        <v>567.15144999999995</v>
      </c>
      <c r="W16" s="152">
        <f t="shared" si="7"/>
        <v>-0.50749009471434348</v>
      </c>
    </row>
    <row r="17" spans="1:23" ht="16.2" customHeight="1" x14ac:dyDescent="0.3">
      <c r="A17" s="52" t="s">
        <v>322</v>
      </c>
      <c r="B17" s="157">
        <v>0</v>
      </c>
      <c r="C17" s="5">
        <v>37.851974999999996</v>
      </c>
      <c r="D17" s="50">
        <f>IFERROR((C17-B17)/B17,100%)</f>
        <v>1</v>
      </c>
      <c r="E17" s="49">
        <v>0</v>
      </c>
      <c r="F17" s="49">
        <v>3429066.9000000004</v>
      </c>
      <c r="G17" s="48">
        <f t="shared" si="0"/>
        <v>1</v>
      </c>
      <c r="H17" s="207">
        <f t="shared" si="1"/>
        <v>1.037620876595158E-3</v>
      </c>
      <c r="I17" s="206">
        <f>B17/$B$3</f>
        <v>0</v>
      </c>
      <c r="J17" s="205">
        <v>135</v>
      </c>
      <c r="K17" s="205">
        <v>81</v>
      </c>
      <c r="L17" s="205">
        <v>86.399999999999991</v>
      </c>
      <c r="M17" s="154">
        <v>302.39999999999998</v>
      </c>
      <c r="N17" s="45">
        <f t="shared" si="2"/>
        <v>39.429593310615999</v>
      </c>
      <c r="O17" s="45">
        <f t="shared" si="3"/>
        <v>25.525473564240887</v>
      </c>
      <c r="P17" s="45">
        <f t="shared" si="4"/>
        <v>28.015763668069265</v>
      </c>
      <c r="Q17" s="45">
        <f t="shared" si="5"/>
        <v>92.970830542926151</v>
      </c>
      <c r="R17" s="153">
        <f t="shared" si="9"/>
        <v>-0.69255677730513843</v>
      </c>
      <c r="S17">
        <v>0</v>
      </c>
      <c r="T17">
        <v>100.18</v>
      </c>
      <c r="U17">
        <v>66.42</v>
      </c>
      <c r="V17">
        <f t="shared" si="10"/>
        <v>166.60000000000002</v>
      </c>
      <c r="W17" s="152">
        <f t="shared" si="7"/>
        <v>-0.44195179746142776</v>
      </c>
    </row>
    <row r="18" spans="1:23" ht="16.2" customHeight="1" x14ac:dyDescent="0.3">
      <c r="A18" s="52" t="s">
        <v>321</v>
      </c>
      <c r="B18" s="157">
        <v>0</v>
      </c>
      <c r="C18" s="5">
        <v>28.38189375</v>
      </c>
      <c r="D18" s="50">
        <f>IFERROR((C18-B18)/B18,100%)</f>
        <v>1</v>
      </c>
      <c r="E18" s="49">
        <v>0</v>
      </c>
      <c r="F18" s="49">
        <v>5136695.55</v>
      </c>
      <c r="G18" s="48">
        <f t="shared" si="0"/>
        <v>1</v>
      </c>
      <c r="H18" s="207">
        <f t="shared" si="1"/>
        <v>7.7802137067631586E-4</v>
      </c>
      <c r="I18" s="206">
        <f>B18/$B$3</f>
        <v>0</v>
      </c>
      <c r="J18" s="205">
        <v>135</v>
      </c>
      <c r="K18" s="205">
        <v>81</v>
      </c>
      <c r="L18" s="205">
        <v>86.399999999999991</v>
      </c>
      <c r="M18" s="154">
        <v>302.39999999999998</v>
      </c>
      <c r="N18" s="45">
        <f t="shared" si="2"/>
        <v>29.564812085700002</v>
      </c>
      <c r="O18" s="45">
        <f t="shared" si="3"/>
        <v>19.13932571863737</v>
      </c>
      <c r="P18" s="45">
        <f t="shared" si="4"/>
        <v>21.006577008260528</v>
      </c>
      <c r="Q18" s="45">
        <f t="shared" si="5"/>
        <v>69.710714812597899</v>
      </c>
      <c r="R18" s="153">
        <f t="shared" si="9"/>
        <v>-0.76947514942923978</v>
      </c>
      <c r="S18">
        <v>0</v>
      </c>
      <c r="T18">
        <v>122.95</v>
      </c>
      <c r="U18">
        <v>81.515000000000001</v>
      </c>
      <c r="V18">
        <f t="shared" si="10"/>
        <v>204.465</v>
      </c>
      <c r="W18" s="152">
        <f t="shared" si="7"/>
        <v>-0.65905795704595949</v>
      </c>
    </row>
    <row r="19" spans="1:23" ht="16.2" customHeight="1" thickBot="1" x14ac:dyDescent="0.35">
      <c r="A19" s="51" t="s">
        <v>320</v>
      </c>
      <c r="B19" s="157">
        <v>0</v>
      </c>
      <c r="C19" s="5">
        <v>135.68716875000001</v>
      </c>
      <c r="D19" s="50">
        <f>IFERROR((C19-B19)/B19,100%)</f>
        <v>1</v>
      </c>
      <c r="E19" s="49">
        <v>391680</v>
      </c>
      <c r="F19" s="49">
        <v>5416272.75</v>
      </c>
      <c r="G19" s="48">
        <f t="shared" si="0"/>
        <v>12.828310738357843</v>
      </c>
      <c r="H19" s="207">
        <f t="shared" si="1"/>
        <v>3.7195374608878446E-3</v>
      </c>
      <c r="I19" s="206">
        <f>B19/$B$3</f>
        <v>0</v>
      </c>
      <c r="J19" s="205">
        <v>162.00000000000003</v>
      </c>
      <c r="K19" s="205">
        <v>97.200000000000017</v>
      </c>
      <c r="L19" s="205">
        <v>103.68000000000002</v>
      </c>
      <c r="M19" s="154">
        <v>362.88000000000005</v>
      </c>
      <c r="N19" s="45">
        <f t="shared" si="2"/>
        <v>141.34242351373808</v>
      </c>
      <c r="O19" s="45">
        <f t="shared" si="3"/>
        <v>91.500621537840971</v>
      </c>
      <c r="P19" s="45">
        <f t="shared" si="4"/>
        <v>100.42751144397181</v>
      </c>
      <c r="Q19" s="45">
        <f t="shared" si="5"/>
        <v>333.27055649555086</v>
      </c>
      <c r="R19" s="153">
        <f t="shared" si="9"/>
        <v>-8.1595688669668154E-2</v>
      </c>
      <c r="S19">
        <v>0</v>
      </c>
      <c r="T19">
        <v>122.95</v>
      </c>
      <c r="U19">
        <v>81.515000000000001</v>
      </c>
      <c r="V19">
        <f t="shared" si="10"/>
        <v>204.465</v>
      </c>
      <c r="W19" s="152">
        <f t="shared" si="7"/>
        <v>0.62996383975521908</v>
      </c>
    </row>
    <row r="20" spans="1:23" ht="16.2" thickBot="1" x14ac:dyDescent="0.35">
      <c r="A20" s="43" t="s">
        <v>319</v>
      </c>
      <c r="B20" s="42">
        <v>515.93150400000002</v>
      </c>
      <c r="C20" s="40">
        <v>631.26105104999999</v>
      </c>
      <c r="D20" s="41">
        <f>IFERROR((C20-B20)/B20,100%)</f>
        <v>0.22353654730493056</v>
      </c>
      <c r="E20" s="40">
        <v>26868693.119999997</v>
      </c>
      <c r="F20" s="40">
        <v>42195245.399999999</v>
      </c>
      <c r="G20" s="39">
        <f t="shared" si="0"/>
        <v>0.5704241814646176</v>
      </c>
      <c r="H20" s="150">
        <f t="shared" si="1"/>
        <v>1.7304503798041763E-2</v>
      </c>
      <c r="I20" s="150">
        <f>B20/$B$3</f>
        <v>9.3469768245297985E-3</v>
      </c>
      <c r="J20" s="204">
        <v>1125</v>
      </c>
      <c r="K20" s="36">
        <v>675</v>
      </c>
      <c r="L20" s="36">
        <v>720</v>
      </c>
      <c r="M20" s="36">
        <v>2520</v>
      </c>
      <c r="N20" s="36">
        <f t="shared" si="2"/>
        <v>657.57114432558706</v>
      </c>
      <c r="O20" s="36">
        <f t="shared" si="3"/>
        <v>425.69079343182739</v>
      </c>
      <c r="P20" s="36">
        <f t="shared" si="4"/>
        <v>467.22160254712759</v>
      </c>
      <c r="Q20" s="148">
        <f t="shared" si="5"/>
        <v>1550.483540304542</v>
      </c>
      <c r="R20" s="41"/>
      <c r="S20" s="42">
        <f>SUM(S13:S19)</f>
        <v>964.04960000000005</v>
      </c>
      <c r="T20" s="42">
        <f>SUM(T13:T19)</f>
        <v>975.6400000000001</v>
      </c>
      <c r="U20" s="42">
        <f>SUM(U13:U19)</f>
        <v>530.52250000000004</v>
      </c>
      <c r="V20" s="147">
        <f>SUM(V13:V19)</f>
        <v>2470.2121000000002</v>
      </c>
      <c r="W20" s="146">
        <f t="shared" si="7"/>
        <v>-0.37232776881606972</v>
      </c>
    </row>
    <row r="21" spans="1:23" ht="16.2" customHeight="1" x14ac:dyDescent="0.3">
      <c r="A21" s="53" t="s">
        <v>318</v>
      </c>
      <c r="B21" s="157">
        <v>185.65683000000001</v>
      </c>
      <c r="C21" s="5">
        <v>12.665100000000002</v>
      </c>
      <c r="D21" s="50">
        <f>IFERROR((C21-B21)/B21,100%)</f>
        <v>-0.93178220268007383</v>
      </c>
      <c r="E21" s="49">
        <v>6910500</v>
      </c>
      <c r="F21" s="49">
        <v>1155000</v>
      </c>
      <c r="G21" s="48">
        <f t="shared" si="0"/>
        <v>-0.83286303451269805</v>
      </c>
      <c r="H21" s="207">
        <f t="shared" si="1"/>
        <v>3.4718326227800106E-4</v>
      </c>
      <c r="I21" s="206">
        <f>B21/$B$3</f>
        <v>3.3634892885425903E-3</v>
      </c>
      <c r="J21" s="205">
        <v>121.62162162162164</v>
      </c>
      <c r="K21" s="205">
        <v>72.972972972972983</v>
      </c>
      <c r="L21" s="205">
        <v>77.837837837837853</v>
      </c>
      <c r="M21" s="154">
        <v>272.43243243243251</v>
      </c>
      <c r="N21" s="45">
        <f t="shared" si="2"/>
        <v>13.19296396656404</v>
      </c>
      <c r="O21" s="45">
        <f t="shared" si="3"/>
        <v>8.5407082520388258</v>
      </c>
      <c r="P21" s="45">
        <f t="shared" si="4"/>
        <v>9.373948081506029</v>
      </c>
      <c r="Q21" s="45">
        <f t="shared" si="5"/>
        <v>31.107620300108895</v>
      </c>
      <c r="R21" s="153">
        <f t="shared" ref="R21:R26" si="11">Q21/M21-1</f>
        <v>-0.88581528262856857</v>
      </c>
      <c r="S21">
        <v>85.111000000000004</v>
      </c>
      <c r="T21">
        <v>60.24</v>
      </c>
      <c r="U21">
        <v>60.807499999999997</v>
      </c>
      <c r="V21">
        <f t="shared" ref="V21:V26" si="12">SUM(S21:U21)</f>
        <v>206.1585</v>
      </c>
      <c r="W21" s="152">
        <f t="shared" si="7"/>
        <v>-0.84910823322778883</v>
      </c>
    </row>
    <row r="22" spans="1:23" ht="16.2" customHeight="1" x14ac:dyDescent="0.3">
      <c r="A22" s="52" t="s">
        <v>317</v>
      </c>
      <c r="B22" s="157">
        <v>0</v>
      </c>
      <c r="C22" s="5">
        <v>155.64336585000001</v>
      </c>
      <c r="D22" s="50">
        <f>IFERROR((C22-B22)/B22,100%)</f>
        <v>1</v>
      </c>
      <c r="E22" s="49">
        <v>0</v>
      </c>
      <c r="F22" s="49">
        <v>4006543.7858449691</v>
      </c>
      <c r="G22" s="48">
        <f t="shared" si="0"/>
        <v>1</v>
      </c>
      <c r="H22" s="207">
        <f t="shared" si="1"/>
        <v>4.2665886181499886E-3</v>
      </c>
      <c r="I22" s="206">
        <f>B22/$B$3</f>
        <v>0</v>
      </c>
      <c r="J22" s="205">
        <v>162.16216216216213</v>
      </c>
      <c r="K22" s="205">
        <v>97.297297297297277</v>
      </c>
      <c r="L22" s="205">
        <v>103.78378378378376</v>
      </c>
      <c r="M22" s="154">
        <v>363.24324324324317</v>
      </c>
      <c r="N22" s="45">
        <f t="shared" si="2"/>
        <v>162.13036748969958</v>
      </c>
      <c r="O22" s="45">
        <f t="shared" si="3"/>
        <v>104.95808000648972</v>
      </c>
      <c r="P22" s="45">
        <f t="shared" si="4"/>
        <v>115.1978926900497</v>
      </c>
      <c r="Q22" s="45">
        <f t="shared" si="5"/>
        <v>382.28634018623899</v>
      </c>
      <c r="R22" s="153">
        <f t="shared" si="11"/>
        <v>5.2425192476997395E-2</v>
      </c>
      <c r="S22">
        <v>0</v>
      </c>
      <c r="T22">
        <v>124.23</v>
      </c>
      <c r="U22">
        <v>64.0625</v>
      </c>
      <c r="V22">
        <f t="shared" si="12"/>
        <v>188.29250000000002</v>
      </c>
      <c r="W22" s="152">
        <f t="shared" si="7"/>
        <v>1.0302791677110823</v>
      </c>
    </row>
    <row r="23" spans="1:23" ht="16.2" customHeight="1" x14ac:dyDescent="0.3">
      <c r="A23" s="52" t="s">
        <v>316</v>
      </c>
      <c r="B23" s="157">
        <v>1370.4013649999999</v>
      </c>
      <c r="C23" s="5">
        <v>128.16422850000001</v>
      </c>
      <c r="D23" s="50">
        <f>IFERROR((C23-B23)/B23,100%)</f>
        <v>-0.9064768674540834</v>
      </c>
      <c r="E23" s="49">
        <v>21299339.100000001</v>
      </c>
      <c r="F23" s="49">
        <v>3415849.0253009149</v>
      </c>
      <c r="G23" s="48">
        <f t="shared" si="0"/>
        <v>-0.83962652506429569</v>
      </c>
      <c r="H23" s="207">
        <f t="shared" si="1"/>
        <v>3.5133141434314104E-3</v>
      </c>
      <c r="I23" s="206">
        <f>B23/$B$3</f>
        <v>2.4827151859598402E-2</v>
      </c>
      <c r="J23" s="205">
        <v>141.89189189189185</v>
      </c>
      <c r="K23" s="205">
        <v>85.135135135135116</v>
      </c>
      <c r="L23" s="205">
        <v>90.810810810810793</v>
      </c>
      <c r="M23" s="154">
        <v>317.83783783783775</v>
      </c>
      <c r="N23" s="45">
        <f t="shared" si="2"/>
        <v>133.50593745039359</v>
      </c>
      <c r="O23" s="45">
        <f t="shared" si="3"/>
        <v>86.427527928412701</v>
      </c>
      <c r="P23" s="45">
        <f t="shared" si="4"/>
        <v>94.859481872648075</v>
      </c>
      <c r="Q23" s="45">
        <f t="shared" si="5"/>
        <v>314.79294725145439</v>
      </c>
      <c r="R23" s="153">
        <f t="shared" si="11"/>
        <v>-9.5800128993354106E-3</v>
      </c>
      <c r="S23">
        <v>521.69000000000005</v>
      </c>
      <c r="T23">
        <v>240.7</v>
      </c>
      <c r="U23">
        <v>124.12</v>
      </c>
      <c r="V23">
        <f t="shared" si="12"/>
        <v>886.5100000000001</v>
      </c>
      <c r="W23" s="152">
        <f t="shared" si="7"/>
        <v>-0.6449076183557384</v>
      </c>
    </row>
    <row r="24" spans="1:23" ht="16.2" customHeight="1" x14ac:dyDescent="0.3">
      <c r="A24" s="52" t="s">
        <v>315</v>
      </c>
      <c r="B24" s="157">
        <v>0</v>
      </c>
      <c r="C24" s="5">
        <v>89.033798700000006</v>
      </c>
      <c r="D24" s="50">
        <f>IFERROR((C24-B24)/B24,100%)</f>
        <v>1</v>
      </c>
      <c r="E24" s="49">
        <v>0</v>
      </c>
      <c r="F24" s="49">
        <v>2354295.2206307175</v>
      </c>
      <c r="G24" s="48">
        <f t="shared" si="0"/>
        <v>1</v>
      </c>
      <c r="H24" s="207">
        <f t="shared" si="1"/>
        <v>2.4406475026386566E-3</v>
      </c>
      <c r="I24" s="206">
        <f>B24/$B$3</f>
        <v>0</v>
      </c>
      <c r="J24" s="205">
        <v>101.35135135135134</v>
      </c>
      <c r="K24" s="205">
        <v>60.810810810810807</v>
      </c>
      <c r="L24" s="205">
        <v>64.864864864864856</v>
      </c>
      <c r="M24" s="154">
        <v>227.02702702702697</v>
      </c>
      <c r="N24" s="45">
        <f t="shared" si="2"/>
        <v>92.744605100268956</v>
      </c>
      <c r="O24" s="45">
        <f t="shared" si="3"/>
        <v>60.039928564910952</v>
      </c>
      <c r="P24" s="45">
        <f t="shared" si="4"/>
        <v>65.897482571243728</v>
      </c>
      <c r="Q24" s="45">
        <f t="shared" si="5"/>
        <v>218.68201623642364</v>
      </c>
      <c r="R24" s="153">
        <f t="shared" si="11"/>
        <v>-3.6757785625276651E-2</v>
      </c>
      <c r="S24">
        <v>0</v>
      </c>
      <c r="T24">
        <v>155.29</v>
      </c>
      <c r="U24">
        <v>80.077500000000001</v>
      </c>
      <c r="V24">
        <f t="shared" si="12"/>
        <v>235.36750000000001</v>
      </c>
      <c r="W24" s="152">
        <f t="shared" si="7"/>
        <v>-7.0891196803196582E-2</v>
      </c>
    </row>
    <row r="25" spans="1:23" ht="16.2" customHeight="1" x14ac:dyDescent="0.3">
      <c r="A25" s="52" t="s">
        <v>314</v>
      </c>
      <c r="B25" s="157">
        <v>0</v>
      </c>
      <c r="C25" s="5">
        <v>155.64336585000001</v>
      </c>
      <c r="D25" s="50">
        <f>IFERROR((C25-B25)/B25,100%)</f>
        <v>1</v>
      </c>
      <c r="E25" s="49">
        <v>0</v>
      </c>
      <c r="F25" s="49">
        <v>4006543.7858449691</v>
      </c>
      <c r="G25" s="48">
        <f t="shared" si="0"/>
        <v>1</v>
      </c>
      <c r="H25" s="207">
        <f t="shared" si="1"/>
        <v>4.2665886181499886E-3</v>
      </c>
      <c r="I25" s="206">
        <f>B25/$B$3</f>
        <v>0</v>
      </c>
      <c r="J25" s="205">
        <v>162.16216216216213</v>
      </c>
      <c r="K25" s="205">
        <v>97.297297297297277</v>
      </c>
      <c r="L25" s="205">
        <v>103.78378378378376</v>
      </c>
      <c r="M25" s="154">
        <v>363.24324324324317</v>
      </c>
      <c r="N25" s="45">
        <f t="shared" si="2"/>
        <v>162.13036748969958</v>
      </c>
      <c r="O25" s="45">
        <f t="shared" si="3"/>
        <v>104.95808000648972</v>
      </c>
      <c r="P25" s="45">
        <f t="shared" si="4"/>
        <v>115.1978926900497</v>
      </c>
      <c r="Q25" s="45">
        <f t="shared" si="5"/>
        <v>382.28634018623899</v>
      </c>
      <c r="R25" s="153">
        <f t="shared" si="11"/>
        <v>5.2425192476997395E-2</v>
      </c>
      <c r="S25">
        <v>0</v>
      </c>
      <c r="T25">
        <v>163.05000000000001</v>
      </c>
      <c r="U25">
        <v>84.082499999999996</v>
      </c>
      <c r="V25">
        <f t="shared" si="12"/>
        <v>247.13249999999999</v>
      </c>
      <c r="W25" s="152">
        <f t="shared" si="7"/>
        <v>0.54688816803228635</v>
      </c>
    </row>
    <row r="26" spans="1:23" ht="16.2" customHeight="1" thickBot="1" x14ac:dyDescent="0.35">
      <c r="A26" s="51" t="s">
        <v>313</v>
      </c>
      <c r="B26" s="157">
        <v>0</v>
      </c>
      <c r="C26" s="5">
        <v>54.079918200000009</v>
      </c>
      <c r="D26" s="50">
        <f>IFERROR((C26-B26)/B26,100%)</f>
        <v>1</v>
      </c>
      <c r="E26" s="49">
        <v>0</v>
      </c>
      <c r="F26" s="49">
        <v>1412577.1323784306</v>
      </c>
      <c r="G26" s="48">
        <f t="shared" si="0"/>
        <v>1</v>
      </c>
      <c r="H26" s="207">
        <f t="shared" si="1"/>
        <v>1.4824709180664539E-3</v>
      </c>
      <c r="I26" s="206">
        <f>B26/$B$3</f>
        <v>0</v>
      </c>
      <c r="J26" s="205">
        <v>60.810810810810821</v>
      </c>
      <c r="K26" s="205">
        <v>36.486486486486491</v>
      </c>
      <c r="L26" s="205">
        <v>38.918918918918926</v>
      </c>
      <c r="M26" s="154">
        <v>136.21621621621625</v>
      </c>
      <c r="N26" s="45">
        <f t="shared" si="2"/>
        <v>56.333894886525243</v>
      </c>
      <c r="O26" s="45">
        <f t="shared" si="3"/>
        <v>36.468784584434765</v>
      </c>
      <c r="P26" s="45">
        <f t="shared" si="4"/>
        <v>40.026714787794255</v>
      </c>
      <c r="Q26" s="45">
        <f t="shared" si="5"/>
        <v>132.82939425875426</v>
      </c>
      <c r="R26" s="153">
        <f t="shared" si="11"/>
        <v>-2.4863573894066238E-2</v>
      </c>
      <c r="S26">
        <v>0</v>
      </c>
      <c r="T26">
        <v>93.17</v>
      </c>
      <c r="U26">
        <v>48.047499999999999</v>
      </c>
      <c r="V26">
        <f t="shared" si="12"/>
        <v>141.2175</v>
      </c>
      <c r="W26" s="152">
        <f t="shared" si="7"/>
        <v>-5.939848631540523E-2</v>
      </c>
    </row>
    <row r="27" spans="1:23" ht="16.2" thickBot="1" x14ac:dyDescent="0.35">
      <c r="A27" s="43" t="s">
        <v>312</v>
      </c>
      <c r="B27" s="42">
        <v>1556.0581950000001</v>
      </c>
      <c r="C27" s="40">
        <v>595.22977710000009</v>
      </c>
      <c r="D27" s="41">
        <f>IFERROR((C27-B27)/B27,100%)</f>
        <v>-0.61747588938985665</v>
      </c>
      <c r="E27" s="40">
        <v>28209839.100000001</v>
      </c>
      <c r="F27" s="40">
        <v>16350808.949999999</v>
      </c>
      <c r="G27" s="39">
        <f t="shared" si="0"/>
        <v>-0.42038630947030114</v>
      </c>
      <c r="H27" s="150">
        <f t="shared" si="1"/>
        <v>1.63167930627145E-2</v>
      </c>
      <c r="I27" s="150">
        <f>B27/$B$3</f>
        <v>2.8190641148140995E-2</v>
      </c>
      <c r="J27" s="204">
        <v>750</v>
      </c>
      <c r="K27" s="36">
        <v>449.99999999999994</v>
      </c>
      <c r="L27" s="36">
        <v>479.99999999999989</v>
      </c>
      <c r="M27" s="36">
        <v>1680</v>
      </c>
      <c r="N27" s="36">
        <f t="shared" si="2"/>
        <v>620.03813638315103</v>
      </c>
      <c r="O27" s="36">
        <f t="shared" si="3"/>
        <v>401.39310934277671</v>
      </c>
      <c r="P27" s="36">
        <f t="shared" si="4"/>
        <v>440.55341269329148</v>
      </c>
      <c r="Q27" s="148">
        <f t="shared" si="5"/>
        <v>1461.9846584192192</v>
      </c>
      <c r="R27" s="41"/>
      <c r="S27" s="42">
        <f>SUM(S21:S26)</f>
        <v>606.80100000000004</v>
      </c>
      <c r="T27" s="42">
        <f>SUM(T21:T26)</f>
        <v>836.68</v>
      </c>
      <c r="U27" s="42">
        <f>SUM(U21:U26)</f>
        <v>461.19749999999999</v>
      </c>
      <c r="V27" s="147">
        <f>SUM(V21:V26)</f>
        <v>1904.6785000000002</v>
      </c>
      <c r="W27" s="146">
        <f t="shared" si="7"/>
        <v>-0.23242444411525673</v>
      </c>
    </row>
    <row r="28" spans="1:23" ht="16.2" customHeight="1" x14ac:dyDescent="0.3">
      <c r="A28" s="53" t="s">
        <v>311</v>
      </c>
      <c r="B28" s="157">
        <v>0</v>
      </c>
      <c r="C28" s="5">
        <v>373.06108979999999</v>
      </c>
      <c r="D28" s="50">
        <f>IFERROR((C28-B28)/B28,100%)</f>
        <v>1</v>
      </c>
      <c r="E28" s="49">
        <v>0</v>
      </c>
      <c r="F28" s="49">
        <v>15630805.830275232</v>
      </c>
      <c r="G28" s="48">
        <f t="shared" si="0"/>
        <v>1</v>
      </c>
      <c r="H28" s="207">
        <f t="shared" si="1"/>
        <v>1.0226572722343313E-2</v>
      </c>
      <c r="I28" s="206">
        <f>B28/$B$3</f>
        <v>0</v>
      </c>
      <c r="J28" s="205">
        <v>284.41596945576504</v>
      </c>
      <c r="K28" s="205">
        <v>170.64958167345901</v>
      </c>
      <c r="L28" s="205">
        <v>182.02622045168962</v>
      </c>
      <c r="M28" s="154">
        <v>637.0917715809137</v>
      </c>
      <c r="N28" s="45">
        <f t="shared" si="2"/>
        <v>388.60976344904589</v>
      </c>
      <c r="O28" s="45">
        <f t="shared" si="3"/>
        <v>251.5736889696455</v>
      </c>
      <c r="P28" s="45">
        <f t="shared" si="4"/>
        <v>276.11746350326945</v>
      </c>
      <c r="Q28" s="45">
        <f t="shared" si="5"/>
        <v>916.30091592196072</v>
      </c>
      <c r="R28" s="153">
        <f>Q28/M28-1</f>
        <v>0.43825576909932851</v>
      </c>
      <c r="S28">
        <v>0</v>
      </c>
      <c r="T28">
        <v>196.57</v>
      </c>
      <c r="U28">
        <v>157.82</v>
      </c>
      <c r="V28">
        <f t="shared" ref="V28:V35" si="13">SUM(S28:U28)</f>
        <v>354.39</v>
      </c>
      <c r="W28" s="152">
        <f t="shared" si="7"/>
        <v>1.5855721547503054</v>
      </c>
    </row>
    <row r="29" spans="1:23" ht="16.2" customHeight="1" x14ac:dyDescent="0.3">
      <c r="A29" s="52" t="s">
        <v>310</v>
      </c>
      <c r="B29" s="157">
        <v>0</v>
      </c>
      <c r="C29" s="5">
        <v>360.4007148</v>
      </c>
      <c r="D29" s="50">
        <f>IFERROR((C29-B29)/B29,100%)</f>
        <v>1</v>
      </c>
      <c r="E29" s="49">
        <v>357000</v>
      </c>
      <c r="F29" s="49">
        <v>16050805.830275236</v>
      </c>
      <c r="G29" s="48">
        <f t="shared" si="0"/>
        <v>43.960240420939037</v>
      </c>
      <c r="H29" s="207">
        <f t="shared" si="1"/>
        <v>9.8795189845786811E-3</v>
      </c>
      <c r="I29" s="206">
        <f>B29/$B$3</f>
        <v>0</v>
      </c>
      <c r="J29" s="205">
        <v>284.41596945576504</v>
      </c>
      <c r="K29" s="205">
        <v>170.64958167345901</v>
      </c>
      <c r="L29" s="205">
        <v>182.02622045168962</v>
      </c>
      <c r="M29" s="154">
        <v>637.0917715809137</v>
      </c>
      <c r="N29" s="45">
        <f t="shared" si="2"/>
        <v>375.42172141398987</v>
      </c>
      <c r="O29" s="45">
        <f t="shared" si="3"/>
        <v>243.03616702063556</v>
      </c>
      <c r="P29" s="45">
        <f t="shared" si="4"/>
        <v>266.74701258362438</v>
      </c>
      <c r="Q29" s="45">
        <f t="shared" si="5"/>
        <v>885.20490101824976</v>
      </c>
      <c r="R29" s="153">
        <f>Q29/M29-1</f>
        <v>0.38944645105312659</v>
      </c>
      <c r="S29">
        <v>0</v>
      </c>
      <c r="T29">
        <v>170.93</v>
      </c>
      <c r="U29">
        <v>137.23500000000001</v>
      </c>
      <c r="V29">
        <f t="shared" si="13"/>
        <v>308.16500000000002</v>
      </c>
      <c r="W29" s="152">
        <f t="shared" si="7"/>
        <v>1.8725030455056537</v>
      </c>
    </row>
    <row r="30" spans="1:23" ht="16.2" customHeight="1" x14ac:dyDescent="0.3">
      <c r="A30" s="52" t="s">
        <v>309</v>
      </c>
      <c r="B30" s="157">
        <v>2222.1153899999999</v>
      </c>
      <c r="C30" s="5">
        <v>261.83535630000006</v>
      </c>
      <c r="D30" s="50">
        <f>IFERROR((C30-B30)/B30,100%)</f>
        <v>-0.88216842497094627</v>
      </c>
      <c r="E30" s="49">
        <v>59488914.300000004</v>
      </c>
      <c r="F30" s="49">
        <v>11595444.876605509</v>
      </c>
      <c r="G30" s="48">
        <f t="shared" si="0"/>
        <v>-0.80508225754246943</v>
      </c>
      <c r="H30" s="207">
        <f t="shared" si="1"/>
        <v>7.1775866894029077E-3</v>
      </c>
      <c r="I30" s="206">
        <f>B30/$B$3</f>
        <v>4.0257400237689291E-2</v>
      </c>
      <c r="J30" s="205">
        <v>255.97437251018852</v>
      </c>
      <c r="K30" s="205">
        <v>153.5846235061131</v>
      </c>
      <c r="L30" s="205">
        <v>163.82359840652063</v>
      </c>
      <c r="M30" s="154">
        <v>573.38259442282231</v>
      </c>
      <c r="N30" s="45">
        <f t="shared" si="2"/>
        <v>272.74829419731049</v>
      </c>
      <c r="O30" s="45">
        <f t="shared" si="3"/>
        <v>176.56863255931154</v>
      </c>
      <c r="P30" s="45">
        <f t="shared" si="4"/>
        <v>193.79484061387851</v>
      </c>
      <c r="Q30" s="45">
        <f t="shared" si="5"/>
        <v>643.1117673705005</v>
      </c>
      <c r="R30" s="153">
        <f>M30/Q30-1</f>
        <v>-0.10842465724547501</v>
      </c>
      <c r="S30">
        <v>1227.26225</v>
      </c>
      <c r="T30">
        <v>196.57</v>
      </c>
      <c r="U30">
        <v>157.82</v>
      </c>
      <c r="V30">
        <f t="shared" si="13"/>
        <v>1581.6522499999999</v>
      </c>
      <c r="W30" s="152">
        <f t="shared" si="7"/>
        <v>-0.59339243669365338</v>
      </c>
    </row>
    <row r="31" spans="1:23" ht="16.2" customHeight="1" x14ac:dyDescent="0.3">
      <c r="A31" s="52" t="s">
        <v>308</v>
      </c>
      <c r="B31" s="157">
        <v>61.511099999999992</v>
      </c>
      <c r="C31" s="5">
        <v>222.65908455000002</v>
      </c>
      <c r="D31" s="50">
        <f>IFERROR((C31-B31)/B31,100%)</f>
        <v>2.6198195862210243</v>
      </c>
      <c r="E31" s="49">
        <v>2027760</v>
      </c>
      <c r="F31" s="49">
        <v>9794030.2266055066</v>
      </c>
      <c r="G31" s="48">
        <f t="shared" si="0"/>
        <v>3.8299750594772095</v>
      </c>
      <c r="H31" s="207">
        <f t="shared" si="1"/>
        <v>6.1036634017814515E-3</v>
      </c>
      <c r="I31" s="206">
        <f>B31/$B$3</f>
        <v>1.1143782104675174E-3</v>
      </c>
      <c r="J31" s="205">
        <v>170.64958167345904</v>
      </c>
      <c r="K31" s="205">
        <v>102.38974900407543</v>
      </c>
      <c r="L31" s="205">
        <v>109.21573227101378</v>
      </c>
      <c r="M31" s="154">
        <v>382.25506294854824</v>
      </c>
      <c r="N31" s="45">
        <f t="shared" si="2"/>
        <v>231.93920926769516</v>
      </c>
      <c r="O31" s="45">
        <f t="shared" si="3"/>
        <v>150.1501196838237</v>
      </c>
      <c r="P31" s="45">
        <f t="shared" si="4"/>
        <v>164.79891184809918</v>
      </c>
      <c r="Q31" s="45">
        <f t="shared" si="5"/>
        <v>546.88824079961796</v>
      </c>
      <c r="R31" s="153">
        <f>Q31/M31-1</f>
        <v>0.43068933235615359</v>
      </c>
      <c r="S31">
        <v>0</v>
      </c>
      <c r="T31">
        <v>136.74</v>
      </c>
      <c r="U31">
        <v>109.78749999999999</v>
      </c>
      <c r="V31">
        <f t="shared" si="13"/>
        <v>246.5275</v>
      </c>
      <c r="W31" s="152">
        <f t="shared" si="7"/>
        <v>1.2183660678813435</v>
      </c>
    </row>
    <row r="32" spans="1:23" ht="16.2" customHeight="1" x14ac:dyDescent="0.3">
      <c r="A32" s="52" t="s">
        <v>307</v>
      </c>
      <c r="B32" s="157">
        <v>0</v>
      </c>
      <c r="C32" s="5">
        <v>222.65908455000002</v>
      </c>
      <c r="D32" s="50">
        <f>IFERROR((C32-B32)/B32,100%)</f>
        <v>1</v>
      </c>
      <c r="E32" s="49">
        <v>0</v>
      </c>
      <c r="F32" s="49">
        <v>9447741.2862385344</v>
      </c>
      <c r="G32" s="48">
        <f t="shared" si="0"/>
        <v>1</v>
      </c>
      <c r="H32" s="207">
        <f t="shared" si="1"/>
        <v>6.1036634017814515E-3</v>
      </c>
      <c r="I32" s="206">
        <f>B32/$B$3</f>
        <v>0</v>
      </c>
      <c r="J32" s="205">
        <v>170.64958167345904</v>
      </c>
      <c r="K32" s="205">
        <v>102.38974900407543</v>
      </c>
      <c r="L32" s="205">
        <v>109.21573227101378</v>
      </c>
      <c r="M32" s="154">
        <v>382.25506294854824</v>
      </c>
      <c r="N32" s="45">
        <f t="shared" si="2"/>
        <v>231.93920926769516</v>
      </c>
      <c r="O32" s="45">
        <f t="shared" si="3"/>
        <v>150.1501196838237</v>
      </c>
      <c r="P32" s="45">
        <f t="shared" si="4"/>
        <v>164.79891184809918</v>
      </c>
      <c r="Q32" s="45">
        <f t="shared" si="5"/>
        <v>546.88824079961796</v>
      </c>
      <c r="R32" s="153">
        <f>Q32/M32-1</f>
        <v>0.43068933235615359</v>
      </c>
      <c r="S32">
        <v>0</v>
      </c>
      <c r="T32">
        <v>153.83000000000001</v>
      </c>
      <c r="U32">
        <v>123.51</v>
      </c>
      <c r="V32">
        <f t="shared" si="13"/>
        <v>277.34000000000003</v>
      </c>
      <c r="W32" s="152">
        <f t="shared" si="7"/>
        <v>0.97190538977290653</v>
      </c>
    </row>
    <row r="33" spans="1:23" ht="16.2" customHeight="1" x14ac:dyDescent="0.3">
      <c r="A33" s="52" t="s">
        <v>306</v>
      </c>
      <c r="B33" s="157">
        <v>0</v>
      </c>
      <c r="C33" s="5">
        <v>59.592067500000006</v>
      </c>
      <c r="D33" s="50">
        <f>IFERROR((C33-B33)/B33,100%)</f>
        <v>1</v>
      </c>
      <c r="E33" s="49">
        <v>1261740</v>
      </c>
      <c r="F33" s="49">
        <v>2373149.4868421052</v>
      </c>
      <c r="G33" s="48">
        <f t="shared" si="0"/>
        <v>0.88085460304191443</v>
      </c>
      <c r="H33" s="207">
        <f t="shared" si="1"/>
        <v>1.6335732367325044E-3</v>
      </c>
      <c r="I33" s="206">
        <f>B33/$B$3</f>
        <v>0</v>
      </c>
      <c r="J33" s="205">
        <v>85.32479083672952</v>
      </c>
      <c r="K33" s="205">
        <v>51.194874502037713</v>
      </c>
      <c r="L33" s="205">
        <v>54.607866135506889</v>
      </c>
      <c r="M33" s="154">
        <v>191.12753147427412</v>
      </c>
      <c r="N33" s="45">
        <f t="shared" si="2"/>
        <v>62.075782995835169</v>
      </c>
      <c r="O33" s="45">
        <f t="shared" si="3"/>
        <v>40.185901623619607</v>
      </c>
      <c r="P33" s="45">
        <f t="shared" si="4"/>
        <v>44.106477391777617</v>
      </c>
      <c r="Q33" s="45">
        <f t="shared" si="5"/>
        <v>146.36816201123239</v>
      </c>
      <c r="R33" s="153">
        <f>Q33/M33-1</f>
        <v>-0.23418588163509224</v>
      </c>
      <c r="S33">
        <v>0</v>
      </c>
      <c r="T33">
        <v>78.34</v>
      </c>
      <c r="U33">
        <v>7.4550000000000001</v>
      </c>
      <c r="V33">
        <f t="shared" si="13"/>
        <v>85.795000000000002</v>
      </c>
      <c r="W33" s="152">
        <f t="shared" si="7"/>
        <v>0.70602205269808704</v>
      </c>
    </row>
    <row r="34" spans="1:23" ht="16.2" customHeight="1" x14ac:dyDescent="0.3">
      <c r="A34" s="52" t="s">
        <v>305</v>
      </c>
      <c r="B34" s="157">
        <v>319.36200000000002</v>
      </c>
      <c r="C34" s="5">
        <v>66.662557500000005</v>
      </c>
      <c r="D34" s="50">
        <f>IFERROR((C34-B34)/B34,100%)</f>
        <v>-0.79126333909482038</v>
      </c>
      <c r="E34" s="49">
        <v>13171000.92</v>
      </c>
      <c r="F34" s="49">
        <v>2638335.6631578947</v>
      </c>
      <c r="G34" s="48">
        <f t="shared" si="0"/>
        <v>-0.7996860163336853</v>
      </c>
      <c r="H34" s="207">
        <f t="shared" si="1"/>
        <v>1.8273937185371474E-3</v>
      </c>
      <c r="I34" s="206">
        <f>B34/$B$3</f>
        <v>5.7857858833824686E-3</v>
      </c>
      <c r="J34" s="205">
        <v>94.805323151921669</v>
      </c>
      <c r="K34" s="205">
        <v>56.883193891153006</v>
      </c>
      <c r="L34" s="205">
        <v>60.67540681722987</v>
      </c>
      <c r="M34" s="154">
        <v>212.36392386030457</v>
      </c>
      <c r="N34" s="45">
        <f t="shared" si="2"/>
        <v>69.440961304411601</v>
      </c>
      <c r="O34" s="45">
        <f t="shared" si="3"/>
        <v>44.953885476013824</v>
      </c>
      <c r="P34" s="45">
        <f t="shared" si="4"/>
        <v>49.339630400502976</v>
      </c>
      <c r="Q34" s="45">
        <f t="shared" si="5"/>
        <v>163.73447718092839</v>
      </c>
      <c r="R34" s="153">
        <f>Q34/M34-1</f>
        <v>-0.22899109130873463</v>
      </c>
      <c r="S34">
        <v>469.55050000000006</v>
      </c>
      <c r="T34">
        <v>90.97</v>
      </c>
      <c r="U34">
        <v>8.6575000000000006</v>
      </c>
      <c r="V34">
        <f t="shared" si="13"/>
        <v>569.17800000000011</v>
      </c>
      <c r="W34" s="152">
        <f t="shared" si="7"/>
        <v>-0.71233168326792617</v>
      </c>
    </row>
    <row r="35" spans="1:23" ht="16.2" customHeight="1" thickBot="1" x14ac:dyDescent="0.35">
      <c r="A35" s="51" t="s">
        <v>304</v>
      </c>
      <c r="B35" s="157">
        <v>0</v>
      </c>
      <c r="C35" s="5">
        <v>25.216694999999998</v>
      </c>
      <c r="D35" s="50">
        <f>IFERROR((C35-B35)/B35,100%)</f>
        <v>1</v>
      </c>
      <c r="E35" s="49">
        <v>4932628.2</v>
      </c>
      <c r="F35" s="49">
        <v>649509</v>
      </c>
      <c r="G35" s="48">
        <f t="shared" si="0"/>
        <v>-0.86832394949207803</v>
      </c>
      <c r="H35" s="207">
        <f t="shared" si="1"/>
        <v>6.9125505791263833E-4</v>
      </c>
      <c r="I35" s="206">
        <f>B35/$B$3</f>
        <v>0</v>
      </c>
      <c r="J35" s="205">
        <v>228.76441124271196</v>
      </c>
      <c r="K35" s="205">
        <v>137.25864674562717</v>
      </c>
      <c r="L35" s="205">
        <v>146.40922319533564</v>
      </c>
      <c r="M35" s="154">
        <v>512.43228118367483</v>
      </c>
      <c r="N35" s="45">
        <f t="shared" si="2"/>
        <v>26.267692200680255</v>
      </c>
      <c r="O35" s="45">
        <f t="shared" si="3"/>
        <v>17.004874424650904</v>
      </c>
      <c r="P35" s="45">
        <f t="shared" si="4"/>
        <v>18.663886563641235</v>
      </c>
      <c r="Q35" s="45">
        <f t="shared" si="5"/>
        <v>61.936453188972393</v>
      </c>
      <c r="R35" s="153">
        <f>Q35/M35-1</f>
        <v>-0.8791324132704823</v>
      </c>
      <c r="S35">
        <v>0</v>
      </c>
      <c r="T35">
        <v>83.39</v>
      </c>
      <c r="U35">
        <v>7.9375</v>
      </c>
      <c r="V35">
        <f t="shared" si="13"/>
        <v>91.327500000000001</v>
      </c>
      <c r="W35" s="152">
        <f t="shared" si="7"/>
        <v>-0.32182033682108463</v>
      </c>
    </row>
    <row r="36" spans="1:23" ht="16.2" thickBot="1" x14ac:dyDescent="0.35">
      <c r="A36" s="43" t="s">
        <v>303</v>
      </c>
      <c r="B36" s="42">
        <v>2602.9884900000002</v>
      </c>
      <c r="C36" s="40">
        <v>1592.0866500000002</v>
      </c>
      <c r="D36" s="41">
        <f>IFERROR((C36-B36)/B36,100%)</f>
        <v>-0.38836200923808156</v>
      </c>
      <c r="E36" s="40">
        <v>81239043.420000002</v>
      </c>
      <c r="F36" s="40">
        <v>68179822.200000018</v>
      </c>
      <c r="G36" s="39">
        <f t="shared" si="0"/>
        <v>-0.16075055380064918</v>
      </c>
      <c r="H36" s="150">
        <f t="shared" si="1"/>
        <v>4.3643227213070096E-2</v>
      </c>
      <c r="I36" s="150">
        <f>B36/$B$3</f>
        <v>4.7157564331539281E-2</v>
      </c>
      <c r="J36" s="204">
        <v>1574.9999999999998</v>
      </c>
      <c r="K36" s="36">
        <v>944.99999999999977</v>
      </c>
      <c r="L36" s="36">
        <v>1007.9999999999998</v>
      </c>
      <c r="M36" s="36">
        <v>3527.9999999999991</v>
      </c>
      <c r="N36" s="36">
        <f t="shared" si="2"/>
        <v>1658.4426340966636</v>
      </c>
      <c r="O36" s="36">
        <f t="shared" si="3"/>
        <v>1073.6233894415243</v>
      </c>
      <c r="P36" s="36">
        <f t="shared" si="4"/>
        <v>1178.3671347528925</v>
      </c>
      <c r="Q36" s="148">
        <f t="shared" si="5"/>
        <v>3910.4331582910804</v>
      </c>
      <c r="R36" s="41"/>
      <c r="S36" s="42">
        <f>SUM(S28:S35)</f>
        <v>1696.8127500000001</v>
      </c>
      <c r="T36" s="42">
        <f>SUM(T28:T35)</f>
        <v>1107.3400000000001</v>
      </c>
      <c r="U36" s="42">
        <f>SUM(U28:U35)</f>
        <v>710.22250000000008</v>
      </c>
      <c r="V36" s="147">
        <f>SUM(V28:V35)</f>
        <v>3514.3752500000005</v>
      </c>
      <c r="W36" s="146">
        <f t="shared" si="7"/>
        <v>0.11269653355630702</v>
      </c>
    </row>
    <row r="37" spans="1:23" ht="16.2" customHeight="1" thickBot="1" x14ac:dyDescent="0.35">
      <c r="A37" s="100" t="s">
        <v>302</v>
      </c>
      <c r="B37" s="34">
        <v>6296.2156080000004</v>
      </c>
      <c r="C37" s="32">
        <v>3742.9943281500005</v>
      </c>
      <c r="D37" s="33">
        <f>IFERROR((C37-B37)/B37,100%)</f>
        <v>-0.40551681181404675</v>
      </c>
      <c r="E37" s="32">
        <v>189299725.32000002</v>
      </c>
      <c r="F37" s="32">
        <v>179248595.40000001</v>
      </c>
      <c r="G37" s="31">
        <f t="shared" si="0"/>
        <v>-5.3096378787709141E-2</v>
      </c>
      <c r="H37" s="144">
        <f t="shared" si="1"/>
        <v>0.10260518918407054</v>
      </c>
      <c r="I37" s="144">
        <f>B37/$B$3</f>
        <v>0.11406665596877139</v>
      </c>
      <c r="J37" s="203">
        <v>4575</v>
      </c>
      <c r="K37" s="202">
        <v>2745</v>
      </c>
      <c r="L37" s="202">
        <v>2927.9999999999995</v>
      </c>
      <c r="M37" s="202">
        <v>10248</v>
      </c>
      <c r="N37" s="28">
        <f t="shared" si="2"/>
        <v>3898.9971889946805</v>
      </c>
      <c r="O37" s="28">
        <f t="shared" si="3"/>
        <v>2524.0876539281353</v>
      </c>
      <c r="P37" s="28">
        <f t="shared" si="4"/>
        <v>2770.3401079699047</v>
      </c>
      <c r="Q37" s="143">
        <f t="shared" si="5"/>
        <v>9193.4249508927205</v>
      </c>
      <c r="R37" s="142"/>
      <c r="S37" s="34">
        <f>S36+S27+S20+S12</f>
        <v>4279.4636</v>
      </c>
      <c r="T37" s="34">
        <f>T36+T27+T20+T12</f>
        <v>4219.96</v>
      </c>
      <c r="U37" s="34">
        <f>U36+U27+U20+U12</f>
        <v>2653.6550000000002</v>
      </c>
      <c r="V37" s="141">
        <f>V36+V27+V20+V12</f>
        <v>11153.078600000001</v>
      </c>
      <c r="W37" s="140">
        <f t="shared" si="7"/>
        <v>-0.17570517696407878</v>
      </c>
    </row>
    <row r="38" spans="1:23" ht="16.2" customHeight="1" x14ac:dyDescent="0.3">
      <c r="A38" s="53" t="s">
        <v>301</v>
      </c>
      <c r="B38" s="157">
        <v>665.365635</v>
      </c>
      <c r="C38" s="5">
        <v>65.532027749999997</v>
      </c>
      <c r="D38" s="50">
        <f>IFERROR((C38-B38)/B38,100%)</f>
        <v>-0.90150974997378697</v>
      </c>
      <c r="E38" s="49">
        <v>16427208.120000001</v>
      </c>
      <c r="F38" s="49">
        <v>2725436.6504716985</v>
      </c>
      <c r="G38" s="48">
        <f t="shared" si="0"/>
        <v>-0.83409008819012287</v>
      </c>
      <c r="H38" s="207">
        <f t="shared" si="1"/>
        <v>1.796402963887967E-3</v>
      </c>
      <c r="I38" s="206">
        <f>B38/$B$3</f>
        <v>1.2054230303764417E-2</v>
      </c>
      <c r="J38" s="205">
        <v>136.32180676918037</v>
      </c>
      <c r="K38" s="205">
        <v>81.79308406150821</v>
      </c>
      <c r="L38" s="205">
        <v>87.245956332275426</v>
      </c>
      <c r="M38" s="154">
        <v>305.36084716296398</v>
      </c>
      <c r="N38" s="45">
        <f t="shared" si="2"/>
        <v>68.263312627742749</v>
      </c>
      <c r="O38" s="45">
        <f t="shared" si="3"/>
        <v>44.19151291164399</v>
      </c>
      <c r="P38" s="45">
        <f t="shared" si="4"/>
        <v>48.502880024975106</v>
      </c>
      <c r="Q38" s="45">
        <f t="shared" si="5"/>
        <v>160.95770556436185</v>
      </c>
      <c r="R38" s="153">
        <f t="shared" ref="R38:R43" si="14">Q38/M38-1</f>
        <v>-0.47289344046631343</v>
      </c>
      <c r="S38">
        <v>398.53210000000001</v>
      </c>
      <c r="T38">
        <v>195.3</v>
      </c>
      <c r="U38">
        <v>59.752499999999998</v>
      </c>
      <c r="V38">
        <f t="shared" ref="V38:V43" si="15">SUM(S38:U38)</f>
        <v>653.58460000000014</v>
      </c>
      <c r="W38" s="152">
        <f t="shared" si="7"/>
        <v>-0.75373087804645056</v>
      </c>
    </row>
    <row r="39" spans="1:23" ht="16.2" customHeight="1" x14ac:dyDescent="0.3">
      <c r="A39" s="52" t="s">
        <v>300</v>
      </c>
      <c r="B39" s="157">
        <v>0</v>
      </c>
      <c r="C39" s="5">
        <v>71.604708000000016</v>
      </c>
      <c r="D39" s="50">
        <f>IFERROR((C39-B39)/B39,100%)</f>
        <v>1</v>
      </c>
      <c r="E39" s="49">
        <v>0</v>
      </c>
      <c r="F39" s="49">
        <v>2881363.294811321</v>
      </c>
      <c r="G39" s="48">
        <f t="shared" si="0"/>
        <v>1</v>
      </c>
      <c r="H39" s="207">
        <f t="shared" si="1"/>
        <v>1.9628708907078259E-3</v>
      </c>
      <c r="I39" s="206">
        <f>B39/$B$3</f>
        <v>0</v>
      </c>
      <c r="J39" s="205">
        <v>136.32180676918037</v>
      </c>
      <c r="K39" s="205">
        <v>81.79308406150821</v>
      </c>
      <c r="L39" s="205">
        <v>87.245956332275426</v>
      </c>
      <c r="M39" s="154">
        <v>305.36084716296398</v>
      </c>
      <c r="N39" s="45">
        <f t="shared" si="2"/>
        <v>74.589093846897384</v>
      </c>
      <c r="O39" s="45">
        <f t="shared" si="3"/>
        <v>48.286623911412519</v>
      </c>
      <c r="P39" s="45">
        <f t="shared" si="4"/>
        <v>52.997514049111295</v>
      </c>
      <c r="Q39" s="45">
        <f t="shared" si="5"/>
        <v>175.87323180742121</v>
      </c>
      <c r="R39" s="153">
        <f t="shared" si="14"/>
        <v>-0.42404786520138993</v>
      </c>
      <c r="S39">
        <v>0</v>
      </c>
      <c r="T39">
        <v>213.05</v>
      </c>
      <c r="U39">
        <v>65.185000000000002</v>
      </c>
      <c r="V39">
        <f t="shared" si="15"/>
        <v>278.23500000000001</v>
      </c>
      <c r="W39" s="152">
        <f t="shared" si="7"/>
        <v>-0.36789680734838826</v>
      </c>
    </row>
    <row r="40" spans="1:23" ht="16.2" customHeight="1" x14ac:dyDescent="0.3">
      <c r="A40" s="52" t="s">
        <v>299</v>
      </c>
      <c r="B40" s="157">
        <v>0</v>
      </c>
      <c r="C40" s="5">
        <v>71.604708000000016</v>
      </c>
      <c r="D40" s="50">
        <f>IFERROR((C40-B40)/B40,100%)</f>
        <v>1</v>
      </c>
      <c r="E40" s="49">
        <v>0</v>
      </c>
      <c r="F40" s="49">
        <v>2881363.294811321</v>
      </c>
      <c r="G40" s="48">
        <f t="shared" si="0"/>
        <v>1</v>
      </c>
      <c r="H40" s="207">
        <f t="shared" si="1"/>
        <v>1.9628708907078259E-3</v>
      </c>
      <c r="I40" s="206">
        <f>B40/$B$3</f>
        <v>0</v>
      </c>
      <c r="J40" s="205">
        <v>136.32180676918037</v>
      </c>
      <c r="K40" s="205">
        <v>81.79308406150821</v>
      </c>
      <c r="L40" s="205">
        <v>87.245956332275426</v>
      </c>
      <c r="M40" s="154">
        <v>305.36084716296398</v>
      </c>
      <c r="N40" s="45">
        <f t="shared" si="2"/>
        <v>74.589093846897384</v>
      </c>
      <c r="O40" s="45">
        <f t="shared" si="3"/>
        <v>48.286623911412519</v>
      </c>
      <c r="P40" s="45">
        <f t="shared" si="4"/>
        <v>52.997514049111295</v>
      </c>
      <c r="Q40" s="45">
        <f t="shared" si="5"/>
        <v>175.87323180742121</v>
      </c>
      <c r="R40" s="153">
        <f t="shared" si="14"/>
        <v>-0.42404786520138993</v>
      </c>
      <c r="S40">
        <v>0</v>
      </c>
      <c r="T40">
        <v>183.46</v>
      </c>
      <c r="U40">
        <v>56.13</v>
      </c>
      <c r="V40">
        <f t="shared" si="15"/>
        <v>239.59</v>
      </c>
      <c r="W40" s="152">
        <f t="shared" si="7"/>
        <v>-0.26594084975407484</v>
      </c>
    </row>
    <row r="41" spans="1:23" ht="16.2" customHeight="1" x14ac:dyDescent="0.3">
      <c r="A41" s="52" t="s">
        <v>298</v>
      </c>
      <c r="B41" s="157">
        <v>0</v>
      </c>
      <c r="C41" s="5">
        <v>69.580481249999991</v>
      </c>
      <c r="D41" s="50">
        <f>IFERROR((C41-B41)/B41,100%)</f>
        <v>1</v>
      </c>
      <c r="E41" s="49">
        <v>51000</v>
      </c>
      <c r="F41" s="49">
        <v>3121588.059905658</v>
      </c>
      <c r="G41" s="48">
        <f t="shared" si="0"/>
        <v>60.207609017758003</v>
      </c>
      <c r="H41" s="207">
        <f t="shared" si="1"/>
        <v>1.9073815817678723E-3</v>
      </c>
      <c r="I41" s="206">
        <f>B41/$B$3</f>
        <v>0</v>
      </c>
      <c r="J41" s="205">
        <v>136.32180676918037</v>
      </c>
      <c r="K41" s="205">
        <v>81.79308406150821</v>
      </c>
      <c r="L41" s="205">
        <v>87.245956332275426</v>
      </c>
      <c r="M41" s="154">
        <v>305.36084716296398</v>
      </c>
      <c r="N41" s="45">
        <f t="shared" si="2"/>
        <v>72.480500107179139</v>
      </c>
      <c r="O41" s="45">
        <f t="shared" si="3"/>
        <v>46.921586911489655</v>
      </c>
      <c r="P41" s="45">
        <f t="shared" si="4"/>
        <v>51.499302707732554</v>
      </c>
      <c r="Q41" s="45">
        <f t="shared" si="5"/>
        <v>170.90138972640136</v>
      </c>
      <c r="R41" s="153">
        <f t="shared" si="14"/>
        <v>-0.44032972362303124</v>
      </c>
      <c r="S41">
        <v>0</v>
      </c>
      <c r="T41">
        <v>143.19999999999999</v>
      </c>
      <c r="U41">
        <v>60.76</v>
      </c>
      <c r="V41">
        <f t="shared" si="15"/>
        <v>203.95999999999998</v>
      </c>
      <c r="W41" s="152">
        <f t="shared" si="7"/>
        <v>-0.16208379228083261</v>
      </c>
    </row>
    <row r="42" spans="1:23" ht="16.2" customHeight="1" x14ac:dyDescent="0.3">
      <c r="A42" s="52" t="s">
        <v>297</v>
      </c>
      <c r="B42" s="157">
        <v>0</v>
      </c>
      <c r="C42" s="5">
        <v>129.8466225</v>
      </c>
      <c r="D42" s="50">
        <f>IFERROR((C42-B42)/B42,100%)</f>
        <v>1</v>
      </c>
      <c r="E42" s="49">
        <v>0</v>
      </c>
      <c r="F42" s="49">
        <v>6386632.0978575936</v>
      </c>
      <c r="G42" s="48">
        <f t="shared" si="0"/>
        <v>1</v>
      </c>
      <c r="H42" s="207">
        <f t="shared" si="1"/>
        <v>3.5594329294936547E-3</v>
      </c>
      <c r="I42" s="206">
        <f>B42/$B$3</f>
        <v>0</v>
      </c>
      <c r="J42" s="205">
        <v>118.44353702895997</v>
      </c>
      <c r="K42" s="205">
        <v>71.066122217375977</v>
      </c>
      <c r="L42" s="205">
        <v>75.803863698534386</v>
      </c>
      <c r="M42" s="154">
        <v>265.31352294487033</v>
      </c>
      <c r="N42" s="45">
        <f t="shared" si="2"/>
        <v>135.25845132075889</v>
      </c>
      <c r="O42" s="45">
        <f t="shared" si="3"/>
        <v>87.5620500655439</v>
      </c>
      <c r="P42" s="45">
        <f t="shared" si="4"/>
        <v>96.104689096328684</v>
      </c>
      <c r="Q42" s="45">
        <f t="shared" si="5"/>
        <v>318.92519048263148</v>
      </c>
      <c r="R42" s="153">
        <f t="shared" si="14"/>
        <v>0.20206911032160679</v>
      </c>
      <c r="S42">
        <v>0</v>
      </c>
      <c r="T42">
        <v>37.15</v>
      </c>
      <c r="U42">
        <v>33.875</v>
      </c>
      <c r="V42">
        <f t="shared" si="15"/>
        <v>71.025000000000006</v>
      </c>
      <c r="W42" s="152">
        <f t="shared" si="7"/>
        <v>3.4903229916597178</v>
      </c>
    </row>
    <row r="43" spans="1:23" ht="16.2" customHeight="1" thickBot="1" x14ac:dyDescent="0.35">
      <c r="A43" s="51" t="s">
        <v>296</v>
      </c>
      <c r="B43" s="157">
        <v>430.63609500000007</v>
      </c>
      <c r="C43" s="5">
        <v>199.8523275</v>
      </c>
      <c r="D43" s="50">
        <f>IFERROR((C43-B43)/B43,100%)</f>
        <v>-0.53591366394867579</v>
      </c>
      <c r="E43" s="49">
        <v>10784664</v>
      </c>
      <c r="F43" s="49">
        <v>9902938.5421424098</v>
      </c>
      <c r="G43" s="48">
        <f t="shared" si="0"/>
        <v>-8.1757341522887522E-2</v>
      </c>
      <c r="H43" s="207">
        <f t="shared" si="1"/>
        <v>5.4784709978840636E-3</v>
      </c>
      <c r="I43" s="206">
        <f>B43/$B$3</f>
        <v>7.8017053980309232E-3</v>
      </c>
      <c r="J43" s="205">
        <v>197.2692358943186</v>
      </c>
      <c r="K43" s="205">
        <v>118.36154153659116</v>
      </c>
      <c r="L43" s="205">
        <v>126.25231097236392</v>
      </c>
      <c r="M43" s="154">
        <v>441.88308840327363</v>
      </c>
      <c r="N43" s="45">
        <f t="shared" si="2"/>
        <v>208.18189791959441</v>
      </c>
      <c r="O43" s="45">
        <f t="shared" si="3"/>
        <v>134.77038654794796</v>
      </c>
      <c r="P43" s="45">
        <f t="shared" si="4"/>
        <v>147.91871694286971</v>
      </c>
      <c r="Q43" s="45">
        <f t="shared" si="5"/>
        <v>490.87100141041208</v>
      </c>
      <c r="R43" s="153">
        <f t="shared" si="14"/>
        <v>0.1108617059416197</v>
      </c>
      <c r="S43">
        <v>181.22830000000002</v>
      </c>
      <c r="T43">
        <v>95.52</v>
      </c>
      <c r="U43">
        <v>87.107500000000002</v>
      </c>
      <c r="V43">
        <f t="shared" si="15"/>
        <v>363.85580000000004</v>
      </c>
      <c r="W43" s="152">
        <f t="shared" si="7"/>
        <v>0.34908115085814767</v>
      </c>
    </row>
    <row r="44" spans="1:23" ht="16.2" thickBot="1" x14ac:dyDescent="0.35">
      <c r="A44" s="43" t="s">
        <v>295</v>
      </c>
      <c r="B44" s="42">
        <v>1096.00173</v>
      </c>
      <c r="C44" s="40">
        <v>608.02087500000005</v>
      </c>
      <c r="D44" s="41">
        <f>IFERROR((C44-B44)/B44,100%)</f>
        <v>-0.44523730359440211</v>
      </c>
      <c r="E44" s="40">
        <v>27262872.120000001</v>
      </c>
      <c r="F44" s="40">
        <v>27899321.940000001</v>
      </c>
      <c r="G44" s="39">
        <f t="shared" si="0"/>
        <v>2.3344929220905589E-2</v>
      </c>
      <c r="H44" s="150">
        <f t="shared" si="1"/>
        <v>1.6667430254449209E-2</v>
      </c>
      <c r="I44" s="150">
        <f>B44/$B$3</f>
        <v>1.9855935701795339E-2</v>
      </c>
      <c r="J44" s="204">
        <v>724.67819323081972</v>
      </c>
      <c r="K44" s="36">
        <v>434.80691593849178</v>
      </c>
      <c r="L44" s="36">
        <v>463.79404366772451</v>
      </c>
      <c r="M44" s="36">
        <v>1623.279152837036</v>
      </c>
      <c r="N44" s="36">
        <f t="shared" si="2"/>
        <v>633.36234966906989</v>
      </c>
      <c r="O44" s="36">
        <f t="shared" si="3"/>
        <v>410.01878425945051</v>
      </c>
      <c r="P44" s="36">
        <f t="shared" si="4"/>
        <v>450.02061687012861</v>
      </c>
      <c r="Q44" s="148">
        <f t="shared" si="5"/>
        <v>1493.4017507986489</v>
      </c>
      <c r="R44" s="41"/>
      <c r="S44" s="42">
        <f>SUM(S38:S43)</f>
        <v>579.7604</v>
      </c>
      <c r="T44" s="42">
        <f>SUM(T38:T43)</f>
        <v>867.68</v>
      </c>
      <c r="U44" s="42">
        <f>SUM(U38:U43)</f>
        <v>362.81</v>
      </c>
      <c r="V44" s="147">
        <f>SUM(V38:V43)</f>
        <v>1810.2504000000004</v>
      </c>
      <c r="W44" s="146">
        <f t="shared" si="7"/>
        <v>-0.17503028818629257</v>
      </c>
    </row>
    <row r="45" spans="1:23" ht="16.2" customHeight="1" x14ac:dyDescent="0.3">
      <c r="A45" s="53" t="s">
        <v>294</v>
      </c>
      <c r="B45" s="157">
        <v>260.22500100000002</v>
      </c>
      <c r="C45" s="5">
        <v>148.26430500000001</v>
      </c>
      <c r="D45" s="50">
        <f>IFERROR((C45-B45)/B45,100%)</f>
        <v>-0.43024573184649545</v>
      </c>
      <c r="E45" s="49">
        <v>6076141.0200000005</v>
      </c>
      <c r="F45" s="49">
        <v>6384540.6000000006</v>
      </c>
      <c r="G45" s="48">
        <f t="shared" si="0"/>
        <v>5.0755829890202261E-2</v>
      </c>
      <c r="H45" s="207">
        <f t="shared" si="1"/>
        <v>4.0643094084753017E-3</v>
      </c>
      <c r="I45" s="206">
        <f>B45/$B$3</f>
        <v>4.7144185510141741E-3</v>
      </c>
      <c r="J45" s="205">
        <v>162</v>
      </c>
      <c r="K45" s="205">
        <v>97.2</v>
      </c>
      <c r="L45" s="205">
        <v>103.68</v>
      </c>
      <c r="M45" s="154">
        <v>362.88</v>
      </c>
      <c r="N45" s="45">
        <f t="shared" si="2"/>
        <v>154.44375752206147</v>
      </c>
      <c r="O45" s="45">
        <f t="shared" si="3"/>
        <v>99.982011448492415</v>
      </c>
      <c r="P45" s="45">
        <f t="shared" si="4"/>
        <v>109.73635402883315</v>
      </c>
      <c r="Q45" s="45">
        <f t="shared" si="5"/>
        <v>364.16212299938707</v>
      </c>
      <c r="R45" s="153">
        <f t="shared" ref="R45:R52" si="16">Q45/M45-1</f>
        <v>3.5331872778523454E-3</v>
      </c>
      <c r="S45">
        <v>230.42790000000002</v>
      </c>
      <c r="T45">
        <v>54.93</v>
      </c>
      <c r="U45">
        <v>79.432500000000005</v>
      </c>
      <c r="V45">
        <f t="shared" ref="V45:V52" si="17">SUM(S45:U45)</f>
        <v>364.79040000000003</v>
      </c>
      <c r="W45" s="152">
        <f t="shared" si="7"/>
        <v>-1.7222958735015176E-3</v>
      </c>
    </row>
    <row r="46" spans="1:23" ht="16.2" customHeight="1" x14ac:dyDescent="0.3">
      <c r="A46" s="52" t="s">
        <v>293</v>
      </c>
      <c r="B46" s="157">
        <v>0</v>
      </c>
      <c r="C46" s="5">
        <v>28.818719999999999</v>
      </c>
      <c r="D46" s="50">
        <f>IFERROR((C46-B46)/B46,100%)</f>
        <v>1</v>
      </c>
      <c r="E46" s="49">
        <v>0</v>
      </c>
      <c r="F46" s="49">
        <v>1189988.0750000002</v>
      </c>
      <c r="G46" s="48">
        <f t="shared" si="0"/>
        <v>1</v>
      </c>
      <c r="H46" s="207">
        <f t="shared" si="1"/>
        <v>7.8999591193723486E-4</v>
      </c>
      <c r="I46" s="206">
        <f>B46/$B$3</f>
        <v>0</v>
      </c>
      <c r="J46" s="205">
        <v>162</v>
      </c>
      <c r="K46" s="205">
        <v>97.2</v>
      </c>
      <c r="L46" s="205">
        <v>103.68</v>
      </c>
      <c r="M46" s="154">
        <v>362.88</v>
      </c>
      <c r="N46" s="45">
        <f t="shared" si="2"/>
        <v>30.019844653614925</v>
      </c>
      <c r="O46" s="45">
        <f t="shared" si="3"/>
        <v>19.433899433655977</v>
      </c>
      <c r="P46" s="45">
        <f t="shared" si="4"/>
        <v>21.329889622305341</v>
      </c>
      <c r="Q46" s="45">
        <f t="shared" si="5"/>
        <v>70.78363370957625</v>
      </c>
      <c r="R46" s="153">
        <f t="shared" si="16"/>
        <v>-0.80493928100315193</v>
      </c>
      <c r="S46">
        <v>0</v>
      </c>
      <c r="T46">
        <v>54.93</v>
      </c>
      <c r="U46">
        <v>55.037500000000001</v>
      </c>
      <c r="V46">
        <f t="shared" si="17"/>
        <v>109.9675</v>
      </c>
      <c r="W46" s="152">
        <f t="shared" si="7"/>
        <v>-0.35632224330300999</v>
      </c>
    </row>
    <row r="47" spans="1:23" ht="16.2" customHeight="1" x14ac:dyDescent="0.3">
      <c r="A47" s="52" t="s">
        <v>292</v>
      </c>
      <c r="B47" s="157">
        <v>444.16410000000002</v>
      </c>
      <c r="C47" s="5">
        <v>214.87126499999999</v>
      </c>
      <c r="D47" s="50">
        <f>IFERROR((C47-B47)/B47,100%)</f>
        <v>-0.51623450657088232</v>
      </c>
      <c r="E47" s="49">
        <v>14740199.775</v>
      </c>
      <c r="F47" s="49">
        <v>10645796.700000001</v>
      </c>
      <c r="G47" s="48">
        <f t="shared" si="0"/>
        <v>-0.27777120646249853</v>
      </c>
      <c r="H47" s="207">
        <f t="shared" si="1"/>
        <v>5.8901790552384784E-3</v>
      </c>
      <c r="I47" s="206">
        <f>B47/$B$3</f>
        <v>8.046788220531181E-3</v>
      </c>
      <c r="J47" s="205">
        <v>177</v>
      </c>
      <c r="K47" s="205">
        <v>106.2</v>
      </c>
      <c r="L47" s="205">
        <v>113.28</v>
      </c>
      <c r="M47" s="154">
        <v>396.48</v>
      </c>
      <c r="N47" s="45">
        <f t="shared" si="2"/>
        <v>223.82680409906217</v>
      </c>
      <c r="O47" s="45">
        <f t="shared" si="3"/>
        <v>144.89840475886658</v>
      </c>
      <c r="P47" s="45">
        <f t="shared" si="4"/>
        <v>159.03483449143891</v>
      </c>
      <c r="Q47" s="45">
        <f t="shared" si="5"/>
        <v>527.76004334936761</v>
      </c>
      <c r="R47" s="153">
        <f t="shared" si="16"/>
        <v>0.3311139107883565</v>
      </c>
      <c r="S47">
        <v>120.419</v>
      </c>
      <c r="T47">
        <v>47.09</v>
      </c>
      <c r="U47">
        <v>47.174999999999997</v>
      </c>
      <c r="V47">
        <f t="shared" si="17"/>
        <v>214.68400000000003</v>
      </c>
      <c r="W47" s="152">
        <f t="shared" si="7"/>
        <v>1.4583110215450035</v>
      </c>
    </row>
    <row r="48" spans="1:23" ht="16.2" customHeight="1" x14ac:dyDescent="0.3">
      <c r="A48" s="52" t="s">
        <v>291</v>
      </c>
      <c r="B48" s="157">
        <v>0</v>
      </c>
      <c r="C48" s="5">
        <v>40.47645</v>
      </c>
      <c r="D48" s="50">
        <f>IFERROR((C48-B48)/B48,100%)</f>
        <v>1</v>
      </c>
      <c r="E48" s="49">
        <v>0</v>
      </c>
      <c r="F48" s="49">
        <v>2224203.6782833254</v>
      </c>
      <c r="G48" s="48">
        <f t="shared" si="0"/>
        <v>1</v>
      </c>
      <c r="H48" s="207">
        <f t="shared" si="1"/>
        <v>1.1095645479650689E-3</v>
      </c>
      <c r="I48" s="206">
        <f>B48/$B$3</f>
        <v>0</v>
      </c>
      <c r="J48" s="205">
        <v>89.999999999999986</v>
      </c>
      <c r="K48" s="205">
        <v>53.999999999999993</v>
      </c>
      <c r="L48" s="205">
        <v>57.599999999999994</v>
      </c>
      <c r="M48" s="154">
        <v>201.59999999999997</v>
      </c>
      <c r="N48" s="45">
        <f t="shared" si="2"/>
        <v>42.163452822672618</v>
      </c>
      <c r="O48" s="45">
        <f t="shared" si="3"/>
        <v>27.295287879940695</v>
      </c>
      <c r="P48" s="45">
        <f t="shared" si="4"/>
        <v>29.958242795056861</v>
      </c>
      <c r="Q48" s="45">
        <f t="shared" si="5"/>
        <v>99.416983497670174</v>
      </c>
      <c r="R48" s="153">
        <f t="shared" si="16"/>
        <v>-0.50686020090441375</v>
      </c>
      <c r="S48">
        <v>0</v>
      </c>
      <c r="T48">
        <v>110.09</v>
      </c>
      <c r="U48">
        <v>55.237499999999997</v>
      </c>
      <c r="V48">
        <f t="shared" si="17"/>
        <v>165.32749999999999</v>
      </c>
      <c r="W48" s="152">
        <f t="shared" si="7"/>
        <v>-0.39866638340463517</v>
      </c>
    </row>
    <row r="49" spans="1:23" ht="16.2" customHeight="1" x14ac:dyDescent="0.3">
      <c r="A49" s="52" t="s">
        <v>290</v>
      </c>
      <c r="B49" s="157">
        <v>292.94323500000002</v>
      </c>
      <c r="C49" s="5">
        <v>60.714675</v>
      </c>
      <c r="D49" s="50">
        <f>IFERROR((C49-B49)/B49,100%)</f>
        <v>-0.79274252569785408</v>
      </c>
      <c r="E49" s="49">
        <v>7107460.9800000004</v>
      </c>
      <c r="F49" s="49">
        <v>4317893.7717166748</v>
      </c>
      <c r="G49" s="48">
        <f t="shared" si="0"/>
        <v>-0.39248435075943611</v>
      </c>
      <c r="H49" s="207">
        <f t="shared" si="1"/>
        <v>1.6643468219476034E-3</v>
      </c>
      <c r="I49" s="206">
        <f>B49/$B$3</f>
        <v>5.307165015547852E-3</v>
      </c>
      <c r="J49" s="205">
        <v>138</v>
      </c>
      <c r="K49" s="205">
        <v>82.8</v>
      </c>
      <c r="L49" s="205">
        <v>88.320000000000007</v>
      </c>
      <c r="M49" s="154">
        <v>309.12</v>
      </c>
      <c r="N49" s="45">
        <f t="shared" si="2"/>
        <v>63.24517923400893</v>
      </c>
      <c r="O49" s="45">
        <f t="shared" si="3"/>
        <v>40.942931819911045</v>
      </c>
      <c r="P49" s="45">
        <f t="shared" si="4"/>
        <v>44.937364192585292</v>
      </c>
      <c r="Q49" s="45">
        <f t="shared" si="5"/>
        <v>149.12547524650529</v>
      </c>
      <c r="R49" s="153">
        <f t="shared" si="16"/>
        <v>-0.51758063131953524</v>
      </c>
      <c r="S49">
        <v>241.29599999999999</v>
      </c>
      <c r="T49">
        <v>179.63</v>
      </c>
      <c r="U49">
        <v>90.125</v>
      </c>
      <c r="V49">
        <f t="shared" si="17"/>
        <v>511.05099999999999</v>
      </c>
      <c r="W49" s="152">
        <f t="shared" si="7"/>
        <v>-0.70819844742206695</v>
      </c>
    </row>
    <row r="50" spans="1:23" ht="16.2" customHeight="1" x14ac:dyDescent="0.3">
      <c r="A50" s="52" t="s">
        <v>289</v>
      </c>
      <c r="B50" s="157">
        <v>0</v>
      </c>
      <c r="C50" s="5">
        <v>57.354196200000011</v>
      </c>
      <c r="D50" s="50">
        <f>IFERROR((C50-B50)/B50,100%)</f>
        <v>1</v>
      </c>
      <c r="E50" s="49">
        <v>0</v>
      </c>
      <c r="F50" s="49">
        <v>1787024.0769230772</v>
      </c>
      <c r="G50" s="48">
        <f t="shared" si="0"/>
        <v>1</v>
      </c>
      <c r="H50" s="207">
        <f t="shared" si="1"/>
        <v>1.5722273761793063E-3</v>
      </c>
      <c r="I50" s="206">
        <f>B50/$B$3</f>
        <v>0</v>
      </c>
      <c r="J50" s="205">
        <v>108</v>
      </c>
      <c r="K50" s="205">
        <v>64.8</v>
      </c>
      <c r="L50" s="205">
        <v>69.12</v>
      </c>
      <c r="M50" s="154">
        <v>241.92000000000002</v>
      </c>
      <c r="N50" s="45">
        <f t="shared" si="2"/>
        <v>59.744640294813635</v>
      </c>
      <c r="O50" s="45">
        <f t="shared" si="3"/>
        <v>38.676793454010934</v>
      </c>
      <c r="P50" s="45">
        <f t="shared" si="4"/>
        <v>42.450139156841267</v>
      </c>
      <c r="Q50" s="45">
        <f t="shared" si="5"/>
        <v>140.87157290566583</v>
      </c>
      <c r="R50" s="153">
        <f t="shared" si="16"/>
        <v>-0.41769356437803484</v>
      </c>
      <c r="S50">
        <v>0</v>
      </c>
      <c r="T50">
        <v>142.04</v>
      </c>
      <c r="U50">
        <v>50.784999999999997</v>
      </c>
      <c r="V50">
        <f t="shared" si="17"/>
        <v>192.82499999999999</v>
      </c>
      <c r="W50" s="152">
        <f t="shared" si="7"/>
        <v>-0.26943304599680623</v>
      </c>
    </row>
    <row r="51" spans="1:23" ht="16.2" customHeight="1" x14ac:dyDescent="0.3">
      <c r="A51" s="52" t="s">
        <v>288</v>
      </c>
      <c r="B51" s="157">
        <v>0</v>
      </c>
      <c r="C51" s="5">
        <v>69.025011300000003</v>
      </c>
      <c r="D51" s="50">
        <f>IFERROR((C51-B51)/B51,100%)</f>
        <v>1</v>
      </c>
      <c r="E51" s="49">
        <v>1020000</v>
      </c>
      <c r="F51" s="49">
        <v>5483774.4230769239</v>
      </c>
      <c r="G51" s="48">
        <f t="shared" si="0"/>
        <v>4.3762494343891412</v>
      </c>
      <c r="H51" s="207">
        <f t="shared" si="1"/>
        <v>1.8921547087594954E-3</v>
      </c>
      <c r="I51" s="206">
        <f>B51/$B$3</f>
        <v>0</v>
      </c>
      <c r="J51" s="205">
        <v>162</v>
      </c>
      <c r="K51" s="205">
        <v>97.2</v>
      </c>
      <c r="L51" s="205">
        <v>103.68</v>
      </c>
      <c r="M51" s="154">
        <v>362.88</v>
      </c>
      <c r="N51" s="45">
        <f t="shared" si="2"/>
        <v>71.901878932860825</v>
      </c>
      <c r="O51" s="45">
        <f t="shared" si="3"/>
        <v>46.547005835483588</v>
      </c>
      <c r="P51" s="45">
        <f t="shared" si="4"/>
        <v>51.088177136506374</v>
      </c>
      <c r="Q51" s="45">
        <f t="shared" si="5"/>
        <v>169.53706190485079</v>
      </c>
      <c r="R51" s="153">
        <f t="shared" si="16"/>
        <v>-0.53280130647913693</v>
      </c>
      <c r="S51">
        <v>0</v>
      </c>
      <c r="T51">
        <v>203.59</v>
      </c>
      <c r="U51">
        <v>72.790000000000006</v>
      </c>
      <c r="V51">
        <f t="shared" si="17"/>
        <v>276.38</v>
      </c>
      <c r="W51" s="152">
        <f t="shared" si="7"/>
        <v>-0.38657984693230046</v>
      </c>
    </row>
    <row r="52" spans="1:23" ht="16.2" customHeight="1" thickBot="1" x14ac:dyDescent="0.35">
      <c r="A52" s="51" t="s">
        <v>287</v>
      </c>
      <c r="B52" s="157">
        <v>493.81158000000005</v>
      </c>
      <c r="C52" s="5">
        <v>12.65775</v>
      </c>
      <c r="D52" s="50">
        <f>IFERROR((C52-B52)/B52,100%)</f>
        <v>-0.97436724752384296</v>
      </c>
      <c r="E52" s="49">
        <v>9960168.4199999999</v>
      </c>
      <c r="F52" s="49">
        <v>490140</v>
      </c>
      <c r="G52" s="48">
        <f t="shared" si="0"/>
        <v>-0.95078998875000953</v>
      </c>
      <c r="H52" s="207">
        <f t="shared" si="1"/>
        <v>3.4698177970164998E-4</v>
      </c>
      <c r="I52" s="206">
        <f>B52/$B$3</f>
        <v>8.9462367739893689E-3</v>
      </c>
      <c r="J52" s="205">
        <v>126</v>
      </c>
      <c r="K52" s="205">
        <v>75.600000000000009</v>
      </c>
      <c r="L52" s="205">
        <v>80.64</v>
      </c>
      <c r="M52" s="154">
        <v>282.24</v>
      </c>
      <c r="N52" s="45">
        <f t="shared" si="2"/>
        <v>13.185307628662699</v>
      </c>
      <c r="O52" s="45">
        <f t="shared" si="3"/>
        <v>8.5357517806605898</v>
      </c>
      <c r="P52" s="45">
        <f t="shared" si="4"/>
        <v>9.3685080519445503</v>
      </c>
      <c r="Q52" s="45">
        <f t="shared" si="5"/>
        <v>31.089567461267841</v>
      </c>
      <c r="R52" s="153">
        <f t="shared" si="16"/>
        <v>-0.88984705406296827</v>
      </c>
      <c r="S52">
        <v>133.19549999999998</v>
      </c>
      <c r="T52">
        <v>127.83</v>
      </c>
      <c r="U52">
        <v>45.704999999999998</v>
      </c>
      <c r="V52">
        <f t="shared" si="17"/>
        <v>306.73049999999995</v>
      </c>
      <c r="W52" s="152">
        <f t="shared" si="7"/>
        <v>-0.89864207354251413</v>
      </c>
    </row>
    <row r="53" spans="1:23" ht="16.2" thickBot="1" x14ac:dyDescent="0.35">
      <c r="A53" s="43" t="s">
        <v>286</v>
      </c>
      <c r="B53" s="42">
        <v>1491.143916</v>
      </c>
      <c r="C53" s="40">
        <v>632.18237249999993</v>
      </c>
      <c r="D53" s="41">
        <f>IFERROR((C53-B53)/B53,100%)</f>
        <v>-0.5760420133049049</v>
      </c>
      <c r="E53" s="40">
        <v>38903970.195</v>
      </c>
      <c r="F53" s="40">
        <v>32523361.325000003</v>
      </c>
      <c r="G53" s="39">
        <f t="shared" si="0"/>
        <v>-0.16400919592571669</v>
      </c>
      <c r="H53" s="150">
        <f t="shared" si="1"/>
        <v>1.7329759610204137E-2</v>
      </c>
      <c r="I53" s="150">
        <f>B53/$B$3</f>
        <v>2.7014608561082572E-2</v>
      </c>
      <c r="J53" s="204">
        <v>1125</v>
      </c>
      <c r="K53" s="36">
        <v>675.00000000000011</v>
      </c>
      <c r="L53" s="36">
        <v>720.00000000000011</v>
      </c>
      <c r="M53" s="36">
        <v>2520</v>
      </c>
      <c r="N53" s="36">
        <f t="shared" si="2"/>
        <v>658.53086518775717</v>
      </c>
      <c r="O53" s="36">
        <f t="shared" si="3"/>
        <v>426.31208641102177</v>
      </c>
      <c r="P53" s="36">
        <f t="shared" si="4"/>
        <v>467.90350947551173</v>
      </c>
      <c r="Q53" s="148">
        <f t="shared" si="5"/>
        <v>1552.7464610742907</v>
      </c>
      <c r="R53" s="41"/>
      <c r="S53" s="42">
        <f>SUM(S45:S52)</f>
        <v>725.33840000000009</v>
      </c>
      <c r="T53" s="42">
        <f>SUM(T45:T52)</f>
        <v>920.13</v>
      </c>
      <c r="U53" s="42">
        <f>SUM(U45:U52)</f>
        <v>496.28750000000002</v>
      </c>
      <c r="V53" s="147">
        <f>SUM(V45:V52)</f>
        <v>2141.7559000000001</v>
      </c>
      <c r="W53" s="146">
        <f t="shared" si="7"/>
        <v>-0.27501240403993255</v>
      </c>
    </row>
    <row r="54" spans="1:23" ht="16.2" customHeight="1" x14ac:dyDescent="0.3">
      <c r="A54" s="53" t="s">
        <v>285</v>
      </c>
      <c r="B54" s="157">
        <v>735.45161999999993</v>
      </c>
      <c r="C54" s="5">
        <v>12.652500000000002</v>
      </c>
      <c r="D54" s="50">
        <f>IFERROR((C54-B54)/B54,100%)</f>
        <v>-0.98279628509078543</v>
      </c>
      <c r="E54" s="49">
        <v>21112923.899999999</v>
      </c>
      <c r="F54" s="49">
        <v>8916810</v>
      </c>
      <c r="G54" s="48">
        <f t="shared" si="0"/>
        <v>-0.57766105527430045</v>
      </c>
      <c r="H54" s="207">
        <f t="shared" si="1"/>
        <v>3.4683786357568504E-4</v>
      </c>
      <c r="I54" s="206">
        <f>B54/$B$3</f>
        <v>1.3323957142386279E-2</v>
      </c>
      <c r="J54" s="205">
        <v>351.36258952231771</v>
      </c>
      <c r="K54" s="205">
        <v>210.81755371339062</v>
      </c>
      <c r="L54" s="205">
        <v>224.87205729428331</v>
      </c>
      <c r="M54" s="154">
        <v>787.05220052999164</v>
      </c>
      <c r="N54" s="45">
        <f t="shared" si="2"/>
        <v>13.179838815876032</v>
      </c>
      <c r="O54" s="45">
        <f t="shared" si="3"/>
        <v>8.5322114439618524</v>
      </c>
      <c r="P54" s="45">
        <f t="shared" si="4"/>
        <v>9.3646223165434961</v>
      </c>
      <c r="Q54" s="45">
        <f t="shared" si="5"/>
        <v>31.07667257638138</v>
      </c>
      <c r="R54" s="153">
        <f t="shared" ref="R54:R61" si="18">Q54/M54-1</f>
        <v>-0.96051510617027092</v>
      </c>
      <c r="S54">
        <v>456.45650000000001</v>
      </c>
      <c r="T54">
        <v>168.08</v>
      </c>
      <c r="U54">
        <v>252.38249999999999</v>
      </c>
      <c r="V54">
        <f t="shared" ref="V54:V60" si="19">SUM(S54:U54)</f>
        <v>876.9190000000001</v>
      </c>
      <c r="W54" s="152">
        <f t="shared" si="7"/>
        <v>-0.9645615244094593</v>
      </c>
    </row>
    <row r="55" spans="1:23" ht="16.2" customHeight="1" x14ac:dyDescent="0.3">
      <c r="A55" s="52" t="s">
        <v>284</v>
      </c>
      <c r="B55" s="157">
        <v>0</v>
      </c>
      <c r="C55" s="5">
        <v>118.66498875000001</v>
      </c>
      <c r="D55" s="50">
        <f>IFERROR((C55-B55)/B55,100%)</f>
        <v>1</v>
      </c>
      <c r="E55" s="49">
        <v>0</v>
      </c>
      <c r="F55" s="49">
        <v>6109596.3369258223</v>
      </c>
      <c r="G55" s="48">
        <f t="shared" si="0"/>
        <v>1</v>
      </c>
      <c r="H55" s="207">
        <f t="shared" si="1"/>
        <v>3.2529153273489582E-3</v>
      </c>
      <c r="I55" s="206">
        <f>B55/$B$3</f>
        <v>0</v>
      </c>
      <c r="J55" s="205">
        <v>210.81755371339065</v>
      </c>
      <c r="K55" s="205">
        <v>126.4905322280344</v>
      </c>
      <c r="L55" s="205">
        <v>134.92323437657001</v>
      </c>
      <c r="M55" s="154">
        <v>472.23132031799503</v>
      </c>
      <c r="N55" s="45">
        <f t="shared" si="2"/>
        <v>123.6107824392604</v>
      </c>
      <c r="O55" s="45">
        <f t="shared" si="3"/>
        <v>80.021717052784368</v>
      </c>
      <c r="P55" s="45">
        <f t="shared" si="4"/>
        <v>87.828713838421876</v>
      </c>
      <c r="Q55" s="45">
        <f t="shared" si="5"/>
        <v>291.46121333046665</v>
      </c>
      <c r="R55" s="153">
        <f t="shared" si="18"/>
        <v>-0.38279991014954262</v>
      </c>
      <c r="S55">
        <v>0</v>
      </c>
      <c r="T55">
        <v>79.55</v>
      </c>
      <c r="U55">
        <v>33.755000000000003</v>
      </c>
      <c r="V55">
        <f t="shared" si="19"/>
        <v>113.30500000000001</v>
      </c>
      <c r="W55" s="152">
        <f t="shared" si="7"/>
        <v>1.5723596781295321</v>
      </c>
    </row>
    <row r="56" spans="1:23" ht="16.2" customHeight="1" x14ac:dyDescent="0.3">
      <c r="A56" s="52" t="s">
        <v>283</v>
      </c>
      <c r="B56" s="157">
        <v>0</v>
      </c>
      <c r="C56" s="5">
        <v>166.92505514999999</v>
      </c>
      <c r="D56" s="50">
        <f>IFERROR((C56-B56)/B56,100%)</f>
        <v>1</v>
      </c>
      <c r="E56" s="49">
        <v>51000</v>
      </c>
      <c r="F56" s="49">
        <v>6171070.4643645557</v>
      </c>
      <c r="G56" s="48">
        <f t="shared" si="0"/>
        <v>120.00138165420698</v>
      </c>
      <c r="H56" s="207">
        <f t="shared" si="1"/>
        <v>4.5758490026065511E-3</v>
      </c>
      <c r="I56" s="206">
        <f>B56/$B$3</f>
        <v>0</v>
      </c>
      <c r="J56" s="205">
        <v>105.40877685669533</v>
      </c>
      <c r="K56" s="205">
        <v>63.245266114017198</v>
      </c>
      <c r="L56" s="205">
        <v>67.461617188285004</v>
      </c>
      <c r="M56" s="154">
        <v>236.11566015899751</v>
      </c>
      <c r="N56" s="45">
        <f t="shared" si="2"/>
        <v>173.88226209904894</v>
      </c>
      <c r="O56" s="45">
        <f t="shared" si="3"/>
        <v>112.56588546412115</v>
      </c>
      <c r="P56" s="45">
        <f t="shared" si="4"/>
        <v>123.54792307037688</v>
      </c>
      <c r="Q56" s="45">
        <f t="shared" si="5"/>
        <v>409.99607063354699</v>
      </c>
      <c r="R56" s="153">
        <f t="shared" si="18"/>
        <v>0.73642049137045995</v>
      </c>
      <c r="S56">
        <v>0</v>
      </c>
      <c r="T56">
        <v>119.33</v>
      </c>
      <c r="U56">
        <v>50.6325</v>
      </c>
      <c r="V56">
        <f t="shared" si="19"/>
        <v>169.96250000000001</v>
      </c>
      <c r="W56" s="152">
        <f t="shared" si="7"/>
        <v>1.4122737111630328</v>
      </c>
    </row>
    <row r="57" spans="1:23" ht="16.2" customHeight="1" x14ac:dyDescent="0.3">
      <c r="A57" s="52" t="s">
        <v>282</v>
      </c>
      <c r="B57" s="157">
        <v>2040.0941970000001</v>
      </c>
      <c r="C57" s="5">
        <v>217.68783225000001</v>
      </c>
      <c r="D57" s="50">
        <f>IFERROR((C57-B57)/B57,100%)</f>
        <v>-0.89329520540271412</v>
      </c>
      <c r="E57" s="49">
        <v>49388006.789999999</v>
      </c>
      <c r="F57" s="49">
        <v>12815232.919350211</v>
      </c>
      <c r="G57" s="48">
        <f t="shared" si="0"/>
        <v>-0.74051933349241739</v>
      </c>
      <c r="H57" s="207">
        <f t="shared" si="1"/>
        <v>5.9673884737413245E-3</v>
      </c>
      <c r="I57" s="206">
        <f>B57/$B$3</f>
        <v>3.6959776697832215E-2</v>
      </c>
      <c r="J57" s="205">
        <v>456.77136637901299</v>
      </c>
      <c r="K57" s="205">
        <v>274.06281982740779</v>
      </c>
      <c r="L57" s="205">
        <v>292.33367448256831</v>
      </c>
      <c r="M57" s="154">
        <v>1023.1678606889891</v>
      </c>
      <c r="N57" s="45">
        <f t="shared" si="2"/>
        <v>226.76076200217034</v>
      </c>
      <c r="O57" s="45">
        <f t="shared" si="3"/>
        <v>146.79775645403657</v>
      </c>
      <c r="P57" s="45">
        <f t="shared" si="4"/>
        <v>161.11948879101575</v>
      </c>
      <c r="Q57" s="45">
        <f t="shared" si="5"/>
        <v>534.67800724722269</v>
      </c>
      <c r="R57" s="153">
        <f t="shared" si="18"/>
        <v>-0.47742884839328625</v>
      </c>
      <c r="S57">
        <v>1108.23785</v>
      </c>
      <c r="T57">
        <v>135.24</v>
      </c>
      <c r="U57">
        <v>57.384999999999998</v>
      </c>
      <c r="V57">
        <f t="shared" si="19"/>
        <v>1300.86285</v>
      </c>
      <c r="W57" s="152">
        <f t="shared" si="7"/>
        <v>-0.5889820304675295</v>
      </c>
    </row>
    <row r="58" spans="1:23" ht="16.2" customHeight="1" x14ac:dyDescent="0.3">
      <c r="A58" s="52" t="s">
        <v>281</v>
      </c>
      <c r="B58" s="157">
        <v>0</v>
      </c>
      <c r="C58" s="5">
        <v>122.22934395</v>
      </c>
      <c r="D58" s="50">
        <f>IFERROR((C58-B58)/B58,100%)</f>
        <v>1</v>
      </c>
      <c r="E58" s="49">
        <v>0</v>
      </c>
      <c r="F58" s="49">
        <v>5831105.4526830493</v>
      </c>
      <c r="G58" s="48">
        <f t="shared" si="0"/>
        <v>1</v>
      </c>
      <c r="H58" s="207">
        <f t="shared" si="1"/>
        <v>3.3506235543865307E-3</v>
      </c>
      <c r="I58" s="206">
        <f>B58/$B$3</f>
        <v>0</v>
      </c>
      <c r="J58" s="205">
        <v>176.01206951808271</v>
      </c>
      <c r="K58" s="205">
        <v>105.60724171084964</v>
      </c>
      <c r="L58" s="205">
        <v>112.64772449157294</v>
      </c>
      <c r="M58" s="154">
        <v>394.26703572050531</v>
      </c>
      <c r="N58" s="45">
        <f t="shared" si="2"/>
        <v>127.32369506668816</v>
      </c>
      <c r="O58" s="45">
        <f t="shared" si="3"/>
        <v>82.425339437908647</v>
      </c>
      <c r="P58" s="45">
        <f t="shared" si="4"/>
        <v>90.466835968436328</v>
      </c>
      <c r="Q58" s="45">
        <f t="shared" si="5"/>
        <v>300.21587047303314</v>
      </c>
      <c r="R58" s="153">
        <f t="shared" si="18"/>
        <v>-0.23854686475524867</v>
      </c>
      <c r="S58">
        <v>0</v>
      </c>
      <c r="T58">
        <v>87.51</v>
      </c>
      <c r="U58">
        <v>37.1325</v>
      </c>
      <c r="V58">
        <f t="shared" si="19"/>
        <v>124.64250000000001</v>
      </c>
      <c r="W58" s="152">
        <f t="shared" si="7"/>
        <v>1.4086156044128857</v>
      </c>
    </row>
    <row r="59" spans="1:23" ht="16.2" customHeight="1" x14ac:dyDescent="0.3">
      <c r="A59" s="52" t="s">
        <v>280</v>
      </c>
      <c r="B59" s="157">
        <v>0</v>
      </c>
      <c r="C59" s="5">
        <v>157.81229730000004</v>
      </c>
      <c r="D59" s="50">
        <f>IFERROR((C59-B59)/B59,100%)</f>
        <v>1</v>
      </c>
      <c r="E59" s="49">
        <v>0</v>
      </c>
      <c r="F59" s="49">
        <v>7398771.6759234304</v>
      </c>
      <c r="G59" s="48">
        <f t="shared" si="0"/>
        <v>1</v>
      </c>
      <c r="H59" s="207">
        <f t="shared" si="1"/>
        <v>4.3260446584866908E-3</v>
      </c>
      <c r="I59" s="206">
        <f>B59/$B$3</f>
        <v>0</v>
      </c>
      <c r="J59" s="205">
        <v>211.5529681707724</v>
      </c>
      <c r="K59" s="205">
        <v>126.93178090246344</v>
      </c>
      <c r="L59" s="205">
        <v>135.39389962929434</v>
      </c>
      <c r="M59" s="154">
        <v>473.8786487025302</v>
      </c>
      <c r="N59" s="45">
        <f t="shared" si="2"/>
        <v>164.38969702249426</v>
      </c>
      <c r="O59" s="45">
        <f t="shared" si="3"/>
        <v>106.42069859877259</v>
      </c>
      <c r="P59" s="45">
        <f t="shared" si="4"/>
        <v>116.80320577914065</v>
      </c>
      <c r="Q59" s="45">
        <f t="shared" si="5"/>
        <v>387.61360140040745</v>
      </c>
      <c r="R59" s="153">
        <f t="shared" si="18"/>
        <v>-0.18204037581839705</v>
      </c>
      <c r="S59">
        <v>0</v>
      </c>
      <c r="T59">
        <v>103.42</v>
      </c>
      <c r="U59">
        <v>43.8825</v>
      </c>
      <c r="V59">
        <f t="shared" si="19"/>
        <v>147.30250000000001</v>
      </c>
      <c r="W59" s="152">
        <f t="shared" si="7"/>
        <v>1.631412239442015</v>
      </c>
    </row>
    <row r="60" spans="1:23" ht="16.2" customHeight="1" x14ac:dyDescent="0.3">
      <c r="A60" s="52" t="s">
        <v>279</v>
      </c>
      <c r="B60" s="157">
        <v>0</v>
      </c>
      <c r="C60" s="5">
        <v>168.68556075000001</v>
      </c>
      <c r="D60" s="50">
        <f>IFERROR((C60-B60)/B60,100%)</f>
        <v>1</v>
      </c>
      <c r="E60" s="49">
        <v>0</v>
      </c>
      <c r="F60" s="49">
        <v>8376671.0115159852</v>
      </c>
      <c r="G60" s="48">
        <f t="shared" si="0"/>
        <v>1</v>
      </c>
      <c r="H60" s="207">
        <f t="shared" si="1"/>
        <v>4.6241090303573542E-3</v>
      </c>
      <c r="I60" s="206">
        <f>B60/$B$3</f>
        <v>0</v>
      </c>
      <c r="J60" s="205">
        <v>210.81755371339065</v>
      </c>
      <c r="K60" s="205">
        <v>126.4905322280344</v>
      </c>
      <c r="L60" s="205">
        <v>134.92323437657001</v>
      </c>
      <c r="M60" s="154">
        <v>472.23132031799503</v>
      </c>
      <c r="N60" s="45">
        <f t="shared" si="2"/>
        <v>175.71614315357945</v>
      </c>
      <c r="O60" s="45">
        <f t="shared" si="3"/>
        <v>113.75308214679092</v>
      </c>
      <c r="P60" s="45">
        <f t="shared" si="4"/>
        <v>124.85094381964856</v>
      </c>
      <c r="Q60" s="45">
        <f t="shared" si="5"/>
        <v>414.32016912001893</v>
      </c>
      <c r="R60" s="153">
        <f t="shared" si="18"/>
        <v>-0.12263301629163315</v>
      </c>
      <c r="S60">
        <v>0</v>
      </c>
      <c r="T60">
        <v>127.29</v>
      </c>
      <c r="U60">
        <v>54.01</v>
      </c>
      <c r="V60">
        <f t="shared" si="19"/>
        <v>181.3</v>
      </c>
      <c r="W60" s="152">
        <f t="shared" si="7"/>
        <v>1.2852739609488082</v>
      </c>
    </row>
    <row r="61" spans="1:23" ht="16.2" customHeight="1" thickBot="1" x14ac:dyDescent="0.35">
      <c r="A61" s="160" t="s">
        <v>278</v>
      </c>
      <c r="B61" s="157">
        <v>0</v>
      </c>
      <c r="C61" s="5">
        <v>133.8542625</v>
      </c>
      <c r="D61" s="50">
        <f>IFERROR((C61-B61)/B61,100%)</f>
        <v>1</v>
      </c>
      <c r="E61" s="49">
        <v>0</v>
      </c>
      <c r="F61" s="49">
        <v>5114954.4892369546</v>
      </c>
      <c r="G61" s="48">
        <f t="shared" si="0"/>
        <v>1</v>
      </c>
      <c r="H61" s="207">
        <f t="shared" si="1"/>
        <v>3.6692927434103084E-3</v>
      </c>
      <c r="I61" s="206">
        <f>B61/$B$3</f>
        <v>0</v>
      </c>
      <c r="J61" s="205">
        <v>152.25712212633769</v>
      </c>
      <c r="K61" s="205">
        <v>91.354273275802612</v>
      </c>
      <c r="L61" s="205">
        <v>97.444558160856118</v>
      </c>
      <c r="M61" s="154">
        <v>341.05595356299642</v>
      </c>
      <c r="N61" s="45">
        <f t="shared" si="2"/>
        <v>139.43312424959171</v>
      </c>
      <c r="O61" s="45">
        <f t="shared" si="3"/>
        <v>90.264601487893586</v>
      </c>
      <c r="P61" s="45">
        <f t="shared" si="4"/>
        <v>99.070904072078321</v>
      </c>
      <c r="Q61" s="45">
        <f t="shared" si="5"/>
        <v>328.76862980956366</v>
      </c>
      <c r="R61" s="153">
        <f t="shared" si="18"/>
        <v>-3.6027295888160338E-2</v>
      </c>
      <c r="W61" s="152">
        <f t="shared" si="7"/>
        <v>1</v>
      </c>
    </row>
    <row r="62" spans="1:23" ht="16.2" thickBot="1" x14ac:dyDescent="0.35">
      <c r="A62" s="43" t="s">
        <v>277</v>
      </c>
      <c r="B62" s="42">
        <v>2775.5458170000002</v>
      </c>
      <c r="C62" s="40">
        <v>1098.5118406500001</v>
      </c>
      <c r="D62" s="41">
        <f>IFERROR((C62-B62)/B62,100%)</f>
        <v>-0.60421772398001816</v>
      </c>
      <c r="E62" s="40">
        <v>70551930.689999998</v>
      </c>
      <c r="F62" s="40">
        <v>60734212.349999994</v>
      </c>
      <c r="G62" s="39">
        <f t="shared" si="0"/>
        <v>-0.13915591315478434</v>
      </c>
      <c r="H62" s="150">
        <f t="shared" si="1"/>
        <v>3.0113060653913403E-2</v>
      </c>
      <c r="I62" s="150">
        <f>B62/$B$3</f>
        <v>5.0283733840218496E-2</v>
      </c>
      <c r="J62" s="204">
        <v>2011.3218067691805</v>
      </c>
      <c r="K62" s="36">
        <v>1206.7930840615081</v>
      </c>
      <c r="L62" s="36">
        <v>1287.2459563322755</v>
      </c>
      <c r="M62" s="36">
        <v>4505.3608471629641</v>
      </c>
      <c r="N62" s="36">
        <f t="shared" si="2"/>
        <v>1144.2963048487093</v>
      </c>
      <c r="O62" s="36">
        <f t="shared" si="3"/>
        <v>740.78129208626967</v>
      </c>
      <c r="P62" s="36">
        <f t="shared" si="4"/>
        <v>813.0526376556619</v>
      </c>
      <c r="Q62" s="148">
        <f t="shared" si="5"/>
        <v>2698.1302345906406</v>
      </c>
      <c r="R62" s="41"/>
      <c r="S62" s="42">
        <f>SUM(S54:S61)</f>
        <v>1564.69435</v>
      </c>
      <c r="T62" s="42">
        <f>SUM(T54:T61)</f>
        <v>820.42</v>
      </c>
      <c r="U62" s="42">
        <f>SUM(U54:U61)</f>
        <v>529.17999999999995</v>
      </c>
      <c r="V62" s="147">
        <f>SUM(V54:V61)</f>
        <v>2914.2943500000001</v>
      </c>
      <c r="W62" s="146">
        <f t="shared" si="7"/>
        <v>-7.4173741375629917E-2</v>
      </c>
    </row>
    <row r="63" spans="1:23" ht="16.2" customHeight="1" thickBot="1" x14ac:dyDescent="0.35">
      <c r="A63" s="35" t="s">
        <v>276</v>
      </c>
      <c r="B63" s="34">
        <v>5362.6914630000001</v>
      </c>
      <c r="C63" s="32">
        <v>2338.7150881500002</v>
      </c>
      <c r="D63" s="33">
        <f>IFERROR((C63-B63)/B63,100%)</f>
        <v>-0.56389154507843442</v>
      </c>
      <c r="E63" s="32">
        <v>136718773.005</v>
      </c>
      <c r="F63" s="32">
        <v>121156895.61499999</v>
      </c>
      <c r="G63" s="31">
        <f t="shared" si="0"/>
        <v>-0.11382399832853153</v>
      </c>
      <c r="H63" s="144">
        <f t="shared" si="1"/>
        <v>6.4110250518566753E-2</v>
      </c>
      <c r="I63" s="144">
        <f>B63/$B$3</f>
        <v>9.7154278103096403E-2</v>
      </c>
      <c r="J63" s="203">
        <v>3861</v>
      </c>
      <c r="K63" s="202">
        <v>2316.6</v>
      </c>
      <c r="L63" s="202">
        <v>2471.04</v>
      </c>
      <c r="M63" s="202">
        <v>8648.64</v>
      </c>
      <c r="N63" s="28">
        <f t="shared" si="2"/>
        <v>2436.1895197055364</v>
      </c>
      <c r="O63" s="28">
        <f t="shared" si="3"/>
        <v>1577.112162756742</v>
      </c>
      <c r="P63" s="28">
        <f t="shared" si="4"/>
        <v>1730.9767640013024</v>
      </c>
      <c r="Q63" s="143">
        <f t="shared" si="5"/>
        <v>5744.2784464635806</v>
      </c>
      <c r="R63" s="142"/>
      <c r="S63" s="34">
        <f>S62+S53+S44</f>
        <v>2869.7931500000004</v>
      </c>
      <c r="T63" s="34">
        <f>T62+T53+T44</f>
        <v>2608.23</v>
      </c>
      <c r="U63" s="34">
        <f>U62+U53+U44</f>
        <v>1388.2774999999999</v>
      </c>
      <c r="V63" s="141">
        <f>V62+V53+V44</f>
        <v>6866.300650000001</v>
      </c>
      <c r="W63" s="140">
        <f t="shared" si="7"/>
        <v>-0.16341000208553644</v>
      </c>
    </row>
    <row r="64" spans="1:23" ht="16.2" customHeight="1" x14ac:dyDescent="0.3">
      <c r="A64" s="99" t="s">
        <v>275</v>
      </c>
      <c r="B64" s="157">
        <v>625.97349000000008</v>
      </c>
      <c r="C64" s="5">
        <v>273.67446749999999</v>
      </c>
      <c r="D64" s="50">
        <f>IFERROR((C64-B64)/B64,100%)</f>
        <v>-0.5628018248823925</v>
      </c>
      <c r="E64" s="49">
        <v>19590468.84</v>
      </c>
      <c r="F64" s="49">
        <v>13999018.154979145</v>
      </c>
      <c r="G64" s="48">
        <f t="shared" si="0"/>
        <v>-0.28541688974815033</v>
      </c>
      <c r="H64" s="207">
        <f t="shared" si="1"/>
        <v>7.5021274548834798E-3</v>
      </c>
      <c r="I64" s="206">
        <f>B64/$B$3</f>
        <v>1.1340574588754006E-2</v>
      </c>
      <c r="J64" s="205">
        <v>226.19047619047618</v>
      </c>
      <c r="K64" s="205">
        <v>135.71428571428569</v>
      </c>
      <c r="L64" s="205">
        <v>144.76190476190476</v>
      </c>
      <c r="M64" s="154">
        <v>506.66666666666663</v>
      </c>
      <c r="N64" s="45">
        <f t="shared" si="2"/>
        <v>285.08084328557226</v>
      </c>
      <c r="O64" s="45">
        <f t="shared" si="3"/>
        <v>184.55233539013361</v>
      </c>
      <c r="P64" s="45">
        <f t="shared" si="4"/>
        <v>202.55744128185395</v>
      </c>
      <c r="Q64" s="45">
        <f t="shared" si="5"/>
        <v>672.19061995755976</v>
      </c>
      <c r="R64" s="153">
        <f>M64/Q64-1</f>
        <v>-0.24624555650797963</v>
      </c>
      <c r="S64">
        <v>337.25199999999995</v>
      </c>
      <c r="T64">
        <v>199.02</v>
      </c>
      <c r="U64">
        <v>143.24250000000001</v>
      </c>
      <c r="V64">
        <f t="shared" ref="V64:V70" si="20">SUM(S64:U64)</f>
        <v>679.5145</v>
      </c>
      <c r="W64" s="152">
        <f t="shared" si="7"/>
        <v>-1.0778107078568945E-2</v>
      </c>
    </row>
    <row r="65" spans="1:23" ht="16.2" customHeight="1" x14ac:dyDescent="0.3">
      <c r="A65" s="55" t="s">
        <v>274</v>
      </c>
      <c r="B65" s="157">
        <v>0</v>
      </c>
      <c r="C65" s="5">
        <v>144.3924825</v>
      </c>
      <c r="D65" s="50">
        <f>IFERROR((C65-B65)/B65,100%)</f>
        <v>1</v>
      </c>
      <c r="E65" s="49">
        <v>0</v>
      </c>
      <c r="F65" s="49">
        <v>6997169.2950208578</v>
      </c>
      <c r="G65" s="48">
        <f t="shared" si="0"/>
        <v>1</v>
      </c>
      <c r="H65" s="207">
        <f t="shared" si="1"/>
        <v>3.9581727047373625E-3</v>
      </c>
      <c r="I65" s="206">
        <f>B65/$B$3</f>
        <v>0</v>
      </c>
      <c r="J65" s="205">
        <v>107.14285714285714</v>
      </c>
      <c r="K65" s="205">
        <v>64.285714285714292</v>
      </c>
      <c r="L65" s="205">
        <v>68.571428571428569</v>
      </c>
      <c r="M65" s="154">
        <v>240</v>
      </c>
      <c r="N65" s="45">
        <f t="shared" si="2"/>
        <v>150.41056278001977</v>
      </c>
      <c r="O65" s="45">
        <f t="shared" si="3"/>
        <v>97.371048536539121</v>
      </c>
      <c r="P65" s="45">
        <f t="shared" si="4"/>
        <v>106.87066302790879</v>
      </c>
      <c r="Q65" s="45">
        <f t="shared" si="5"/>
        <v>354.65227434446768</v>
      </c>
      <c r="R65" s="153">
        <f>Q65/M65-1</f>
        <v>0.47771780976861544</v>
      </c>
      <c r="S65">
        <v>0</v>
      </c>
      <c r="T65">
        <v>102.53</v>
      </c>
      <c r="U65">
        <v>73.790000000000006</v>
      </c>
      <c r="V65">
        <f t="shared" si="20"/>
        <v>176.32</v>
      </c>
      <c r="W65" s="152">
        <f t="shared" si="7"/>
        <v>1.0114126267267904</v>
      </c>
    </row>
    <row r="66" spans="1:23" ht="16.2" customHeight="1" x14ac:dyDescent="0.3">
      <c r="A66" s="55" t="s">
        <v>273</v>
      </c>
      <c r="B66" s="157">
        <v>209.4315</v>
      </c>
      <c r="C66" s="5">
        <v>189.63446250000001</v>
      </c>
      <c r="D66" s="50">
        <f>IFERROR((C66-B66)/B66,100%)</f>
        <v>-9.4527506607172213E-2</v>
      </c>
      <c r="E66" s="49">
        <v>5480215.2000000002</v>
      </c>
      <c r="F66" s="49">
        <v>8884300.9500000011</v>
      </c>
      <c r="G66" s="48">
        <f t="shared" si="0"/>
        <v>0.62115913805720635</v>
      </c>
      <c r="H66" s="207">
        <f t="shared" si="1"/>
        <v>5.1983727985633948E-3</v>
      </c>
      <c r="I66" s="206">
        <f>B66/$B$3</f>
        <v>3.7942078776924473E-3</v>
      </c>
      <c r="J66" s="205">
        <v>150.79365079365078</v>
      </c>
      <c r="K66" s="205">
        <v>90.476190476190467</v>
      </c>
      <c r="L66" s="205">
        <v>96.507936507936506</v>
      </c>
      <c r="M66" s="154">
        <v>337.77777777777777</v>
      </c>
      <c r="N66" s="45">
        <f t="shared" si="2"/>
        <v>197.538166345409</v>
      </c>
      <c r="O66" s="45">
        <f t="shared" si="3"/>
        <v>127.87997084465951</v>
      </c>
      <c r="P66" s="45">
        <f t="shared" si="4"/>
        <v>140.35606556121166</v>
      </c>
      <c r="Q66" s="45">
        <f t="shared" si="5"/>
        <v>465.77420275128014</v>
      </c>
      <c r="R66" s="153">
        <f>Q66/M66-1</f>
        <v>0.37893678446102674</v>
      </c>
      <c r="S66">
        <v>96.805000000000007</v>
      </c>
      <c r="T66">
        <v>109.4</v>
      </c>
      <c r="U66">
        <v>36.137500000000003</v>
      </c>
      <c r="V66">
        <f t="shared" si="20"/>
        <v>242.34250000000003</v>
      </c>
      <c r="W66" s="152">
        <f t="shared" si="7"/>
        <v>0.92196664947865148</v>
      </c>
    </row>
    <row r="67" spans="1:23" ht="16.2" customHeight="1" x14ac:dyDescent="0.3">
      <c r="A67" s="55" t="s">
        <v>272</v>
      </c>
      <c r="B67" s="157">
        <v>135.44044500000001</v>
      </c>
      <c r="C67" s="5">
        <v>165.73730250000003</v>
      </c>
      <c r="D67" s="50">
        <f>IFERROR((C67-B67)/B67,100%)</f>
        <v>0.22369136117354024</v>
      </c>
      <c r="E67" s="49">
        <v>3119160</v>
      </c>
      <c r="F67" s="49">
        <v>7416675</v>
      </c>
      <c r="G67" s="48">
        <f t="shared" si="0"/>
        <v>1.3777795945062132</v>
      </c>
      <c r="H67" s="207">
        <f t="shared" si="1"/>
        <v>4.5432896197508035E-3</v>
      </c>
      <c r="I67" s="206">
        <f>B67/$B$3</f>
        <v>2.4537340532688285E-3</v>
      </c>
      <c r="J67" s="205">
        <v>119.04761904761908</v>
      </c>
      <c r="K67" s="205">
        <v>71.428571428571445</v>
      </c>
      <c r="L67" s="205">
        <v>76.190476190476218</v>
      </c>
      <c r="M67" s="154">
        <v>266.66666666666674</v>
      </c>
      <c r="N67" s="45">
        <f t="shared" si="2"/>
        <v>172.64500555053053</v>
      </c>
      <c r="O67" s="45">
        <f t="shared" si="3"/>
        <v>111.76492464586977</v>
      </c>
      <c r="P67" s="45">
        <f t="shared" si="4"/>
        <v>122.66881973327169</v>
      </c>
      <c r="Q67" s="45">
        <f t="shared" si="5"/>
        <v>407.07874992967197</v>
      </c>
      <c r="R67" s="153">
        <f>Q67/M67-1</f>
        <v>0.52654531223626955</v>
      </c>
      <c r="S67">
        <v>48.667499999999997</v>
      </c>
      <c r="T67">
        <v>72.599999999999994</v>
      </c>
      <c r="U67">
        <v>48.234999999999999</v>
      </c>
      <c r="V67">
        <f t="shared" si="20"/>
        <v>169.5025</v>
      </c>
      <c r="W67" s="152">
        <f t="shared" si="7"/>
        <v>1.4016091203945191</v>
      </c>
    </row>
    <row r="68" spans="1:23" ht="16.2" customHeight="1" x14ac:dyDescent="0.3">
      <c r="A68" s="55" t="s">
        <v>271</v>
      </c>
      <c r="B68" s="157">
        <v>372.48375300000004</v>
      </c>
      <c r="C68" s="5">
        <v>228.40629000000004</v>
      </c>
      <c r="D68" s="50">
        <f>IFERROR((C68-B68)/B68,100%)</f>
        <v>-0.3868020063683153</v>
      </c>
      <c r="E68" s="49">
        <v>9816480</v>
      </c>
      <c r="F68" s="49">
        <v>10339340.550000001</v>
      </c>
      <c r="G68" s="48">
        <f t="shared" si="0"/>
        <v>5.3263547626033032E-2</v>
      </c>
      <c r="H68" s="207">
        <f t="shared" si="1"/>
        <v>6.2612092195888838E-3</v>
      </c>
      <c r="I68" s="206">
        <f>B68/$B$3</f>
        <v>6.7481768021765967E-3</v>
      </c>
      <c r="J68" s="205">
        <v>190.47619047619048</v>
      </c>
      <c r="K68" s="205">
        <v>114.28571428571429</v>
      </c>
      <c r="L68" s="205">
        <v>121.9047619047619</v>
      </c>
      <c r="M68" s="154">
        <v>426.66666666666663</v>
      </c>
      <c r="N68" s="45">
        <f t="shared" si="2"/>
        <v>237.92595034437758</v>
      </c>
      <c r="O68" s="45">
        <f t="shared" si="3"/>
        <v>154.02574680188653</v>
      </c>
      <c r="P68" s="45">
        <f t="shared" si="4"/>
        <v>169.05264892889986</v>
      </c>
      <c r="Q68" s="45">
        <f t="shared" si="5"/>
        <v>561.00434607516399</v>
      </c>
      <c r="R68" s="153">
        <f>Q68/M68-1</f>
        <v>0.31485393611366574</v>
      </c>
      <c r="S68">
        <v>169.77025</v>
      </c>
      <c r="T68">
        <v>141.93</v>
      </c>
      <c r="U68">
        <v>85.382499999999993</v>
      </c>
      <c r="V68">
        <f t="shared" si="20"/>
        <v>397.08274999999998</v>
      </c>
      <c r="W68" s="152">
        <f t="shared" si="7"/>
        <v>0.41281469939241638</v>
      </c>
    </row>
    <row r="69" spans="1:23" ht="16.2" customHeight="1" x14ac:dyDescent="0.3">
      <c r="A69" s="55" t="s">
        <v>270</v>
      </c>
      <c r="B69" s="157">
        <v>1313.5503900000001</v>
      </c>
      <c r="C69" s="5">
        <v>403.90361024999999</v>
      </c>
      <c r="D69" s="50">
        <f>IFERROR((C69-B69)/B69,100%)</f>
        <v>-0.69250999936896229</v>
      </c>
      <c r="E69" s="49">
        <v>63328602.300000004</v>
      </c>
      <c r="F69" s="49">
        <v>13351232.988534482</v>
      </c>
      <c r="G69" s="48">
        <f t="shared" ref="G69:G132" si="21">IFERROR((F69-E69)/E69,100%)</f>
        <v>-0.78917530936042024</v>
      </c>
      <c r="H69" s="207">
        <f t="shared" ref="H69:H132" si="22">C69/$C$3</f>
        <v>1.1072046257231072E-2</v>
      </c>
      <c r="I69" s="206">
        <f>B69/$B$3</f>
        <v>2.3797199740650223E-2</v>
      </c>
      <c r="J69" s="205">
        <v>198.41269841269843</v>
      </c>
      <c r="K69" s="205">
        <v>119.04761904761907</v>
      </c>
      <c r="L69" s="205">
        <v>126.984126984127</v>
      </c>
      <c r="M69" s="154">
        <v>444.44444444444446</v>
      </c>
      <c r="N69" s="45">
        <f t="shared" ref="N69:N132" si="23">$N$3*H69</f>
        <v>420.73775777478073</v>
      </c>
      <c r="O69" s="45">
        <f t="shared" ref="O69:O132" si="24">$O$3*H69</f>
        <v>272.37233792788436</v>
      </c>
      <c r="P69" s="45">
        <f t="shared" ref="P69:P132" si="25">$P$3*H69</f>
        <v>298.94524894523892</v>
      </c>
      <c r="Q69" s="45">
        <f t="shared" ref="Q69:Q132" si="26">SUM(N69:P69)</f>
        <v>992.05534464790412</v>
      </c>
      <c r="R69" s="153">
        <f>M69/Q69-1</f>
        <v>-0.55199632072726268</v>
      </c>
      <c r="S69">
        <v>966.36765000000003</v>
      </c>
      <c r="T69">
        <v>147.59</v>
      </c>
      <c r="U69">
        <v>139.42500000000001</v>
      </c>
      <c r="V69">
        <f t="shared" si="20"/>
        <v>1253.38265</v>
      </c>
      <c r="W69" s="152">
        <f t="shared" ref="W69:W132" si="27">IFERROR((Q69-V69)/V69,100%)</f>
        <v>-0.20849762468955182</v>
      </c>
    </row>
    <row r="70" spans="1:23" ht="16.2" customHeight="1" x14ac:dyDescent="0.3">
      <c r="A70" s="55" t="s">
        <v>269</v>
      </c>
      <c r="B70" s="157">
        <v>0</v>
      </c>
      <c r="C70" s="5">
        <v>557.85869685</v>
      </c>
      <c r="D70" s="50">
        <f>IFERROR((C70-B70)/B70,100%)</f>
        <v>1</v>
      </c>
      <c r="E70" s="49">
        <v>0</v>
      </c>
      <c r="F70" s="49">
        <v>18125747.861465517</v>
      </c>
      <c r="G70" s="48">
        <f t="shared" si="21"/>
        <v>1</v>
      </c>
      <c r="H70" s="207">
        <f t="shared" si="22"/>
        <v>1.529235475934161E-2</v>
      </c>
      <c r="I70" s="206">
        <f>B70/$B$3</f>
        <v>0</v>
      </c>
      <c r="J70" s="205">
        <v>277.77777777777777</v>
      </c>
      <c r="K70" s="205">
        <v>166.66666666666666</v>
      </c>
      <c r="L70" s="205">
        <v>177.77777777777777</v>
      </c>
      <c r="M70" s="154">
        <v>622.22222222222217</v>
      </c>
      <c r="N70" s="45">
        <f t="shared" si="23"/>
        <v>581.10948085498114</v>
      </c>
      <c r="O70" s="45">
        <f t="shared" si="24"/>
        <v>376.19192707980358</v>
      </c>
      <c r="P70" s="45">
        <f t="shared" si="25"/>
        <v>412.89357850222348</v>
      </c>
      <c r="Q70" s="45">
        <f t="shared" si="26"/>
        <v>1370.1949864370081</v>
      </c>
      <c r="R70" s="153">
        <f>Q70/M70-1</f>
        <v>1.2020990853451918</v>
      </c>
      <c r="S70">
        <v>0</v>
      </c>
      <c r="T70">
        <v>186.66</v>
      </c>
      <c r="U70">
        <v>176.33</v>
      </c>
      <c r="V70">
        <f t="shared" si="20"/>
        <v>362.99</v>
      </c>
      <c r="W70" s="152">
        <f t="shared" si="27"/>
        <v>2.7747458234028706</v>
      </c>
    </row>
    <row r="71" spans="1:23" ht="15" customHeight="1" x14ac:dyDescent="0.3">
      <c r="A71" s="180" t="s">
        <v>268</v>
      </c>
      <c r="B71" s="157">
        <v>0</v>
      </c>
      <c r="C71" s="5">
        <v>100.910775</v>
      </c>
      <c r="D71" s="50">
        <f>IFERROR((C71-B71)/B71,100%)</f>
        <v>1</v>
      </c>
      <c r="E71" s="49">
        <v>0</v>
      </c>
      <c r="F71" s="49">
        <v>4277708.4000000004</v>
      </c>
      <c r="G71" s="48">
        <f t="shared" si="21"/>
        <v>1</v>
      </c>
      <c r="H71" s="207">
        <f t="shared" si="22"/>
        <v>2.7662262487861407E-3</v>
      </c>
      <c r="I71" s="206">
        <f>B71/$B$3</f>
        <v>0</v>
      </c>
      <c r="J71" s="205">
        <v>103.17460317460319</v>
      </c>
      <c r="K71" s="205">
        <v>61.904761904761919</v>
      </c>
      <c r="L71" s="205">
        <v>66.031746031746039</v>
      </c>
      <c r="M71" s="154">
        <v>231.11111111111114</v>
      </c>
      <c r="N71" s="45">
        <f t="shared" si="23"/>
        <v>105.11659745387334</v>
      </c>
      <c r="O71" s="45">
        <f t="shared" si="24"/>
        <v>68.049165720139058</v>
      </c>
      <c r="P71" s="45">
        <f t="shared" si="25"/>
        <v>74.688108717225802</v>
      </c>
      <c r="Q71" s="45">
        <f t="shared" si="26"/>
        <v>247.85387189123821</v>
      </c>
      <c r="R71" s="153">
        <f>Q71/M71-1</f>
        <v>7.244463799093448E-2</v>
      </c>
      <c r="W71" s="152">
        <f t="shared" si="27"/>
        <v>1</v>
      </c>
    </row>
    <row r="72" spans="1:23" ht="15" customHeight="1" thickBot="1" x14ac:dyDescent="0.35">
      <c r="A72" s="97" t="s">
        <v>267</v>
      </c>
      <c r="B72" s="157">
        <v>0</v>
      </c>
      <c r="C72" s="5">
        <v>63.105000000000004</v>
      </c>
      <c r="D72" s="50">
        <f>IFERROR((C72-B72)/B72,100%)</f>
        <v>1</v>
      </c>
      <c r="E72" s="49">
        <v>0</v>
      </c>
      <c r="F72" s="49">
        <v>6005223</v>
      </c>
      <c r="G72" s="48">
        <f t="shared" si="21"/>
        <v>1</v>
      </c>
      <c r="H72" s="207">
        <f t="shared" si="22"/>
        <v>1.7298718340994746E-3</v>
      </c>
      <c r="I72" s="206">
        <f>B72/$B$3</f>
        <v>0</v>
      </c>
      <c r="J72" s="205">
        <v>126.98412698412699</v>
      </c>
      <c r="K72" s="205">
        <v>76.19047619047619</v>
      </c>
      <c r="L72" s="205">
        <v>81.26984126984128</v>
      </c>
      <c r="M72" s="154">
        <v>284.44444444444446</v>
      </c>
      <c r="N72" s="45">
        <f t="shared" si="23"/>
        <v>65.735129695780032</v>
      </c>
      <c r="O72" s="45">
        <f t="shared" si="24"/>
        <v>42.554847118847078</v>
      </c>
      <c r="P72" s="45">
        <f t="shared" si="25"/>
        <v>46.706539520685816</v>
      </c>
      <c r="Q72" s="45">
        <f t="shared" si="26"/>
        <v>154.99651633531292</v>
      </c>
      <c r="R72" s="153">
        <f>Q72/M72-1</f>
        <v>-0.45509037225866555</v>
      </c>
      <c r="S72">
        <v>0</v>
      </c>
      <c r="T72">
        <v>99.84</v>
      </c>
      <c r="U72">
        <v>94.317499999999995</v>
      </c>
      <c r="V72">
        <f>SUM(S72:U72)</f>
        <v>194.1575</v>
      </c>
      <c r="W72" s="152">
        <f t="shared" si="27"/>
        <v>-0.20169699169327521</v>
      </c>
    </row>
    <row r="73" spans="1:23" ht="16.2" thickBot="1" x14ac:dyDescent="0.35">
      <c r="A73" s="56" t="s">
        <v>266</v>
      </c>
      <c r="B73" s="42">
        <v>2656.879578</v>
      </c>
      <c r="C73" s="40">
        <v>2127.6230870999998</v>
      </c>
      <c r="D73" s="41">
        <f>IFERROR((C73-B73)/B73,100%)</f>
        <v>-0.19920228800825246</v>
      </c>
      <c r="E73" s="40">
        <v>101334926.34</v>
      </c>
      <c r="F73" s="40">
        <v>89396416.200000003</v>
      </c>
      <c r="G73" s="39">
        <f t="shared" si="21"/>
        <v>-0.11781239273756204</v>
      </c>
      <c r="H73" s="150">
        <f t="shared" si="22"/>
        <v>5.8323670896982212E-2</v>
      </c>
      <c r="I73" s="150">
        <f>B73/$B$3</f>
        <v>4.8133893062542094E-2</v>
      </c>
      <c r="J73" s="204">
        <v>1500</v>
      </c>
      <c r="K73" s="36">
        <v>900</v>
      </c>
      <c r="L73" s="36">
        <v>960.00000000000011</v>
      </c>
      <c r="M73" s="36">
        <v>3360</v>
      </c>
      <c r="N73" s="36">
        <f t="shared" si="23"/>
        <v>2216.2994940853241</v>
      </c>
      <c r="O73" s="36">
        <f t="shared" si="24"/>
        <v>1434.7623040657625</v>
      </c>
      <c r="P73" s="36">
        <f t="shared" si="25"/>
        <v>1574.7391142185197</v>
      </c>
      <c r="Q73" s="148">
        <f t="shared" si="26"/>
        <v>5225.8009123696065</v>
      </c>
      <c r="R73" s="41"/>
      <c r="S73" s="42">
        <f>SUM(S64:S72)</f>
        <v>1618.8624</v>
      </c>
      <c r="T73" s="42">
        <f>SUM(T64:T72)</f>
        <v>1059.57</v>
      </c>
      <c r="U73" s="42">
        <f>SUM(U64:U72)</f>
        <v>796.86000000000013</v>
      </c>
      <c r="V73" s="147">
        <f>SUM(V64:V72)</f>
        <v>3475.2923999999998</v>
      </c>
      <c r="W73" s="146">
        <f t="shared" si="27"/>
        <v>0.50370107343186632</v>
      </c>
    </row>
    <row r="74" spans="1:23" ht="16.2" customHeight="1" x14ac:dyDescent="0.3">
      <c r="A74" s="64" t="s">
        <v>265</v>
      </c>
      <c r="B74" s="157">
        <v>333.18187800000004</v>
      </c>
      <c r="C74" s="5">
        <v>207.30595200000002</v>
      </c>
      <c r="D74" s="50">
        <f>IFERROR((C74-B74)/B74,100%)</f>
        <v>-0.37779943721909148</v>
      </c>
      <c r="E74" s="49">
        <v>12309859.800000001</v>
      </c>
      <c r="F74" s="49">
        <v>8555381.9723076914</v>
      </c>
      <c r="G74" s="48">
        <f t="shared" si="21"/>
        <v>-0.30499761075201759</v>
      </c>
      <c r="H74" s="207">
        <f t="shared" si="22"/>
        <v>5.6827941907293816E-3</v>
      </c>
      <c r="I74" s="206">
        <f>B74/$B$3</f>
        <v>6.0361564817707179E-3</v>
      </c>
      <c r="J74" s="205">
        <v>146.86092715231791</v>
      </c>
      <c r="K74" s="205">
        <v>88.116556291390751</v>
      </c>
      <c r="L74" s="205">
        <v>93.990993377483477</v>
      </c>
      <c r="M74" s="154">
        <v>328.9684768211921</v>
      </c>
      <c r="N74" s="45">
        <f t="shared" si="23"/>
        <v>215.94617924771651</v>
      </c>
      <c r="O74" s="45">
        <f t="shared" si="24"/>
        <v>139.79673709194279</v>
      </c>
      <c r="P74" s="45">
        <f t="shared" si="25"/>
        <v>153.4354431496933</v>
      </c>
      <c r="Q74" s="45">
        <f t="shared" si="26"/>
        <v>509.1783594893526</v>
      </c>
      <c r="R74" s="153">
        <f t="shared" ref="R74:R80" si="28">Q74/M74-1</f>
        <v>0.54780289105363722</v>
      </c>
      <c r="S74">
        <v>182.857</v>
      </c>
      <c r="T74">
        <v>84.67</v>
      </c>
      <c r="U74">
        <v>133.0325</v>
      </c>
      <c r="V74">
        <f t="shared" ref="V74:V81" si="29">SUM(S74:U74)</f>
        <v>400.55949999999996</v>
      </c>
      <c r="W74" s="152">
        <f t="shared" si="27"/>
        <v>0.27116785268943228</v>
      </c>
    </row>
    <row r="75" spans="1:23" ht="16.2" customHeight="1" x14ac:dyDescent="0.3">
      <c r="A75" s="86" t="s">
        <v>264</v>
      </c>
      <c r="B75" s="157">
        <v>0</v>
      </c>
      <c r="C75" s="5">
        <v>97.979290500000019</v>
      </c>
      <c r="D75" s="50">
        <f>IFERROR((C75-B75)/B75,100%)</f>
        <v>1</v>
      </c>
      <c r="E75" s="49">
        <v>0</v>
      </c>
      <c r="F75" s="49">
        <v>4552286.7276923079</v>
      </c>
      <c r="G75" s="48">
        <f t="shared" si="21"/>
        <v>1</v>
      </c>
      <c r="H75" s="207">
        <f t="shared" si="22"/>
        <v>2.6858666502020483E-3</v>
      </c>
      <c r="I75" s="206">
        <f>B75/$B$3</f>
        <v>0</v>
      </c>
      <c r="J75" s="205">
        <v>91.788079470198682</v>
      </c>
      <c r="K75" s="205">
        <v>55.072847682119203</v>
      </c>
      <c r="L75" s="205">
        <v>58.744370860927155</v>
      </c>
      <c r="M75" s="154">
        <v>205.60529801324503</v>
      </c>
      <c r="N75" s="45">
        <f t="shared" si="23"/>
        <v>102.06293270767783</v>
      </c>
      <c r="O75" s="45">
        <f t="shared" si="24"/>
        <v>66.072319594970395</v>
      </c>
      <c r="P75" s="45">
        <f t="shared" si="25"/>
        <v>72.518399555455304</v>
      </c>
      <c r="Q75" s="45">
        <f t="shared" si="26"/>
        <v>240.6536518581035</v>
      </c>
      <c r="R75" s="153">
        <f t="shared" si="28"/>
        <v>0.1704642544892041</v>
      </c>
      <c r="S75">
        <v>0</v>
      </c>
      <c r="T75">
        <v>66.23</v>
      </c>
      <c r="U75">
        <v>84.775000000000006</v>
      </c>
      <c r="V75">
        <f t="shared" si="29"/>
        <v>151.005</v>
      </c>
      <c r="W75" s="152">
        <f t="shared" si="27"/>
        <v>0.59368002290058941</v>
      </c>
    </row>
    <row r="76" spans="1:23" ht="16.2" customHeight="1" x14ac:dyDescent="0.3">
      <c r="A76" s="96" t="s">
        <v>263</v>
      </c>
      <c r="B76" s="157">
        <v>406.45342499999998</v>
      </c>
      <c r="C76" s="5">
        <v>253.44690000000003</v>
      </c>
      <c r="D76" s="50">
        <f>IFERROR((C76-B76)/B76,100%)</f>
        <v>-0.37644294669186257</v>
      </c>
      <c r="E76" s="49">
        <v>13853538</v>
      </c>
      <c r="F76" s="49">
        <v>12390643.65</v>
      </c>
      <c r="G76" s="48">
        <f t="shared" si="21"/>
        <v>-0.10559716586477762</v>
      </c>
      <c r="H76" s="207">
        <f t="shared" si="22"/>
        <v>6.9476373306366556E-3</v>
      </c>
      <c r="I76" s="206">
        <f>B76/$B$3</f>
        <v>7.3635951948492762E-3</v>
      </c>
      <c r="J76" s="205">
        <v>219</v>
      </c>
      <c r="K76" s="205">
        <v>131.4</v>
      </c>
      <c r="L76" s="205">
        <v>140.16</v>
      </c>
      <c r="M76" s="154">
        <v>490.55999999999995</v>
      </c>
      <c r="N76" s="45">
        <f t="shared" si="23"/>
        <v>264.01021856419294</v>
      </c>
      <c r="O76" s="45">
        <f t="shared" si="24"/>
        <v>170.91187833366172</v>
      </c>
      <c r="P76" s="45">
        <f t="shared" si="25"/>
        <v>187.58620792718969</v>
      </c>
      <c r="Q76" s="45">
        <f t="shared" si="26"/>
        <v>622.50830482504432</v>
      </c>
      <c r="R76" s="153">
        <f t="shared" si="28"/>
        <v>0.26897485491080486</v>
      </c>
      <c r="S76">
        <v>278.02809999999999</v>
      </c>
      <c r="T76">
        <v>66.23</v>
      </c>
      <c r="U76">
        <v>84.775000000000006</v>
      </c>
      <c r="V76">
        <f t="shared" si="29"/>
        <v>429.03309999999999</v>
      </c>
      <c r="W76" s="152">
        <f t="shared" si="27"/>
        <v>0.45095635936957856</v>
      </c>
    </row>
    <row r="77" spans="1:23" ht="16.2" customHeight="1" x14ac:dyDescent="0.3">
      <c r="A77" s="55" t="s">
        <v>262</v>
      </c>
      <c r="B77" s="157">
        <v>429.21854999999999</v>
      </c>
      <c r="C77" s="5">
        <v>289.98301500000002</v>
      </c>
      <c r="D77" s="50">
        <f>IFERROR((C77-B77)/B77,100%)</f>
        <v>-0.32439309764221508</v>
      </c>
      <c r="E77" s="49">
        <v>21142670.16</v>
      </c>
      <c r="F77" s="49">
        <v>17229093</v>
      </c>
      <c r="G77" s="48">
        <f t="shared" si="21"/>
        <v>-0.18510325944563666</v>
      </c>
      <c r="H77" s="207">
        <f t="shared" si="22"/>
        <v>7.9491870694199419E-3</v>
      </c>
      <c r="I77" s="206">
        <f>B77/$B$3</f>
        <v>7.7760241590292267E-3</v>
      </c>
      <c r="J77" s="205">
        <v>238.64900662251651</v>
      </c>
      <c r="K77" s="205">
        <v>143.18940397350991</v>
      </c>
      <c r="L77" s="205">
        <v>152.73536423841057</v>
      </c>
      <c r="M77" s="154">
        <v>534.57377483443702</v>
      </c>
      <c r="N77" s="45">
        <f t="shared" si="23"/>
        <v>302.06910863795781</v>
      </c>
      <c r="O77" s="45">
        <f t="shared" si="24"/>
        <v>195.55000190773058</v>
      </c>
      <c r="P77" s="45">
        <f t="shared" si="25"/>
        <v>214.62805087433844</v>
      </c>
      <c r="Q77" s="45">
        <f t="shared" si="26"/>
        <v>712.24716142002683</v>
      </c>
      <c r="R77" s="153">
        <f t="shared" si="28"/>
        <v>0.33236457707005385</v>
      </c>
      <c r="S77">
        <v>300.07249999999999</v>
      </c>
      <c r="T77">
        <v>156.08000000000001</v>
      </c>
      <c r="U77">
        <v>131.98750000000001</v>
      </c>
      <c r="V77">
        <f t="shared" si="29"/>
        <v>588.1400000000001</v>
      </c>
      <c r="W77" s="152">
        <f t="shared" si="27"/>
        <v>0.21101635906421382</v>
      </c>
    </row>
    <row r="78" spans="1:23" ht="16.2" customHeight="1" x14ac:dyDescent="0.3">
      <c r="A78" s="55" t="s">
        <v>261</v>
      </c>
      <c r="B78" s="157">
        <v>577.92460500000004</v>
      </c>
      <c r="C78" s="5">
        <v>254.21077500000001</v>
      </c>
      <c r="D78" s="50">
        <f>IFERROR((C78-B78)/B78,100%)</f>
        <v>-0.56013159363581688</v>
      </c>
      <c r="E78" s="49">
        <v>15961776</v>
      </c>
      <c r="F78" s="49">
        <v>12504519.300000001</v>
      </c>
      <c r="G78" s="48">
        <f t="shared" si="21"/>
        <v>-0.21659599157386994</v>
      </c>
      <c r="H78" s="207">
        <f t="shared" si="22"/>
        <v>6.9685771269645648E-3</v>
      </c>
      <c r="I78" s="206">
        <f>B78/$B$3</f>
        <v>1.0470087303024121E-2</v>
      </c>
      <c r="J78" s="205">
        <v>267</v>
      </c>
      <c r="K78" s="205">
        <v>160.19999999999999</v>
      </c>
      <c r="L78" s="205">
        <v>170.88</v>
      </c>
      <c r="M78" s="154">
        <v>598.07999999999993</v>
      </c>
      <c r="N78" s="45">
        <f t="shared" si="23"/>
        <v>264.80593082465344</v>
      </c>
      <c r="O78" s="45">
        <f t="shared" si="24"/>
        <v>171.42699732332829</v>
      </c>
      <c r="P78" s="45">
        <f t="shared" si="25"/>
        <v>188.15158242804324</v>
      </c>
      <c r="Q78" s="45">
        <f t="shared" si="26"/>
        <v>624.38451057602492</v>
      </c>
      <c r="R78" s="153">
        <f t="shared" si="28"/>
        <v>4.3981592054616492E-2</v>
      </c>
      <c r="S78">
        <v>337.19900000000001</v>
      </c>
      <c r="T78">
        <v>79.58</v>
      </c>
      <c r="U78">
        <v>64.912499999999994</v>
      </c>
      <c r="V78">
        <f t="shared" si="29"/>
        <v>481.69150000000002</v>
      </c>
      <c r="W78" s="152">
        <f t="shared" si="27"/>
        <v>0.29623319194136682</v>
      </c>
    </row>
    <row r="79" spans="1:23" ht="16.2" customHeight="1" x14ac:dyDescent="0.3">
      <c r="A79" s="55" t="s">
        <v>260</v>
      </c>
      <c r="B79" s="157">
        <v>49.158900000000003</v>
      </c>
      <c r="C79" s="5">
        <v>139.17330000000004</v>
      </c>
      <c r="D79" s="50">
        <f>IFERROR((C79-B79)/B79,100%)</f>
        <v>1.8310906061771119</v>
      </c>
      <c r="E79" s="49">
        <v>1455467.58</v>
      </c>
      <c r="F79" s="49">
        <v>9454324.9500000011</v>
      </c>
      <c r="G79" s="48">
        <f t="shared" si="21"/>
        <v>5.4957303617851805</v>
      </c>
      <c r="H79" s="207">
        <f t="shared" si="22"/>
        <v>3.8151013664317638E-3</v>
      </c>
      <c r="I79" s="206">
        <f>B79/$B$3</f>
        <v>8.9059709565511992E-4</v>
      </c>
      <c r="J79" s="205">
        <v>211.11258278145709</v>
      </c>
      <c r="K79" s="205">
        <v>126.66754966887426</v>
      </c>
      <c r="L79" s="205">
        <v>135.11205298013255</v>
      </c>
      <c r="M79" s="154">
        <v>472.89218543046388</v>
      </c>
      <c r="N79" s="45">
        <f t="shared" si="23"/>
        <v>144.97385192440703</v>
      </c>
      <c r="O79" s="45">
        <f t="shared" si="24"/>
        <v>93.851493614221397</v>
      </c>
      <c r="P79" s="45">
        <f t="shared" si="25"/>
        <v>103.00773689365762</v>
      </c>
      <c r="Q79" s="45">
        <f t="shared" si="26"/>
        <v>341.83308243228606</v>
      </c>
      <c r="R79" s="153">
        <f t="shared" si="28"/>
        <v>-0.27714372754727901</v>
      </c>
      <c r="S79">
        <v>0</v>
      </c>
      <c r="T79">
        <v>53.06</v>
      </c>
      <c r="U79">
        <v>43.274999999999999</v>
      </c>
      <c r="V79">
        <f t="shared" si="29"/>
        <v>96.335000000000008</v>
      </c>
      <c r="W79" s="152">
        <f t="shared" si="27"/>
        <v>2.5483789114266471</v>
      </c>
    </row>
    <row r="80" spans="1:23" ht="16.2" customHeight="1" x14ac:dyDescent="0.3">
      <c r="A80" s="55" t="s">
        <v>259</v>
      </c>
      <c r="B80" s="157">
        <v>0</v>
      </c>
      <c r="C80" s="5">
        <v>88.293115050000011</v>
      </c>
      <c r="D80" s="50">
        <f>IFERROR((C80-B80)/B80,100%)</f>
        <v>1</v>
      </c>
      <c r="E80" s="49">
        <v>0</v>
      </c>
      <c r="F80" s="49">
        <v>4626520.9565217393</v>
      </c>
      <c r="G80" s="48">
        <f t="shared" si="21"/>
        <v>1</v>
      </c>
      <c r="H80" s="207">
        <f t="shared" si="22"/>
        <v>2.420343441405585E-3</v>
      </c>
      <c r="I80" s="206">
        <f>B80/$B$3</f>
        <v>0</v>
      </c>
      <c r="J80" s="205">
        <v>91.788079470198682</v>
      </c>
      <c r="K80" s="205">
        <v>55.072847682119203</v>
      </c>
      <c r="L80" s="205">
        <v>58.744370860927155</v>
      </c>
      <c r="M80" s="154">
        <v>205.60529801324503</v>
      </c>
      <c r="N80" s="45">
        <f t="shared" si="23"/>
        <v>91.973050773412226</v>
      </c>
      <c r="O80" s="45">
        <f t="shared" si="24"/>
        <v>59.54044865857739</v>
      </c>
      <c r="P80" s="45">
        <f t="shared" si="25"/>
        <v>65.349272917950799</v>
      </c>
      <c r="Q80" s="45">
        <f t="shared" si="26"/>
        <v>216.8627723499404</v>
      </c>
      <c r="R80" s="153">
        <f t="shared" si="28"/>
        <v>5.4752841709215794E-2</v>
      </c>
      <c r="S80">
        <v>0</v>
      </c>
      <c r="T80">
        <v>79.05</v>
      </c>
      <c r="U80">
        <v>24.605</v>
      </c>
      <c r="V80">
        <f t="shared" si="29"/>
        <v>103.655</v>
      </c>
      <c r="W80" s="152">
        <f t="shared" si="27"/>
        <v>1.0921593010461665</v>
      </c>
    </row>
    <row r="81" spans="1:23" ht="16.2" customHeight="1" thickBot="1" x14ac:dyDescent="0.35">
      <c r="A81" s="93" t="s">
        <v>258</v>
      </c>
      <c r="B81" s="157">
        <v>319.63995</v>
      </c>
      <c r="C81" s="5">
        <v>127.35693704999998</v>
      </c>
      <c r="D81" s="50">
        <f>IFERROR((C81-B81)/B81,100%)</f>
        <v>-0.60156126588682046</v>
      </c>
      <c r="E81" s="49">
        <v>10013238</v>
      </c>
      <c r="F81" s="49">
        <v>6697107.4434782611</v>
      </c>
      <c r="G81" s="48">
        <f t="shared" si="21"/>
        <v>-0.33117464665493207</v>
      </c>
      <c r="H81" s="207">
        <f t="shared" si="22"/>
        <v>3.4911841895249947E-3</v>
      </c>
      <c r="I81" s="206">
        <f>B81/$B$3</f>
        <v>5.790821420441624E-3</v>
      </c>
      <c r="J81" s="205">
        <v>119.3245033112583</v>
      </c>
      <c r="K81" s="205">
        <v>71.594701986754984</v>
      </c>
      <c r="L81" s="205">
        <v>76.367682119205313</v>
      </c>
      <c r="M81" s="154">
        <v>267.28688741721862</v>
      </c>
      <c r="N81" s="45">
        <f t="shared" si="23"/>
        <v>132.6649992019498</v>
      </c>
      <c r="O81" s="45">
        <f t="shared" si="24"/>
        <v>85.883131062314874</v>
      </c>
      <c r="P81" s="45">
        <f t="shared" si="25"/>
        <v>94.261973117174861</v>
      </c>
      <c r="Q81" s="45">
        <f t="shared" si="26"/>
        <v>312.81010338143955</v>
      </c>
      <c r="R81" s="153">
        <f>M81/Q81-1</f>
        <v>-0.1455298773029402</v>
      </c>
      <c r="S81">
        <v>313.07875000000001</v>
      </c>
      <c r="T81">
        <v>113.75</v>
      </c>
      <c r="U81">
        <v>35.405000000000001</v>
      </c>
      <c r="V81">
        <f t="shared" si="29"/>
        <v>462.23374999999999</v>
      </c>
      <c r="W81" s="152">
        <f t="shared" si="27"/>
        <v>-0.32326425021660676</v>
      </c>
    </row>
    <row r="82" spans="1:23" ht="16.2" thickBot="1" x14ac:dyDescent="0.35">
      <c r="A82" s="87" t="s">
        <v>257</v>
      </c>
      <c r="B82" s="42">
        <v>2115.5773079999999</v>
      </c>
      <c r="C82" s="40">
        <v>1457.7492846000002</v>
      </c>
      <c r="D82" s="41">
        <f>IFERROR((C82-B82)/B82,100%)</f>
        <v>-0.31094492312450145</v>
      </c>
      <c r="E82" s="40">
        <v>74736549.539999992</v>
      </c>
      <c r="F82" s="40">
        <v>76009878</v>
      </c>
      <c r="G82" s="39">
        <f t="shared" si="21"/>
        <v>1.7037560174202396E-2</v>
      </c>
      <c r="H82" s="150">
        <f t="shared" si="22"/>
        <v>3.9960691365314938E-2</v>
      </c>
      <c r="I82" s="150">
        <f>B82/$B$3</f>
        <v>3.8327281654770083E-2</v>
      </c>
      <c r="J82" s="204">
        <v>1385.523178807947</v>
      </c>
      <c r="K82" s="36">
        <v>831.31390728476845</v>
      </c>
      <c r="L82" s="36">
        <v>886.73483443708619</v>
      </c>
      <c r="M82" s="36">
        <v>3103.5719205298014</v>
      </c>
      <c r="N82" s="36">
        <f t="shared" si="23"/>
        <v>1518.5062718819677</v>
      </c>
      <c r="O82" s="36">
        <f t="shared" si="24"/>
        <v>983.03300758674743</v>
      </c>
      <c r="P82" s="36">
        <f t="shared" si="25"/>
        <v>1078.9386668635034</v>
      </c>
      <c r="Q82" s="148">
        <f t="shared" si="26"/>
        <v>3580.4779463322184</v>
      </c>
      <c r="R82" s="41"/>
      <c r="S82" s="42">
        <f>SUM(S74:S81)</f>
        <v>1411.2353499999999</v>
      </c>
      <c r="T82" s="42">
        <f>SUM(T74:T81)</f>
        <v>698.65</v>
      </c>
      <c r="U82" s="42">
        <f>SUM(U74:U81)</f>
        <v>602.76749999999993</v>
      </c>
      <c r="V82" s="147">
        <f>SUM(V74:V81)</f>
        <v>2712.6528499999999</v>
      </c>
      <c r="W82" s="146">
        <f t="shared" si="27"/>
        <v>0.31991749196076397</v>
      </c>
    </row>
    <row r="83" spans="1:23" ht="16.2" customHeight="1" x14ac:dyDescent="0.3">
      <c r="A83" s="91" t="s">
        <v>256</v>
      </c>
      <c r="B83" s="157">
        <v>332.97466499999996</v>
      </c>
      <c r="C83" s="5">
        <v>117.2449845</v>
      </c>
      <c r="D83" s="50">
        <f>IFERROR((C83-B83)/B83,100%)</f>
        <v>-0.64788617025862916</v>
      </c>
      <c r="E83" s="49">
        <v>8812800</v>
      </c>
      <c r="F83" s="49">
        <v>7660299.01232816</v>
      </c>
      <c r="G83" s="48">
        <f t="shared" si="21"/>
        <v>-0.13077580197801381</v>
      </c>
      <c r="H83" s="207">
        <f t="shared" si="22"/>
        <v>3.2139893253463189E-3</v>
      </c>
      <c r="I83" s="206">
        <f>B83/$B$3</f>
        <v>6.0324024657943216E-3</v>
      </c>
      <c r="J83" s="205">
        <v>162.96296296296299</v>
      </c>
      <c r="K83" s="205">
        <v>97.7777777777778</v>
      </c>
      <c r="L83" s="205">
        <v>104.29629629629632</v>
      </c>
      <c r="M83" s="154">
        <v>365.03703703703707</v>
      </c>
      <c r="N83" s="45">
        <f t="shared" si="23"/>
        <v>122.13159436316012</v>
      </c>
      <c r="O83" s="45">
        <f t="shared" si="24"/>
        <v>79.064137403519439</v>
      </c>
      <c r="P83" s="45">
        <f t="shared" si="25"/>
        <v>86.777711784350615</v>
      </c>
      <c r="Q83" s="45">
        <f t="shared" si="26"/>
        <v>287.97344355103019</v>
      </c>
      <c r="R83" s="153">
        <f t="shared" ref="R83:R88" si="30">Q83/M83-1</f>
        <v>-0.21111171105135806</v>
      </c>
      <c r="S83">
        <v>133.43924999999999</v>
      </c>
      <c r="T83">
        <v>35.92</v>
      </c>
      <c r="U83">
        <v>44.875</v>
      </c>
      <c r="V83">
        <f t="shared" ref="V83:V88" si="31">SUM(S83:U83)</f>
        <v>214.23424999999997</v>
      </c>
      <c r="W83" s="152">
        <f t="shared" si="27"/>
        <v>0.34419890167435985</v>
      </c>
    </row>
    <row r="84" spans="1:23" ht="16.2" customHeight="1" x14ac:dyDescent="0.3">
      <c r="A84" s="86" t="s">
        <v>255</v>
      </c>
      <c r="B84" s="157">
        <v>0</v>
      </c>
      <c r="C84" s="5">
        <v>87.17507925000001</v>
      </c>
      <c r="D84" s="50">
        <f>IFERROR((C84-B84)/B84,100%)</f>
        <v>1</v>
      </c>
      <c r="E84" s="49">
        <v>0</v>
      </c>
      <c r="F84" s="49">
        <v>3655561.6793569839</v>
      </c>
      <c r="G84" s="48">
        <f t="shared" si="21"/>
        <v>1</v>
      </c>
      <c r="H84" s="207">
        <f t="shared" si="22"/>
        <v>2.3896951783529763E-3</v>
      </c>
      <c r="I84" s="206">
        <f>B84/$B$3</f>
        <v>0</v>
      </c>
      <c r="J84" s="205">
        <v>71.296296296296291</v>
      </c>
      <c r="K84" s="205">
        <v>42.777777777777771</v>
      </c>
      <c r="L84" s="205">
        <v>45.629629629629626</v>
      </c>
      <c r="M84" s="154">
        <v>159.7037037037037</v>
      </c>
      <c r="N84" s="45">
        <f t="shared" si="23"/>
        <v>90.8084167774131</v>
      </c>
      <c r="O84" s="45">
        <f t="shared" si="24"/>
        <v>58.78650138748322</v>
      </c>
      <c r="P84" s="45">
        <f t="shared" si="25"/>
        <v>64.521769815530362</v>
      </c>
      <c r="Q84" s="45">
        <f t="shared" si="26"/>
        <v>214.11668798042666</v>
      </c>
      <c r="R84" s="153">
        <f t="shared" si="30"/>
        <v>0.34071210006296848</v>
      </c>
      <c r="S84">
        <v>0</v>
      </c>
      <c r="T84">
        <v>13.06</v>
      </c>
      <c r="U84">
        <v>16.087499999999999</v>
      </c>
      <c r="V84">
        <f t="shared" si="31"/>
        <v>29.147500000000001</v>
      </c>
      <c r="W84" s="152">
        <f t="shared" si="27"/>
        <v>6.3459709402324949</v>
      </c>
    </row>
    <row r="85" spans="1:23" ht="16.2" customHeight="1" x14ac:dyDescent="0.3">
      <c r="A85" s="86" t="s">
        <v>254</v>
      </c>
      <c r="B85" s="157">
        <v>0</v>
      </c>
      <c r="C85" s="5">
        <v>101.83170375</v>
      </c>
      <c r="D85" s="50">
        <f>IFERROR((C85-B85)/B85,100%)</f>
        <v>1</v>
      </c>
      <c r="E85" s="49">
        <v>0</v>
      </c>
      <c r="F85" s="49">
        <v>5082055.4583148556</v>
      </c>
      <c r="G85" s="48">
        <f t="shared" si="21"/>
        <v>1</v>
      </c>
      <c r="H85" s="207">
        <f t="shared" si="22"/>
        <v>2.7914712960222937E-3</v>
      </c>
      <c r="I85" s="206">
        <f>B85/$B$3</f>
        <v>0</v>
      </c>
      <c r="J85" s="205">
        <v>101.85185185185186</v>
      </c>
      <c r="K85" s="205">
        <v>61.111111111111121</v>
      </c>
      <c r="L85" s="205">
        <v>65.18518518518519</v>
      </c>
      <c r="M85" s="154">
        <v>228.14814814814818</v>
      </c>
      <c r="N85" s="45">
        <f t="shared" si="23"/>
        <v>106.07590924884717</v>
      </c>
      <c r="O85" s="45">
        <f t="shared" si="24"/>
        <v>68.670193882148425</v>
      </c>
      <c r="P85" s="45">
        <f t="shared" si="25"/>
        <v>75.369724992601931</v>
      </c>
      <c r="Q85" s="45">
        <f t="shared" si="26"/>
        <v>250.11582812359754</v>
      </c>
      <c r="R85" s="153">
        <f t="shared" si="30"/>
        <v>9.6286908983300723E-2</v>
      </c>
      <c r="S85">
        <v>0</v>
      </c>
      <c r="T85">
        <v>18.5</v>
      </c>
      <c r="U85">
        <v>23.7075</v>
      </c>
      <c r="V85">
        <f t="shared" si="31"/>
        <v>42.207499999999996</v>
      </c>
      <c r="W85" s="152">
        <f t="shared" si="27"/>
        <v>4.9258621838203531</v>
      </c>
    </row>
    <row r="86" spans="1:23" ht="16.2" customHeight="1" x14ac:dyDescent="0.3">
      <c r="A86" s="95" t="s">
        <v>253</v>
      </c>
      <c r="B86" s="157">
        <v>0</v>
      </c>
      <c r="C86" s="5">
        <v>73.323576900000006</v>
      </c>
      <c r="D86" s="50">
        <f>IFERROR((C86-B86)/B86,100%)</f>
        <v>1</v>
      </c>
      <c r="E86" s="49">
        <v>0</v>
      </c>
      <c r="F86" s="49">
        <v>6540330.1302791322</v>
      </c>
      <c r="G86" s="48">
        <f t="shared" si="21"/>
        <v>1</v>
      </c>
      <c r="H86" s="207">
        <f t="shared" si="22"/>
        <v>2.0099895484468246E-3</v>
      </c>
      <c r="I86" s="206">
        <f>B86/$B$3</f>
        <v>0</v>
      </c>
      <c r="J86" s="205">
        <v>132.40740740740742</v>
      </c>
      <c r="K86" s="205">
        <v>79.444444444444457</v>
      </c>
      <c r="L86" s="205">
        <v>84.740740740740762</v>
      </c>
      <c r="M86" s="154">
        <v>296.59259259259261</v>
      </c>
      <c r="N86" s="45">
        <f t="shared" si="23"/>
        <v>76.379602840979331</v>
      </c>
      <c r="O86" s="45">
        <f t="shared" si="24"/>
        <v>49.445742891791888</v>
      </c>
      <c r="P86" s="45">
        <f t="shared" si="25"/>
        <v>54.269717808064264</v>
      </c>
      <c r="Q86" s="45">
        <f t="shared" si="26"/>
        <v>180.09506354083547</v>
      </c>
      <c r="R86" s="153">
        <f t="shared" si="30"/>
        <v>-0.39278637417550477</v>
      </c>
      <c r="S86">
        <v>0</v>
      </c>
      <c r="T86">
        <v>85.1</v>
      </c>
      <c r="U86">
        <v>22.33</v>
      </c>
      <c r="V86">
        <f t="shared" si="31"/>
        <v>107.42999999999999</v>
      </c>
      <c r="W86" s="152">
        <f t="shared" si="27"/>
        <v>0.67639452239444742</v>
      </c>
    </row>
    <row r="87" spans="1:23" ht="16.2" customHeight="1" x14ac:dyDescent="0.3">
      <c r="A87" s="94" t="s">
        <v>252</v>
      </c>
      <c r="B87" s="157">
        <v>509.13886500000001</v>
      </c>
      <c r="C87" s="5">
        <v>84.40322415</v>
      </c>
      <c r="D87" s="50">
        <f>IFERROR((C87-B87)/B87,100%)</f>
        <v>-0.83422356855432744</v>
      </c>
      <c r="E87" s="49">
        <v>17260822.5</v>
      </c>
      <c r="F87" s="49">
        <v>7677378.2082486972</v>
      </c>
      <c r="G87" s="48">
        <f t="shared" si="21"/>
        <v>-0.55521365171047343</v>
      </c>
      <c r="H87" s="207">
        <f t="shared" si="22"/>
        <v>2.313711435928525E-3</v>
      </c>
      <c r="I87" s="206">
        <f>B87/$B$3</f>
        <v>9.2239166143698124E-3</v>
      </c>
      <c r="J87" s="205">
        <v>162.96296296296299</v>
      </c>
      <c r="K87" s="205">
        <v>97.7777777777778</v>
      </c>
      <c r="L87" s="205">
        <v>104.29629629629632</v>
      </c>
      <c r="M87" s="154">
        <v>365.03703703703707</v>
      </c>
      <c r="N87" s="45">
        <f t="shared" si="23"/>
        <v>87.921034565283946</v>
      </c>
      <c r="O87" s="45">
        <f t="shared" si="24"/>
        <v>56.917301323841713</v>
      </c>
      <c r="P87" s="45">
        <f t="shared" si="25"/>
        <v>62.470208770070172</v>
      </c>
      <c r="Q87" s="45">
        <f t="shared" si="26"/>
        <v>207.30854465919583</v>
      </c>
      <c r="R87" s="153">
        <f t="shared" si="30"/>
        <v>-0.43208901118118026</v>
      </c>
      <c r="S87">
        <v>242.613</v>
      </c>
      <c r="T87">
        <v>122.46</v>
      </c>
      <c r="U87">
        <v>33.01</v>
      </c>
      <c r="V87">
        <f t="shared" si="31"/>
        <v>398.08299999999997</v>
      </c>
      <c r="W87" s="152">
        <f t="shared" si="27"/>
        <v>-0.47923286184239006</v>
      </c>
    </row>
    <row r="88" spans="1:23" ht="16.2" customHeight="1" thickBot="1" x14ac:dyDescent="0.35">
      <c r="A88" s="93" t="s">
        <v>251</v>
      </c>
      <c r="B88" s="157">
        <v>0</v>
      </c>
      <c r="C88" s="5">
        <v>96.644100000000009</v>
      </c>
      <c r="D88" s="50">
        <f>IFERROR((C88-B88)/B88,100%)</f>
        <v>1</v>
      </c>
      <c r="E88" s="49">
        <v>0</v>
      </c>
      <c r="F88" s="49">
        <v>8651300.8574999999</v>
      </c>
      <c r="G88" s="48">
        <f t="shared" si="21"/>
        <v>1</v>
      </c>
      <c r="H88" s="207">
        <f t="shared" si="22"/>
        <v>2.6492656132143734E-3</v>
      </c>
      <c r="I88" s="206">
        <f>B88/$B$3</f>
        <v>0</v>
      </c>
      <c r="J88" s="205">
        <v>193.51851851851853</v>
      </c>
      <c r="K88" s="205">
        <v>116.11111111111111</v>
      </c>
      <c r="L88" s="205">
        <v>123.85185185185186</v>
      </c>
      <c r="M88" s="154">
        <v>433.48148148148152</v>
      </c>
      <c r="N88" s="45">
        <f t="shared" si="23"/>
        <v>100.67209330214619</v>
      </c>
      <c r="O88" s="45">
        <f t="shared" si="24"/>
        <v>65.171934085073588</v>
      </c>
      <c r="P88" s="45">
        <f t="shared" si="25"/>
        <v>71.530171556788076</v>
      </c>
      <c r="Q88" s="45">
        <f t="shared" si="26"/>
        <v>237.37419894400787</v>
      </c>
      <c r="R88" s="153">
        <f t="shared" si="30"/>
        <v>-0.45240060052219655</v>
      </c>
      <c r="S88">
        <v>0</v>
      </c>
      <c r="T88">
        <v>41.36</v>
      </c>
      <c r="U88">
        <v>41.75</v>
      </c>
      <c r="V88">
        <f t="shared" si="31"/>
        <v>83.11</v>
      </c>
      <c r="W88" s="152">
        <f t="shared" si="27"/>
        <v>1.8561448555409443</v>
      </c>
    </row>
    <row r="89" spans="1:23" ht="16.2" thickBot="1" x14ac:dyDescent="0.35">
      <c r="A89" s="87" t="s">
        <v>250</v>
      </c>
      <c r="B89" s="42">
        <v>842.11352999999997</v>
      </c>
      <c r="C89" s="40">
        <v>560.62266855000007</v>
      </c>
      <c r="D89" s="41">
        <f>IFERROR((C89-B89)/B89,100%)</f>
        <v>-0.33426711651337548</v>
      </c>
      <c r="E89" s="40">
        <v>26073622.5</v>
      </c>
      <c r="F89" s="40">
        <v>39266925.346027829</v>
      </c>
      <c r="G89" s="39">
        <f t="shared" si="21"/>
        <v>0.50600191231685698</v>
      </c>
      <c r="H89" s="150">
        <f t="shared" si="22"/>
        <v>1.5368122397311312E-2</v>
      </c>
      <c r="I89" s="150">
        <f>B89/$B$3</f>
        <v>1.5256319080164135E-2</v>
      </c>
      <c r="J89" s="204">
        <v>825</v>
      </c>
      <c r="K89" s="36">
        <v>495</v>
      </c>
      <c r="L89" s="36">
        <v>528.00000000000011</v>
      </c>
      <c r="M89" s="36">
        <v>1848</v>
      </c>
      <c r="N89" s="36">
        <f t="shared" si="23"/>
        <v>583.9886510978298</v>
      </c>
      <c r="O89" s="36">
        <f t="shared" si="24"/>
        <v>378.05581097385829</v>
      </c>
      <c r="P89" s="36">
        <f t="shared" si="25"/>
        <v>414.93930472740544</v>
      </c>
      <c r="Q89" s="148">
        <f t="shared" si="26"/>
        <v>1376.9837667990935</v>
      </c>
      <c r="R89" s="41"/>
      <c r="S89" s="42">
        <f>SUM(S83:S88)</f>
        <v>376.05224999999996</v>
      </c>
      <c r="T89" s="42">
        <f>SUM(T83:T88)</f>
        <v>316.39999999999998</v>
      </c>
      <c r="U89" s="42">
        <f>SUM(U83:U88)</f>
        <v>181.76</v>
      </c>
      <c r="V89" s="147">
        <f>SUM(V83:V88)</f>
        <v>874.21224999999993</v>
      </c>
      <c r="W89" s="146">
        <f t="shared" si="27"/>
        <v>0.57511378592452067</v>
      </c>
    </row>
    <row r="90" spans="1:23" ht="16.2" customHeight="1" thickBot="1" x14ac:dyDescent="0.35">
      <c r="A90" s="92" t="s">
        <v>249</v>
      </c>
      <c r="B90" s="34">
        <v>5614.5704160000005</v>
      </c>
      <c r="C90" s="32">
        <v>4145.9950402499999</v>
      </c>
      <c r="D90" s="33">
        <f>IFERROR((C90-B90)/B90,100%)</f>
        <v>-0.26156504717884732</v>
      </c>
      <c r="E90" s="32">
        <v>202145098.38</v>
      </c>
      <c r="F90" s="32">
        <v>204673219.54602784</v>
      </c>
      <c r="G90" s="31">
        <f t="shared" si="21"/>
        <v>1.2506467810935422E-2</v>
      </c>
      <c r="H90" s="144">
        <f t="shared" si="22"/>
        <v>0.11365248465960846</v>
      </c>
      <c r="I90" s="144">
        <f>B90/$B$3</f>
        <v>0.10171749379747633</v>
      </c>
      <c r="J90" s="203">
        <v>3710.5231788079473</v>
      </c>
      <c r="K90" s="202">
        <v>2226.3139072847684</v>
      </c>
      <c r="L90" s="202">
        <v>2374.7348344370862</v>
      </c>
      <c r="M90" s="202">
        <v>8311.571920529801</v>
      </c>
      <c r="N90" s="28">
        <f t="shared" si="23"/>
        <v>4318.7944170651217</v>
      </c>
      <c r="O90" s="28">
        <f t="shared" si="24"/>
        <v>2795.8511226263681</v>
      </c>
      <c r="P90" s="28">
        <f t="shared" si="25"/>
        <v>3068.6170858094283</v>
      </c>
      <c r="Q90" s="143">
        <f t="shared" si="26"/>
        <v>10183.262625500918</v>
      </c>
      <c r="R90" s="142"/>
      <c r="S90" s="34">
        <f>S89+S82+S73</f>
        <v>3406.1499999999996</v>
      </c>
      <c r="T90" s="34">
        <f>T89+T82+T73</f>
        <v>2074.62</v>
      </c>
      <c r="U90" s="34">
        <f>U89+U82+U73</f>
        <v>1581.3875</v>
      </c>
      <c r="V90" s="141">
        <f>V89+V82+V73</f>
        <v>7062.1574999999993</v>
      </c>
      <c r="W90" s="140">
        <f t="shared" si="27"/>
        <v>0.44194782196530152</v>
      </c>
    </row>
    <row r="91" spans="1:23" ht="16.2" customHeight="1" x14ac:dyDescent="0.3">
      <c r="A91" s="91" t="s">
        <v>248</v>
      </c>
      <c r="B91" s="157">
        <v>0</v>
      </c>
      <c r="C91" s="5">
        <v>63.231000000000002</v>
      </c>
      <c r="D91" s="50">
        <f>IFERROR((C91-B91)/B91,100%)</f>
        <v>1</v>
      </c>
      <c r="E91" s="49">
        <v>0</v>
      </c>
      <c r="F91" s="49">
        <v>0</v>
      </c>
      <c r="G91" s="48">
        <f t="shared" si="21"/>
        <v>1</v>
      </c>
      <c r="H91" s="207">
        <f t="shared" si="22"/>
        <v>1.7333258211226349E-3</v>
      </c>
      <c r="I91" s="206">
        <f>B91/$B$3</f>
        <v>0</v>
      </c>
      <c r="J91" s="205">
        <v>142.22665148063783</v>
      </c>
      <c r="K91" s="205">
        <v>85.335990888382682</v>
      </c>
      <c r="L91" s="205">
        <v>91.025056947608206</v>
      </c>
      <c r="M91" s="154">
        <v>318.58769931662874</v>
      </c>
      <c r="N91" s="45">
        <f t="shared" si="23"/>
        <v>65.866381202660122</v>
      </c>
      <c r="O91" s="45">
        <f t="shared" si="24"/>
        <v>42.63981519961682</v>
      </c>
      <c r="P91" s="45">
        <f t="shared" si="25"/>
        <v>46.799797170311145</v>
      </c>
      <c r="Q91" s="45">
        <f t="shared" si="26"/>
        <v>155.30599357258808</v>
      </c>
      <c r="R91" s="153">
        <f t="shared" ref="R91:R96" si="32">Q91/M91-1</f>
        <v>-0.51251729459197659</v>
      </c>
      <c r="S91">
        <v>0</v>
      </c>
      <c r="T91">
        <v>92.48</v>
      </c>
      <c r="U91">
        <v>49.3125</v>
      </c>
      <c r="V91">
        <f t="shared" ref="V91:V96" si="33">SUM(S91:U91)</f>
        <v>141.79250000000002</v>
      </c>
      <c r="W91" s="152">
        <f t="shared" si="27"/>
        <v>9.5304713384615256E-2</v>
      </c>
    </row>
    <row r="92" spans="1:23" ht="16.2" customHeight="1" x14ac:dyDescent="0.3">
      <c r="A92" s="86" t="s">
        <v>247</v>
      </c>
      <c r="B92" s="157">
        <v>493.99033500000002</v>
      </c>
      <c r="C92" s="5">
        <v>152.38912500000001</v>
      </c>
      <c r="D92" s="50">
        <f>IFERROR((C92-B92)/B92,100%)</f>
        <v>-0.69151395441775199</v>
      </c>
      <c r="E92" s="49">
        <v>14177056.5</v>
      </c>
      <c r="F92" s="49">
        <v>7702810.5</v>
      </c>
      <c r="G92" s="48">
        <f t="shared" si="21"/>
        <v>-0.45667067772495651</v>
      </c>
      <c r="H92" s="207">
        <f t="shared" si="22"/>
        <v>4.1773814303234938E-3</v>
      </c>
      <c r="I92" s="206">
        <f>B92/$B$3</f>
        <v>8.9494752248870449E-3</v>
      </c>
      <c r="J92" s="205">
        <v>142.22665148063783</v>
      </c>
      <c r="K92" s="205">
        <v>85.335990888382682</v>
      </c>
      <c r="L92" s="205">
        <v>91.025056947608206</v>
      </c>
      <c r="M92" s="154">
        <v>318.58769931662874</v>
      </c>
      <c r="N92" s="45">
        <f t="shared" si="23"/>
        <v>158.74049435229276</v>
      </c>
      <c r="O92" s="45">
        <f t="shared" si="24"/>
        <v>102.76358318595794</v>
      </c>
      <c r="P92" s="45">
        <f t="shared" si="25"/>
        <v>112.78929861873434</v>
      </c>
      <c r="Q92" s="45">
        <f t="shared" si="26"/>
        <v>374.29337615698506</v>
      </c>
      <c r="R92" s="153">
        <f t="shared" si="32"/>
        <v>0.17485193860229109</v>
      </c>
      <c r="S92">
        <v>144.79225</v>
      </c>
      <c r="T92">
        <v>88.85</v>
      </c>
      <c r="U92">
        <v>47.377499999999998</v>
      </c>
      <c r="V92">
        <f t="shared" si="33"/>
        <v>281.01974999999999</v>
      </c>
      <c r="W92" s="152">
        <f t="shared" si="27"/>
        <v>0.33191128437408784</v>
      </c>
    </row>
    <row r="93" spans="1:23" ht="16.2" customHeight="1" x14ac:dyDescent="0.3">
      <c r="A93" s="55" t="s">
        <v>246</v>
      </c>
      <c r="B93" s="157">
        <v>0</v>
      </c>
      <c r="C93" s="5">
        <v>199.70178585000005</v>
      </c>
      <c r="D93" s="50">
        <f>IFERROR((C93-B93)/B93,100%)</f>
        <v>1</v>
      </c>
      <c r="E93" s="49">
        <v>0</v>
      </c>
      <c r="F93" s="49">
        <v>6958018.5846561892</v>
      </c>
      <c r="G93" s="48">
        <f t="shared" si="21"/>
        <v>1</v>
      </c>
      <c r="H93" s="207">
        <f t="shared" si="22"/>
        <v>5.4743442605384683E-3</v>
      </c>
      <c r="I93" s="206">
        <f>B93/$B$3</f>
        <v>0</v>
      </c>
      <c r="J93" s="205">
        <v>324.17425968109336</v>
      </c>
      <c r="K93" s="205">
        <v>194.50455580865602</v>
      </c>
      <c r="L93" s="205">
        <v>207.47152619589977</v>
      </c>
      <c r="M93" s="154">
        <v>726.1503416856491</v>
      </c>
      <c r="N93" s="45">
        <f t="shared" si="23"/>
        <v>208.0250819004618</v>
      </c>
      <c r="O93" s="45">
        <f t="shared" si="24"/>
        <v>134.66886880924633</v>
      </c>
      <c r="P93" s="45">
        <f t="shared" si="25"/>
        <v>147.80729503453864</v>
      </c>
      <c r="Q93" s="45">
        <f t="shared" si="26"/>
        <v>490.50124574424677</v>
      </c>
      <c r="R93" s="153">
        <f t="shared" si="32"/>
        <v>-0.32451832962631166</v>
      </c>
      <c r="S93">
        <v>0</v>
      </c>
      <c r="T93">
        <v>240.39</v>
      </c>
      <c r="U93">
        <v>131.26</v>
      </c>
      <c r="V93">
        <f t="shared" si="33"/>
        <v>371.65</v>
      </c>
      <c r="W93" s="152">
        <f t="shared" si="27"/>
        <v>0.31979347704627148</v>
      </c>
    </row>
    <row r="94" spans="1:23" ht="16.2" customHeight="1" x14ac:dyDescent="0.3">
      <c r="A94" s="90" t="s">
        <v>245</v>
      </c>
      <c r="B94" s="157">
        <v>0</v>
      </c>
      <c r="C94" s="5">
        <v>69.60295545000001</v>
      </c>
      <c r="D94" s="50">
        <f>IFERROR((C94-B94)/B94,100%)</f>
        <v>1</v>
      </c>
      <c r="E94" s="49">
        <v>0</v>
      </c>
      <c r="F94" s="49">
        <v>2826531.123070823</v>
      </c>
      <c r="G94" s="48">
        <f t="shared" si="21"/>
        <v>1</v>
      </c>
      <c r="H94" s="207">
        <f t="shared" si="22"/>
        <v>1.9079976579199039E-3</v>
      </c>
      <c r="I94" s="206">
        <f>B94/$B$3</f>
        <v>0</v>
      </c>
      <c r="J94" s="205">
        <v>102.50569476082006</v>
      </c>
      <c r="K94" s="205">
        <v>61.503416856492038</v>
      </c>
      <c r="L94" s="205">
        <v>65.603644646924849</v>
      </c>
      <c r="M94" s="154">
        <v>229.61275626423696</v>
      </c>
      <c r="N94" s="45">
        <f t="shared" si="23"/>
        <v>72.50391100095635</v>
      </c>
      <c r="O94" s="45">
        <f t="shared" si="24"/>
        <v>46.936742384829635</v>
      </c>
      <c r="P94" s="45">
        <f t="shared" si="25"/>
        <v>51.515936763837409</v>
      </c>
      <c r="Q94" s="45">
        <f t="shared" si="26"/>
        <v>170.95659014962339</v>
      </c>
      <c r="R94" s="153">
        <f t="shared" si="32"/>
        <v>-0.25545691393169989</v>
      </c>
      <c r="S94">
        <v>0</v>
      </c>
      <c r="T94">
        <v>53.42</v>
      </c>
      <c r="U94">
        <v>29.17</v>
      </c>
      <c r="V94">
        <f t="shared" si="33"/>
        <v>82.59</v>
      </c>
      <c r="W94" s="152">
        <f t="shared" si="27"/>
        <v>1.0699429731156724</v>
      </c>
    </row>
    <row r="95" spans="1:23" ht="16.2" customHeight="1" x14ac:dyDescent="0.3">
      <c r="A95" s="90" t="s">
        <v>244</v>
      </c>
      <c r="B95" s="157">
        <v>0</v>
      </c>
      <c r="C95" s="5">
        <v>105.4746378</v>
      </c>
      <c r="D95" s="50">
        <f>IFERROR((C95-B95)/B95,100%)</f>
        <v>1</v>
      </c>
      <c r="E95" s="49">
        <v>0</v>
      </c>
      <c r="F95" s="49">
        <v>3921811.9332607663</v>
      </c>
      <c r="G95" s="48">
        <f t="shared" si="21"/>
        <v>1</v>
      </c>
      <c r="H95" s="207">
        <f t="shared" si="22"/>
        <v>2.8913335732836344E-3</v>
      </c>
      <c r="I95" s="206">
        <f>B95/$B$3</f>
        <v>0</v>
      </c>
      <c r="J95" s="205">
        <v>142.22665148063783</v>
      </c>
      <c r="K95" s="205">
        <v>85.335990888382682</v>
      </c>
      <c r="L95" s="205">
        <v>91.025056947608206</v>
      </c>
      <c r="M95" s="154">
        <v>318.58769931662874</v>
      </c>
      <c r="N95" s="45">
        <f t="shared" si="23"/>
        <v>109.8706757847781</v>
      </c>
      <c r="O95" s="45">
        <f t="shared" si="24"/>
        <v>71.126805902777406</v>
      </c>
      <c r="P95" s="45">
        <f t="shared" si="25"/>
        <v>78.066006478658124</v>
      </c>
      <c r="Q95" s="45">
        <f t="shared" si="26"/>
        <v>259.06348816621363</v>
      </c>
      <c r="R95" s="153">
        <f t="shared" si="32"/>
        <v>-0.18683775700723748</v>
      </c>
      <c r="S95">
        <v>0</v>
      </c>
      <c r="T95">
        <v>85.47</v>
      </c>
      <c r="U95">
        <v>46.67</v>
      </c>
      <c r="V95">
        <f t="shared" si="33"/>
        <v>132.13999999999999</v>
      </c>
      <c r="W95" s="152">
        <f t="shared" si="27"/>
        <v>0.96052284067060434</v>
      </c>
    </row>
    <row r="96" spans="1:23" ht="16.2" customHeight="1" thickBot="1" x14ac:dyDescent="0.35">
      <c r="A96" s="88" t="s">
        <v>243</v>
      </c>
      <c r="B96" s="157">
        <v>928.09198200000003</v>
      </c>
      <c r="C96" s="5">
        <v>208.40272950000002</v>
      </c>
      <c r="D96" s="50">
        <f>IFERROR((C96-B96)/B96,100%)</f>
        <v>-0.77545035024340947</v>
      </c>
      <c r="E96" s="49">
        <v>34598145</v>
      </c>
      <c r="F96" s="49">
        <v>7490307.47613768</v>
      </c>
      <c r="G96" s="48">
        <f t="shared" si="21"/>
        <v>-0.78350551810978075</v>
      </c>
      <c r="H96" s="207">
        <f t="shared" si="22"/>
        <v>5.7128597086047329E-3</v>
      </c>
      <c r="I96" s="206">
        <f>B96/$B$3</f>
        <v>1.6813964992503979E-2</v>
      </c>
      <c r="J96" s="205">
        <v>271.6400911161731</v>
      </c>
      <c r="K96" s="205">
        <v>162.98405466970388</v>
      </c>
      <c r="L96" s="205">
        <v>173.84965831435079</v>
      </c>
      <c r="M96" s="154">
        <v>608.47380410022777</v>
      </c>
      <c r="N96" s="45">
        <f t="shared" si="23"/>
        <v>217.08866892697984</v>
      </c>
      <c r="O96" s="45">
        <f t="shared" si="24"/>
        <v>140.53634883167643</v>
      </c>
      <c r="P96" s="45">
        <f t="shared" si="25"/>
        <v>154.24721213232777</v>
      </c>
      <c r="Q96" s="45">
        <f t="shared" si="26"/>
        <v>511.87222989098404</v>
      </c>
      <c r="R96" s="153">
        <f t="shared" si="32"/>
        <v>-0.15876044877904316</v>
      </c>
      <c r="S96">
        <v>424.27475000000004</v>
      </c>
      <c r="T96">
        <v>154.91999999999999</v>
      </c>
      <c r="U96">
        <v>84.59</v>
      </c>
      <c r="V96">
        <f t="shared" si="33"/>
        <v>663.78475000000003</v>
      </c>
      <c r="W96" s="152">
        <f t="shared" si="27"/>
        <v>-0.22885810514480182</v>
      </c>
    </row>
    <row r="97" spans="1:23" ht="16.2" thickBot="1" x14ac:dyDescent="0.35">
      <c r="A97" s="87" t="s">
        <v>242</v>
      </c>
      <c r="B97" s="42">
        <v>1422.0823170000001</v>
      </c>
      <c r="C97" s="40">
        <v>798.80223360000014</v>
      </c>
      <c r="D97" s="41">
        <f>IFERROR((C97-B97)/B97,100%)</f>
        <v>-0.43828692330192298</v>
      </c>
      <c r="E97" s="40">
        <v>48775201.5</v>
      </c>
      <c r="F97" s="40">
        <v>28899479.617125459</v>
      </c>
      <c r="G97" s="39">
        <f t="shared" si="21"/>
        <v>-0.40749645868453338</v>
      </c>
      <c r="H97" s="150">
        <f t="shared" si="22"/>
        <v>2.1897242451792871E-2</v>
      </c>
      <c r="I97" s="150">
        <f>B97/$B$3</f>
        <v>2.5763440217391024E-2</v>
      </c>
      <c r="J97" s="204">
        <v>1125</v>
      </c>
      <c r="K97" s="36">
        <v>675</v>
      </c>
      <c r="L97" s="36">
        <v>720</v>
      </c>
      <c r="M97" s="36">
        <v>2520</v>
      </c>
      <c r="N97" s="36">
        <f t="shared" si="23"/>
        <v>832.09521316812913</v>
      </c>
      <c r="O97" s="36">
        <f t="shared" si="24"/>
        <v>538.67216431410463</v>
      </c>
      <c r="P97" s="36">
        <f t="shared" si="25"/>
        <v>591.22554619840753</v>
      </c>
      <c r="Q97" s="148">
        <f t="shared" si="26"/>
        <v>1961.9929236806413</v>
      </c>
      <c r="R97" s="41"/>
      <c r="S97" s="42">
        <f>SUM(S91:S96)</f>
        <v>569.06700000000001</v>
      </c>
      <c r="T97" s="42">
        <f>SUM(T91:T96)</f>
        <v>715.53</v>
      </c>
      <c r="U97" s="42">
        <f>SUM(U91:U96)</f>
        <v>388.38</v>
      </c>
      <c r="V97" s="147">
        <f>SUM(V91:V96)</f>
        <v>1672.9770000000001</v>
      </c>
      <c r="W97" s="146">
        <f t="shared" si="27"/>
        <v>0.17275546745749715</v>
      </c>
    </row>
    <row r="98" spans="1:23" ht="16.2" customHeight="1" x14ac:dyDescent="0.3">
      <c r="A98" s="89" t="s">
        <v>241</v>
      </c>
      <c r="B98" s="157">
        <v>197.31645</v>
      </c>
      <c r="C98" s="5">
        <v>88.645095000000012</v>
      </c>
      <c r="D98" s="50">
        <f>IFERROR((C98-B98)/B98,100%)</f>
        <v>-0.55074655458275268</v>
      </c>
      <c r="E98" s="49">
        <v>4499046.5999999996</v>
      </c>
      <c r="F98" s="49">
        <v>2334574.2000000002</v>
      </c>
      <c r="G98" s="48">
        <f t="shared" si="21"/>
        <v>-0.48109579482906439</v>
      </c>
      <c r="H98" s="207">
        <f t="shared" si="22"/>
        <v>2.4299921253715579E-3</v>
      </c>
      <c r="I98" s="206">
        <f>B98/$B$3</f>
        <v>3.574723138536027E-3</v>
      </c>
      <c r="J98" s="205">
        <v>203.66379310344828</v>
      </c>
      <c r="K98" s="205">
        <v>122.19827586206897</v>
      </c>
      <c r="L98" s="205">
        <v>130.34482758620689</v>
      </c>
      <c r="M98" s="154">
        <v>456.20689655172418</v>
      </c>
      <c r="N98" s="45">
        <f t="shared" si="23"/>
        <v>92.3397007641192</v>
      </c>
      <c r="O98" s="45">
        <f t="shared" si="24"/>
        <v>59.777806284140325</v>
      </c>
      <c r="P98" s="45">
        <f t="shared" si="25"/>
        <v>65.609787385032064</v>
      </c>
      <c r="Q98" s="45">
        <f t="shared" si="26"/>
        <v>217.7272944332916</v>
      </c>
      <c r="R98" s="153">
        <f>Q98/M98-1</f>
        <v>-0.52274440373654907</v>
      </c>
      <c r="S98">
        <v>84.677500000000009</v>
      </c>
      <c r="T98">
        <v>157.61000000000001</v>
      </c>
      <c r="U98">
        <v>144.66499999999999</v>
      </c>
      <c r="V98">
        <f t="shared" ref="V98:V104" si="34">SUM(S98:U98)</f>
        <v>386.95249999999999</v>
      </c>
      <c r="W98" s="152">
        <f t="shared" si="27"/>
        <v>-0.43732811021174017</v>
      </c>
    </row>
    <row r="99" spans="1:23" ht="16.2" customHeight="1" x14ac:dyDescent="0.3">
      <c r="A99" s="86" t="s">
        <v>240</v>
      </c>
      <c r="B99" s="157">
        <v>160.41468599999999</v>
      </c>
      <c r="C99" s="5">
        <v>126.94132500000001</v>
      </c>
      <c r="D99" s="50">
        <f>IFERROR((C99-B99)/B99,100%)</f>
        <v>-0.20866768395507121</v>
      </c>
      <c r="E99" s="49">
        <v>7312915.5</v>
      </c>
      <c r="F99" s="49">
        <v>8622802.6500000004</v>
      </c>
      <c r="G99" s="48">
        <f t="shared" si="21"/>
        <v>0.17911968899408182</v>
      </c>
      <c r="H99" s="207">
        <f t="shared" si="22"/>
        <v>3.4797911845458759E-3</v>
      </c>
      <c r="I99" s="206">
        <f>B99/$B$3</f>
        <v>2.9061849116238975E-3</v>
      </c>
      <c r="J99" s="205">
        <v>174.56896551724142</v>
      </c>
      <c r="K99" s="205">
        <v>104.74137931034485</v>
      </c>
      <c r="L99" s="205">
        <v>111.72413793103452</v>
      </c>
      <c r="M99" s="154">
        <v>391.03448275862081</v>
      </c>
      <c r="N99" s="45">
        <f t="shared" si="23"/>
        <v>132.23206501274328</v>
      </c>
      <c r="O99" s="45">
        <f t="shared" si="24"/>
        <v>85.602863139828543</v>
      </c>
      <c r="P99" s="45">
        <f t="shared" si="25"/>
        <v>93.954361982738646</v>
      </c>
      <c r="Q99" s="45">
        <f t="shared" si="26"/>
        <v>311.78929013531047</v>
      </c>
      <c r="R99" s="153">
        <f>Q99/M99-1</f>
        <v>-0.20265525450405641</v>
      </c>
      <c r="S99">
        <v>96.897999999999996</v>
      </c>
      <c r="T99">
        <v>84.67</v>
      </c>
      <c r="U99">
        <v>72.522499999999994</v>
      </c>
      <c r="V99">
        <f t="shared" si="34"/>
        <v>254.09049999999996</v>
      </c>
      <c r="W99" s="152">
        <f t="shared" si="27"/>
        <v>0.22707968277173099</v>
      </c>
    </row>
    <row r="100" spans="1:23" ht="16.2" customHeight="1" x14ac:dyDescent="0.3">
      <c r="A100" s="55" t="s">
        <v>239</v>
      </c>
      <c r="B100" s="157">
        <v>260.02400999999998</v>
      </c>
      <c r="C100" s="5">
        <v>139.68701250000001</v>
      </c>
      <c r="D100" s="50">
        <f>IFERROR((C100-B100)/B100,100%)</f>
        <v>-0.46279186872012312</v>
      </c>
      <c r="E100" s="49">
        <v>11546568.300000001</v>
      </c>
      <c r="F100" s="49">
        <v>11038747.65</v>
      </c>
      <c r="G100" s="48">
        <f t="shared" si="21"/>
        <v>-4.3980223110965388E-2</v>
      </c>
      <c r="H100" s="207">
        <f t="shared" si="22"/>
        <v>3.8291835593574396E-3</v>
      </c>
      <c r="I100" s="206">
        <f>B100/$B$3</f>
        <v>4.7107772571517636E-3</v>
      </c>
      <c r="J100" s="205">
        <v>203.66379310344828</v>
      </c>
      <c r="K100" s="205">
        <v>122.19827586206897</v>
      </c>
      <c r="L100" s="205">
        <v>130.34482758620689</v>
      </c>
      <c r="M100" s="154">
        <v>456.20689655172418</v>
      </c>
      <c r="N100" s="45">
        <f t="shared" si="23"/>
        <v>145.5089752555827</v>
      </c>
      <c r="O100" s="45">
        <f t="shared" si="24"/>
        <v>94.19791556019301</v>
      </c>
      <c r="P100" s="45">
        <f t="shared" si="25"/>
        <v>103.38795610265088</v>
      </c>
      <c r="Q100" s="45">
        <f t="shared" si="26"/>
        <v>343.09484691842658</v>
      </c>
      <c r="R100" s="153">
        <f>Q100/M100-1</f>
        <v>-0.24794024485000987</v>
      </c>
      <c r="S100">
        <v>133.26875000000001</v>
      </c>
      <c r="T100">
        <v>205.16</v>
      </c>
      <c r="U100">
        <v>60.484999999999999</v>
      </c>
      <c r="V100">
        <f t="shared" si="34"/>
        <v>398.91375000000005</v>
      </c>
      <c r="W100" s="152">
        <f t="shared" si="27"/>
        <v>-0.13992724763579462</v>
      </c>
    </row>
    <row r="101" spans="1:23" ht="16.2" customHeight="1" x14ac:dyDescent="0.3">
      <c r="A101" s="55" t="s">
        <v>238</v>
      </c>
      <c r="B101" s="157">
        <v>0</v>
      </c>
      <c r="C101" s="5">
        <v>202.51297500000004</v>
      </c>
      <c r="D101" s="50">
        <f>IFERROR((C101-B101)/B101,100%)</f>
        <v>1</v>
      </c>
      <c r="E101" s="49">
        <v>0</v>
      </c>
      <c r="F101" s="49">
        <v>11936610</v>
      </c>
      <c r="G101" s="48">
        <f t="shared" si="21"/>
        <v>1</v>
      </c>
      <c r="H101" s="207">
        <f t="shared" si="22"/>
        <v>5.5514062513618749E-3</v>
      </c>
      <c r="I101" s="206">
        <f>B101/$B$3</f>
        <v>0</v>
      </c>
      <c r="J101" s="205">
        <v>116.3793103448276</v>
      </c>
      <c r="K101" s="205">
        <v>69.827586206896555</v>
      </c>
      <c r="L101" s="205">
        <v>74.482758620689665</v>
      </c>
      <c r="M101" s="154">
        <v>260.68965517241384</v>
      </c>
      <c r="N101" s="45">
        <f t="shared" si="23"/>
        <v>210.95343755175125</v>
      </c>
      <c r="O101" s="45">
        <f t="shared" si="24"/>
        <v>136.56459378350212</v>
      </c>
      <c r="P101" s="45">
        <f t="shared" si="25"/>
        <v>149.88796878677061</v>
      </c>
      <c r="Q101" s="45">
        <f t="shared" si="26"/>
        <v>497.40600012202395</v>
      </c>
      <c r="R101" s="153">
        <f>Q101/M101-1</f>
        <v>0.90803888935696997</v>
      </c>
      <c r="S101">
        <v>0</v>
      </c>
      <c r="T101">
        <v>203.65</v>
      </c>
      <c r="U101">
        <v>160.2825</v>
      </c>
      <c r="V101">
        <f t="shared" si="34"/>
        <v>363.9325</v>
      </c>
      <c r="W101" s="152">
        <f t="shared" si="27"/>
        <v>0.36675345049431957</v>
      </c>
    </row>
    <row r="102" spans="1:23" ht="16.2" customHeight="1" x14ac:dyDescent="0.3">
      <c r="A102" s="86" t="s">
        <v>237</v>
      </c>
      <c r="B102" s="157">
        <v>666.96703500000001</v>
      </c>
      <c r="C102" s="5">
        <v>178.26978750000001</v>
      </c>
      <c r="D102" s="50">
        <f>IFERROR((C102-B102)/B102,100%)</f>
        <v>-0.73271574433959841</v>
      </c>
      <c r="E102" s="49">
        <v>18569953.740000002</v>
      </c>
      <c r="F102" s="49">
        <v>8392889.4000000004</v>
      </c>
      <c r="G102" s="48">
        <f t="shared" si="21"/>
        <v>-0.54803929414635155</v>
      </c>
      <c r="H102" s="207">
        <f t="shared" si="22"/>
        <v>4.8868375606869281E-3</v>
      </c>
      <c r="I102" s="206">
        <f>B102/$B$3</f>
        <v>1.2083242388839188E-2</v>
      </c>
      <c r="J102" s="205">
        <v>164.87068965517247</v>
      </c>
      <c r="K102" s="205">
        <v>98.922413793103473</v>
      </c>
      <c r="L102" s="205">
        <v>105.51724137931038</v>
      </c>
      <c r="M102" s="154">
        <v>369.31034482758628</v>
      </c>
      <c r="N102" s="45">
        <f t="shared" si="23"/>
        <v>185.69982730610326</v>
      </c>
      <c r="O102" s="45">
        <f t="shared" si="24"/>
        <v>120.21620399289843</v>
      </c>
      <c r="P102" s="45">
        <f t="shared" si="25"/>
        <v>131.94461413854705</v>
      </c>
      <c r="Q102" s="45">
        <f t="shared" si="26"/>
        <v>437.86064543754878</v>
      </c>
      <c r="R102" s="153">
        <f>M102/Q102-1</f>
        <v>-0.15655734609686378</v>
      </c>
      <c r="S102">
        <v>447.423</v>
      </c>
      <c r="T102">
        <v>195.67</v>
      </c>
      <c r="U102">
        <v>153.995</v>
      </c>
      <c r="V102">
        <f t="shared" si="34"/>
        <v>797.08799999999997</v>
      </c>
      <c r="W102" s="152">
        <f t="shared" si="27"/>
        <v>-0.45067464892515152</v>
      </c>
    </row>
    <row r="103" spans="1:23" ht="16.2" customHeight="1" x14ac:dyDescent="0.3">
      <c r="A103" s="86" t="s">
        <v>236</v>
      </c>
      <c r="B103" s="157">
        <v>665.96513999999991</v>
      </c>
      <c r="C103" s="5">
        <v>75.933742499999994</v>
      </c>
      <c r="D103" s="50">
        <f>IFERROR((C103-B103)/B103,100%)</f>
        <v>-0.88597940351652638</v>
      </c>
      <c r="E103" s="49">
        <v>16829503.260000002</v>
      </c>
      <c r="F103" s="49">
        <v>3241893.3540000003</v>
      </c>
      <c r="G103" s="48">
        <f t="shared" si="21"/>
        <v>-0.80736844671433283</v>
      </c>
      <c r="H103" s="207">
        <f t="shared" si="22"/>
        <v>2.081540962023805E-3</v>
      </c>
      <c r="I103" s="206">
        <f>B103/$B$3</f>
        <v>1.2065091356632375E-2</v>
      </c>
      <c r="J103" s="205">
        <v>116.3793103448276</v>
      </c>
      <c r="K103" s="205">
        <v>69.827586206896555</v>
      </c>
      <c r="L103" s="205">
        <v>74.482758620689665</v>
      </c>
      <c r="M103" s="154">
        <v>260.68965517241384</v>
      </c>
      <c r="N103" s="45">
        <f t="shared" si="23"/>
        <v>79.098556556904597</v>
      </c>
      <c r="O103" s="45">
        <f t="shared" si="24"/>
        <v>51.205907665785602</v>
      </c>
      <c r="P103" s="45">
        <f t="shared" si="25"/>
        <v>56.201605974642739</v>
      </c>
      <c r="Q103" s="45">
        <f t="shared" si="26"/>
        <v>186.50607019733295</v>
      </c>
      <c r="R103" s="153">
        <f>Q103/M103-1</f>
        <v>-0.28456666194144786</v>
      </c>
      <c r="S103">
        <v>169.26049999999998</v>
      </c>
      <c r="T103">
        <v>135.13999999999999</v>
      </c>
      <c r="U103">
        <v>75.05</v>
      </c>
      <c r="V103">
        <f t="shared" si="34"/>
        <v>379.45049999999998</v>
      </c>
      <c r="W103" s="152">
        <f t="shared" si="27"/>
        <v>-0.50848379380885533</v>
      </c>
    </row>
    <row r="104" spans="1:23" ht="16.2" customHeight="1" thickBot="1" x14ac:dyDescent="0.35">
      <c r="A104" s="88" t="s">
        <v>235</v>
      </c>
      <c r="B104" s="157">
        <v>0</v>
      </c>
      <c r="C104" s="5">
        <v>101.76022500000001</v>
      </c>
      <c r="D104" s="50">
        <f>IFERROR((C104-B104)/B104,100%)</f>
        <v>1</v>
      </c>
      <c r="E104" s="49">
        <v>0</v>
      </c>
      <c r="F104" s="49">
        <v>3976361.5500000003</v>
      </c>
      <c r="G104" s="48">
        <f t="shared" si="21"/>
        <v>1</v>
      </c>
      <c r="H104" s="207">
        <f t="shared" si="22"/>
        <v>2.7895118779672802E-3</v>
      </c>
      <c r="I104" s="206">
        <f>B104/$B$3</f>
        <v>0</v>
      </c>
      <c r="J104" s="205">
        <v>145.47413793103451</v>
      </c>
      <c r="K104" s="205">
        <v>87.284482758620712</v>
      </c>
      <c r="L104" s="205">
        <v>93.103448275862092</v>
      </c>
      <c r="M104" s="154">
        <v>325.86206896551732</v>
      </c>
      <c r="N104" s="45">
        <f t="shared" si="23"/>
        <v>106.00145136275665</v>
      </c>
      <c r="O104" s="45">
        <f t="shared" si="24"/>
        <v>68.621992197995098</v>
      </c>
      <c r="P104" s="45">
        <f t="shared" si="25"/>
        <v>75.316820705116569</v>
      </c>
      <c r="Q104" s="45">
        <f t="shared" si="26"/>
        <v>249.94026426586834</v>
      </c>
      <c r="R104" s="153">
        <f>Q104/M104-1</f>
        <v>-0.23298754881373762</v>
      </c>
      <c r="S104">
        <v>0</v>
      </c>
      <c r="T104">
        <v>82.83</v>
      </c>
      <c r="U104">
        <v>45.997500000000002</v>
      </c>
      <c r="V104">
        <f t="shared" si="34"/>
        <v>128.82749999999999</v>
      </c>
      <c r="W104" s="152">
        <f t="shared" si="27"/>
        <v>0.94011576927184304</v>
      </c>
    </row>
    <row r="105" spans="1:23" ht="16.2" thickBot="1" x14ac:dyDescent="0.35">
      <c r="A105" s="87" t="s">
        <v>234</v>
      </c>
      <c r="B105" s="42">
        <v>1950.6873209999999</v>
      </c>
      <c r="C105" s="40">
        <v>913.75016249999999</v>
      </c>
      <c r="D105" s="41">
        <f>IFERROR((C105-B105)/B105,100%)</f>
        <v>-0.53157527981902541</v>
      </c>
      <c r="E105" s="40">
        <v>58757987.400000006</v>
      </c>
      <c r="F105" s="40">
        <v>49543878.803999998</v>
      </c>
      <c r="G105" s="39">
        <f t="shared" si="21"/>
        <v>-0.15681457115394676</v>
      </c>
      <c r="H105" s="150">
        <f t="shared" si="22"/>
        <v>2.504826352131476E-2</v>
      </c>
      <c r="I105" s="150">
        <f>B105/$B$3</f>
        <v>3.534001905278325E-2</v>
      </c>
      <c r="J105" s="204">
        <v>1125</v>
      </c>
      <c r="K105" s="36">
        <v>675</v>
      </c>
      <c r="L105" s="36">
        <v>720</v>
      </c>
      <c r="M105" s="36">
        <v>2520</v>
      </c>
      <c r="N105" s="36">
        <f t="shared" si="23"/>
        <v>951.83401380996088</v>
      </c>
      <c r="O105" s="36">
        <f t="shared" si="24"/>
        <v>616.18728262434308</v>
      </c>
      <c r="P105" s="36">
        <f t="shared" si="25"/>
        <v>676.30311507549857</v>
      </c>
      <c r="Q105" s="148">
        <f t="shared" si="26"/>
        <v>2244.3244115098028</v>
      </c>
      <c r="R105" s="41"/>
      <c r="S105" s="42">
        <f>SUM(S98:S104)</f>
        <v>931.52774999999997</v>
      </c>
      <c r="T105" s="42">
        <f>SUM(T98:T104)</f>
        <v>1064.73</v>
      </c>
      <c r="U105" s="42">
        <f>SUM(U98:U104)</f>
        <v>712.99749999999995</v>
      </c>
      <c r="V105" s="147">
        <f>SUM(V98:V104)</f>
        <v>2709.2552499999997</v>
      </c>
      <c r="W105" s="146">
        <f t="shared" si="27"/>
        <v>-0.1716083556505785</v>
      </c>
    </row>
    <row r="106" spans="1:23" ht="16.2" customHeight="1" x14ac:dyDescent="0.3">
      <c r="A106" s="53" t="s">
        <v>233</v>
      </c>
      <c r="B106" s="157">
        <v>0</v>
      </c>
      <c r="C106" s="5">
        <v>128.63855759999998</v>
      </c>
      <c r="D106" s="50">
        <f>IFERROR((C106-B106)/B106,100%)</f>
        <v>1</v>
      </c>
      <c r="E106" s="49">
        <v>0</v>
      </c>
      <c r="F106" s="49">
        <v>4261016.7779790824</v>
      </c>
      <c r="G106" s="48">
        <f t="shared" si="21"/>
        <v>1</v>
      </c>
      <c r="H106" s="207">
        <f t="shared" si="22"/>
        <v>3.5263167351465472E-3</v>
      </c>
      <c r="I106" s="206">
        <f>B106/$B$3</f>
        <v>0</v>
      </c>
      <c r="J106" s="205">
        <v>139.03606644849725</v>
      </c>
      <c r="K106" s="205">
        <v>83.421639869098357</v>
      </c>
      <c r="L106" s="205">
        <v>88.983082527038249</v>
      </c>
      <c r="M106" s="154">
        <v>311.44078884463386</v>
      </c>
      <c r="N106" s="45">
        <f t="shared" si="23"/>
        <v>134.0000359355688</v>
      </c>
      <c r="O106" s="45">
        <f t="shared" si="24"/>
        <v>86.747391684605063</v>
      </c>
      <c r="P106" s="45">
        <f t="shared" si="25"/>
        <v>95.210551848956769</v>
      </c>
      <c r="Q106" s="45">
        <f t="shared" si="26"/>
        <v>315.95797946913063</v>
      </c>
      <c r="R106" s="153">
        <f>Q106/M106-1</f>
        <v>1.4504171535316246E-2</v>
      </c>
      <c r="S106">
        <v>0</v>
      </c>
      <c r="T106">
        <v>84.28</v>
      </c>
      <c r="U106">
        <v>43.397500000000001</v>
      </c>
      <c r="V106">
        <f t="shared" ref="V106:V111" si="35">SUM(S106:U106)</f>
        <v>127.67750000000001</v>
      </c>
      <c r="W106" s="152">
        <f t="shared" si="27"/>
        <v>1.4746566894647108</v>
      </c>
    </row>
    <row r="107" spans="1:23" ht="16.2" customHeight="1" x14ac:dyDescent="0.3">
      <c r="A107" s="86" t="s">
        <v>232</v>
      </c>
      <c r="B107" s="157">
        <v>0</v>
      </c>
      <c r="C107" s="5">
        <v>174.03318240000002</v>
      </c>
      <c r="D107" s="50">
        <f>IFERROR((C107-B107)/B107,100%)</f>
        <v>1</v>
      </c>
      <c r="E107" s="49">
        <v>0</v>
      </c>
      <c r="F107" s="49">
        <v>6164877.3720209189</v>
      </c>
      <c r="G107" s="48">
        <f t="shared" si="21"/>
        <v>1</v>
      </c>
      <c r="H107" s="207">
        <f t="shared" si="22"/>
        <v>4.7707012191182379E-3</v>
      </c>
      <c r="I107" s="206">
        <f>B107/$B$3</f>
        <v>0</v>
      </c>
      <c r="J107" s="205">
        <v>225.93360797880806</v>
      </c>
      <c r="K107" s="205">
        <v>135.56016478728483</v>
      </c>
      <c r="L107" s="205">
        <v>144.59750910643714</v>
      </c>
      <c r="M107" s="154">
        <v>506.09128187253003</v>
      </c>
      <c r="N107" s="45">
        <f t="shared" si="23"/>
        <v>181.28664632649304</v>
      </c>
      <c r="O107" s="45">
        <f t="shared" si="24"/>
        <v>117.35924999030865</v>
      </c>
      <c r="P107" s="45">
        <f t="shared" si="25"/>
        <v>128.80893291619242</v>
      </c>
      <c r="Q107" s="45">
        <f t="shared" si="26"/>
        <v>427.45482923299409</v>
      </c>
      <c r="R107" s="153">
        <f>Q107/M107-1</f>
        <v>-0.15537997878284382</v>
      </c>
      <c r="S107">
        <v>0</v>
      </c>
      <c r="T107">
        <v>172.78</v>
      </c>
      <c r="U107">
        <v>88.962500000000006</v>
      </c>
      <c r="V107">
        <f t="shared" si="35"/>
        <v>261.74250000000001</v>
      </c>
      <c r="W107" s="152">
        <f t="shared" si="27"/>
        <v>0.63311204421518885</v>
      </c>
    </row>
    <row r="108" spans="1:23" ht="16.2" customHeight="1" x14ac:dyDescent="0.3">
      <c r="A108" s="86" t="s">
        <v>231</v>
      </c>
      <c r="B108" s="157">
        <v>0</v>
      </c>
      <c r="C108" s="5">
        <v>120.9275025</v>
      </c>
      <c r="D108" s="50">
        <f>IFERROR((C108-B108)/B108,100%)</f>
        <v>1</v>
      </c>
      <c r="E108" s="49">
        <v>0</v>
      </c>
      <c r="F108" s="49">
        <v>2268289.5011891993</v>
      </c>
      <c r="G108" s="48">
        <f t="shared" si="21"/>
        <v>1</v>
      </c>
      <c r="H108" s="207">
        <f t="shared" si="22"/>
        <v>3.3149367014142111E-3</v>
      </c>
      <c r="I108" s="206">
        <f>B108/$B$3</f>
        <v>0</v>
      </c>
      <c r="J108" s="205">
        <v>217.24385382577697</v>
      </c>
      <c r="K108" s="205">
        <v>130.34631229546616</v>
      </c>
      <c r="L108" s="205">
        <v>139.03606644849725</v>
      </c>
      <c r="M108" s="154">
        <v>486.62623256974035</v>
      </c>
      <c r="N108" s="45">
        <f t="shared" si="23"/>
        <v>125.96759465374002</v>
      </c>
      <c r="O108" s="45">
        <f t="shared" si="24"/>
        <v>81.547442854789594</v>
      </c>
      <c r="P108" s="45">
        <f t="shared" si="25"/>
        <v>89.503290938183696</v>
      </c>
      <c r="Q108" s="45">
        <f t="shared" si="26"/>
        <v>297.01832844671333</v>
      </c>
      <c r="R108" s="153">
        <f>Q108/M108-1</f>
        <v>-0.3896376550063062</v>
      </c>
      <c r="S108">
        <v>0</v>
      </c>
      <c r="T108">
        <v>80.069999999999993</v>
      </c>
      <c r="U108">
        <v>41.227499999999999</v>
      </c>
      <c r="V108">
        <f t="shared" si="35"/>
        <v>121.29749999999999</v>
      </c>
      <c r="W108" s="152">
        <f t="shared" si="27"/>
        <v>1.4486764232297729</v>
      </c>
    </row>
    <row r="109" spans="1:23" ht="16.2" customHeight="1" x14ac:dyDescent="0.3">
      <c r="A109" s="86" t="s">
        <v>230</v>
      </c>
      <c r="B109" s="157">
        <v>0</v>
      </c>
      <c r="C109" s="5">
        <v>52.28217750000001</v>
      </c>
      <c r="D109" s="50">
        <f>IFERROR((C109-B109)/B109,100%)</f>
        <v>1</v>
      </c>
      <c r="E109" s="49">
        <v>0</v>
      </c>
      <c r="F109" s="49">
        <v>1118900.6029416018</v>
      </c>
      <c r="G109" s="48">
        <f t="shared" si="21"/>
        <v>1</v>
      </c>
      <c r="H109" s="207">
        <f t="shared" si="22"/>
        <v>1.4331901795838569E-3</v>
      </c>
      <c r="I109" s="206">
        <f>B109/$B$3</f>
        <v>0</v>
      </c>
      <c r="J109" s="205">
        <v>59.065634849160553</v>
      </c>
      <c r="K109" s="205">
        <v>35.439380909496336</v>
      </c>
      <c r="L109" s="205">
        <v>37.802006303462754</v>
      </c>
      <c r="M109" s="154">
        <v>132.30702206211964</v>
      </c>
      <c r="N109" s="45">
        <f t="shared" si="23"/>
        <v>54.461226824186561</v>
      </c>
      <c r="O109" s="45">
        <f t="shared" si="24"/>
        <v>35.256478417762878</v>
      </c>
      <c r="P109" s="45">
        <f t="shared" si="25"/>
        <v>38.696134848764139</v>
      </c>
      <c r="Q109" s="45">
        <f t="shared" si="26"/>
        <v>128.41384009071356</v>
      </c>
      <c r="R109" s="153">
        <f>Q109/M109-1</f>
        <v>-2.9425361637859138E-2</v>
      </c>
      <c r="S109">
        <v>0</v>
      </c>
      <c r="T109">
        <v>42.14</v>
      </c>
      <c r="U109">
        <v>21.697500000000002</v>
      </c>
      <c r="V109">
        <f t="shared" si="35"/>
        <v>63.837500000000006</v>
      </c>
      <c r="W109" s="152">
        <f t="shared" si="27"/>
        <v>1.0115737629248256</v>
      </c>
    </row>
    <row r="110" spans="1:23" ht="16.2" customHeight="1" x14ac:dyDescent="0.3">
      <c r="A110" s="86" t="s">
        <v>229</v>
      </c>
      <c r="B110" s="157">
        <v>748.57493999999997</v>
      </c>
      <c r="C110" s="5">
        <v>80.724157500000018</v>
      </c>
      <c r="D110" s="50">
        <f>IFERROR((C110-B110)/B110,100%)</f>
        <v>-0.89216289086567602</v>
      </c>
      <c r="E110" s="49">
        <v>22712128.859999999</v>
      </c>
      <c r="F110" s="49">
        <v>1748673.9708163347</v>
      </c>
      <c r="G110" s="48">
        <f t="shared" si="21"/>
        <v>-0.92300704255442756</v>
      </c>
      <c r="H110" s="207">
        <f t="shared" si="22"/>
        <v>2.2128586703218426E-3</v>
      </c>
      <c r="I110" s="206">
        <f>B110/$B$3</f>
        <v>1.3561708407718757E-2</v>
      </c>
      <c r="J110" s="205">
        <v>85.645170531282815</v>
      </c>
      <c r="K110" s="205">
        <v>51.387102318769685</v>
      </c>
      <c r="L110" s="205">
        <v>54.812909140020999</v>
      </c>
      <c r="M110" s="154">
        <v>191.84518199007348</v>
      </c>
      <c r="N110" s="45">
        <f t="shared" si="23"/>
        <v>84.088629472230025</v>
      </c>
      <c r="O110" s="45">
        <f t="shared" si="24"/>
        <v>54.436323289917325</v>
      </c>
      <c r="P110" s="45">
        <f t="shared" si="25"/>
        <v>59.74718409868975</v>
      </c>
      <c r="Q110" s="45">
        <f t="shared" si="26"/>
        <v>198.27213686083709</v>
      </c>
      <c r="R110" s="153">
        <f>Q110/M110-1</f>
        <v>3.3500736396372854E-2</v>
      </c>
      <c r="S110">
        <v>360.95625000000001</v>
      </c>
      <c r="T110">
        <v>42.14</v>
      </c>
      <c r="U110">
        <v>21.697500000000002</v>
      </c>
      <c r="V110">
        <f t="shared" si="35"/>
        <v>424.79374999999999</v>
      </c>
      <c r="W110" s="152">
        <f t="shared" si="27"/>
        <v>-0.5332508143991358</v>
      </c>
    </row>
    <row r="111" spans="1:23" ht="16.2" customHeight="1" thickBot="1" x14ac:dyDescent="0.35">
      <c r="A111" s="85" t="s">
        <v>228</v>
      </c>
      <c r="B111" s="157">
        <v>575.61864000000014</v>
      </c>
      <c r="C111" s="5">
        <v>316.12402500000002</v>
      </c>
      <c r="D111" s="50">
        <f>IFERROR((C111-B111)/B111,100%)</f>
        <v>-0.45080995813478186</v>
      </c>
      <c r="E111" s="49">
        <v>17769379.199999999</v>
      </c>
      <c r="F111" s="49">
        <v>15118117.350000001</v>
      </c>
      <c r="G111" s="48">
        <f t="shared" si="21"/>
        <v>-0.14920396600011765</v>
      </c>
      <c r="H111" s="207">
        <f t="shared" si="22"/>
        <v>8.6657800004699814E-3</v>
      </c>
      <c r="I111" s="206">
        <f>B111/$B$3</f>
        <v>1.0428310824468207E-2</v>
      </c>
      <c r="J111" s="205">
        <v>248.07566636647425</v>
      </c>
      <c r="K111" s="205">
        <v>148.84539981988453</v>
      </c>
      <c r="L111" s="205">
        <v>158.7684264745435</v>
      </c>
      <c r="M111" s="154">
        <v>555.68949266090226</v>
      </c>
      <c r="N111" s="45">
        <f t="shared" si="23"/>
        <v>329.2996400178593</v>
      </c>
      <c r="O111" s="45">
        <f t="shared" si="24"/>
        <v>213.17818801156153</v>
      </c>
      <c r="P111" s="45">
        <f t="shared" si="25"/>
        <v>233.97606001268949</v>
      </c>
      <c r="Q111" s="45">
        <f t="shared" si="26"/>
        <v>776.45388804211029</v>
      </c>
      <c r="R111" s="153">
        <f>M111/Q111-1</f>
        <v>-0.28432389711883965</v>
      </c>
      <c r="S111">
        <v>361.18240000000003</v>
      </c>
      <c r="T111">
        <v>288.7</v>
      </c>
      <c r="U111">
        <v>216.85749999999999</v>
      </c>
      <c r="V111">
        <f t="shared" si="35"/>
        <v>866.73989999999992</v>
      </c>
      <c r="W111" s="152">
        <f t="shared" si="27"/>
        <v>-0.10416736550133394</v>
      </c>
    </row>
    <row r="112" spans="1:23" ht="16.2" thickBot="1" x14ac:dyDescent="0.35">
      <c r="A112" s="84" t="s">
        <v>227</v>
      </c>
      <c r="B112" s="42">
        <v>1324.1935800000001</v>
      </c>
      <c r="C112" s="40">
        <v>872.72960250000006</v>
      </c>
      <c r="D112" s="41">
        <f>IFERROR((C112-B112)/B112,100%)</f>
        <v>-0.34093502968047923</v>
      </c>
      <c r="E112" s="40">
        <v>40481508.060000002</v>
      </c>
      <c r="F112" s="40">
        <v>30679875.574947141</v>
      </c>
      <c r="G112" s="39">
        <f t="shared" si="21"/>
        <v>-0.24212616957167926</v>
      </c>
      <c r="H112" s="150">
        <f t="shared" si="22"/>
        <v>2.3923783506054678E-2</v>
      </c>
      <c r="I112" s="150">
        <f>B112/$B$3</f>
        <v>2.3990019232186965E-2</v>
      </c>
      <c r="J112" s="204">
        <v>975</v>
      </c>
      <c r="K112" s="36">
        <v>584.99999999999989</v>
      </c>
      <c r="L112" s="36">
        <v>624</v>
      </c>
      <c r="M112" s="36">
        <v>2184</v>
      </c>
      <c r="N112" s="36">
        <f t="shared" si="23"/>
        <v>909.10377323007776</v>
      </c>
      <c r="O112" s="36">
        <f t="shared" si="24"/>
        <v>588.52507424894509</v>
      </c>
      <c r="P112" s="36">
        <f t="shared" si="25"/>
        <v>645.94215466347634</v>
      </c>
      <c r="Q112" s="148">
        <f t="shared" si="26"/>
        <v>2143.5710021424993</v>
      </c>
      <c r="R112" s="41"/>
      <c r="S112" s="42">
        <f>SUM(S106:S111)</f>
        <v>722.1386500000001</v>
      </c>
      <c r="T112" s="42">
        <f>SUM(T106:T111)</f>
        <v>710.1099999999999</v>
      </c>
      <c r="U112" s="42">
        <f>SUM(U106:U111)</f>
        <v>433.84</v>
      </c>
      <c r="V112" s="147">
        <f>SUM(V106:V111)</f>
        <v>1866.0886499999997</v>
      </c>
      <c r="W112" s="146">
        <f t="shared" si="27"/>
        <v>0.14869730446219673</v>
      </c>
    </row>
    <row r="113" spans="1:23" ht="16.2" customHeight="1" thickBot="1" x14ac:dyDescent="0.35">
      <c r="A113" s="35" t="s">
        <v>226</v>
      </c>
      <c r="B113" s="34">
        <v>4696.9632179999999</v>
      </c>
      <c r="C113" s="32">
        <v>2585.2819986000004</v>
      </c>
      <c r="D113" s="33">
        <f>IFERROR((C113-B113)/B113,100%)</f>
        <v>-0.44958436363893184</v>
      </c>
      <c r="E113" s="32">
        <v>148014696.96000001</v>
      </c>
      <c r="F113" s="32">
        <v>109123233.99607259</v>
      </c>
      <c r="G113" s="31">
        <f t="shared" si="21"/>
        <v>-0.26275406268904217</v>
      </c>
      <c r="H113" s="144">
        <f t="shared" si="22"/>
        <v>7.0869289479162309E-2</v>
      </c>
      <c r="I113" s="144">
        <f>B113/$B$3</f>
        <v>8.5093478502361236E-2</v>
      </c>
      <c r="J113" s="203">
        <v>3225</v>
      </c>
      <c r="K113" s="202">
        <v>1935</v>
      </c>
      <c r="L113" s="202">
        <v>2064</v>
      </c>
      <c r="M113" s="202">
        <v>7224</v>
      </c>
      <c r="N113" s="28">
        <f t="shared" si="23"/>
        <v>2693.0330002081678</v>
      </c>
      <c r="O113" s="28">
        <f t="shared" si="24"/>
        <v>1743.3845211873927</v>
      </c>
      <c r="P113" s="28">
        <f t="shared" si="25"/>
        <v>1913.4708159373824</v>
      </c>
      <c r="Q113" s="143">
        <f t="shared" si="26"/>
        <v>6349.8883373329427</v>
      </c>
      <c r="R113" s="142"/>
      <c r="S113" s="34">
        <f>S112+S105+S97</f>
        <v>2222.7334000000001</v>
      </c>
      <c r="T113" s="34">
        <f>T112+T105+T97</f>
        <v>2490.37</v>
      </c>
      <c r="U113" s="34">
        <f>U112+U105+U97</f>
        <v>1535.2174999999997</v>
      </c>
      <c r="V113" s="141">
        <f>V112+V105+V97</f>
        <v>6248.3208999999997</v>
      </c>
      <c r="W113" s="140">
        <f t="shared" si="27"/>
        <v>1.6255157018734902E-2</v>
      </c>
    </row>
    <row r="114" spans="1:23" ht="16.2" customHeight="1" thickBot="1" x14ac:dyDescent="0.35">
      <c r="A114" s="83" t="s">
        <v>225</v>
      </c>
      <c r="B114" s="26">
        <v>21970.440705000001</v>
      </c>
      <c r="C114" s="24">
        <v>12812.986455150001</v>
      </c>
      <c r="D114" s="25">
        <f>IFERROR((C114-B114)/B114,100%)</f>
        <v>-0.41680794540302324</v>
      </c>
      <c r="E114" s="24">
        <v>676178293.66500008</v>
      </c>
      <c r="F114" s="24">
        <v>614201944.55710042</v>
      </c>
      <c r="G114" s="23">
        <f t="shared" si="21"/>
        <v>-9.1656815500505681E-2</v>
      </c>
      <c r="H114" s="138">
        <f t="shared" si="22"/>
        <v>0.3512372138414081</v>
      </c>
      <c r="I114" s="138">
        <f>B114/$B$3</f>
        <v>0.39803190637170532</v>
      </c>
      <c r="J114" s="201">
        <v>15371.523178807947</v>
      </c>
      <c r="K114" s="200">
        <v>9222.9139072847684</v>
      </c>
      <c r="L114" s="200">
        <v>9837.7748344370848</v>
      </c>
      <c r="M114" s="200">
        <v>34432.2119205298</v>
      </c>
      <c r="N114" s="20">
        <f t="shared" si="23"/>
        <v>13347.014125973508</v>
      </c>
      <c r="O114" s="20">
        <f t="shared" si="24"/>
        <v>8640.4354604986402</v>
      </c>
      <c r="P114" s="20">
        <f t="shared" si="25"/>
        <v>9483.404773718019</v>
      </c>
      <c r="Q114" s="137">
        <f t="shared" si="26"/>
        <v>31470.854360190166</v>
      </c>
      <c r="R114" s="136"/>
      <c r="S114" s="26">
        <f>S113+S90+S63+S37</f>
        <v>12778.140149999999</v>
      </c>
      <c r="T114" s="26">
        <f>T113+T90+T63+T37</f>
        <v>11393.18</v>
      </c>
      <c r="U114" s="26">
        <f>U113+U90+U63+U37</f>
        <v>7158.5375000000004</v>
      </c>
      <c r="V114" s="135">
        <f>V113+V90+V63+V37</f>
        <v>31329.857650000002</v>
      </c>
      <c r="W114" s="134">
        <f t="shared" si="27"/>
        <v>4.5003942170852426E-3</v>
      </c>
    </row>
    <row r="115" spans="1:23" ht="15" customHeight="1" x14ac:dyDescent="0.3">
      <c r="A115" s="73" t="s">
        <v>224</v>
      </c>
      <c r="B115" s="157">
        <v>1766.7252209999999</v>
      </c>
      <c r="C115" s="5">
        <v>291.82628580000005</v>
      </c>
      <c r="D115" s="50">
        <f>IFERROR((C115-B115)/B115,100%)</f>
        <v>-0.83482078461820974</v>
      </c>
      <c r="E115" s="49">
        <v>27833386.68</v>
      </c>
      <c r="F115" s="49">
        <v>17970399.127151985</v>
      </c>
      <c r="G115" s="48">
        <f t="shared" si="21"/>
        <v>-0.35435815505466961</v>
      </c>
      <c r="H115" s="207">
        <f t="shared" si="22"/>
        <v>7.9997159061133589E-3</v>
      </c>
      <c r="I115" s="206">
        <f>B115/$B$3</f>
        <v>3.2007232681025205E-2</v>
      </c>
      <c r="J115" s="205">
        <v>422.54083097685833</v>
      </c>
      <c r="K115" s="205">
        <v>253.52449858611502</v>
      </c>
      <c r="L115" s="205">
        <v>270.42613182518937</v>
      </c>
      <c r="M115" s="154">
        <v>946.49146138816275</v>
      </c>
      <c r="N115" s="45">
        <f t="shared" si="23"/>
        <v>303.98920443230764</v>
      </c>
      <c r="O115" s="45">
        <f t="shared" si="24"/>
        <v>196.79301129038862</v>
      </c>
      <c r="P115" s="45">
        <f t="shared" si="25"/>
        <v>215.99232946506069</v>
      </c>
      <c r="Q115" s="45">
        <f t="shared" si="26"/>
        <v>716.77454518775698</v>
      </c>
      <c r="R115" s="153">
        <f>Q115/M115-1</f>
        <v>-0.24270363291338481</v>
      </c>
      <c r="S115">
        <v>602.18849999999998</v>
      </c>
      <c r="T115">
        <v>216.57</v>
      </c>
      <c r="U115">
        <v>231.09</v>
      </c>
      <c r="V115">
        <f>SUM(S115:U115)</f>
        <v>1049.8484999999998</v>
      </c>
      <c r="W115" s="152">
        <f t="shared" si="27"/>
        <v>-0.31725906624836148</v>
      </c>
    </row>
    <row r="116" spans="1:23" ht="15" customHeight="1" x14ac:dyDescent="0.3">
      <c r="A116" s="71" t="s">
        <v>223</v>
      </c>
      <c r="B116" s="157">
        <v>0</v>
      </c>
      <c r="C116" s="5">
        <v>300.66950759999997</v>
      </c>
      <c r="D116" s="50">
        <f>IFERROR((C116-B116)/B116,100%)</f>
        <v>1</v>
      </c>
      <c r="E116" s="49">
        <v>0</v>
      </c>
      <c r="F116" s="49">
        <v>15308392.488575991</v>
      </c>
      <c r="G116" s="48">
        <f t="shared" si="21"/>
        <v>1</v>
      </c>
      <c r="H116" s="207">
        <f t="shared" si="22"/>
        <v>8.2421315675429499E-3</v>
      </c>
      <c r="I116" s="206">
        <f>B116/$B$3</f>
        <v>0</v>
      </c>
      <c r="J116" s="205">
        <v>423</v>
      </c>
      <c r="K116" s="205">
        <v>253.8</v>
      </c>
      <c r="L116" s="205">
        <v>270.72000000000003</v>
      </c>
      <c r="M116" s="154">
        <v>947.52</v>
      </c>
      <c r="N116" s="45">
        <f t="shared" si="23"/>
        <v>313.20099956663211</v>
      </c>
      <c r="O116" s="45">
        <f t="shared" si="24"/>
        <v>202.75643656155657</v>
      </c>
      <c r="P116" s="45">
        <f t="shared" si="25"/>
        <v>222.53755232365964</v>
      </c>
      <c r="Q116" s="45">
        <f t="shared" si="26"/>
        <v>738.49498845184826</v>
      </c>
      <c r="R116" s="153">
        <f>Q116/M116-1</f>
        <v>-0.22060221583518214</v>
      </c>
      <c r="S116">
        <v>0</v>
      </c>
      <c r="T116">
        <v>184.08</v>
      </c>
      <c r="U116">
        <v>196.42500000000001</v>
      </c>
      <c r="V116">
        <f>SUM(S116:U116)</f>
        <v>380.505</v>
      </c>
      <c r="W116" s="152">
        <f t="shared" si="27"/>
        <v>0.94082860527942669</v>
      </c>
    </row>
    <row r="117" spans="1:23" ht="15" customHeight="1" x14ac:dyDescent="0.3">
      <c r="A117" s="70" t="s">
        <v>222</v>
      </c>
      <c r="B117" s="157">
        <v>0</v>
      </c>
      <c r="C117" s="5">
        <v>304.42628580000002</v>
      </c>
      <c r="D117" s="50">
        <f>IFERROR((C117-B117)/B117,100%)</f>
        <v>1</v>
      </c>
      <c r="E117" s="49">
        <v>0</v>
      </c>
      <c r="F117" s="49">
        <v>13601116.200000001</v>
      </c>
      <c r="G117" s="48">
        <f t="shared" si="21"/>
        <v>1</v>
      </c>
      <c r="H117" s="207">
        <f t="shared" si="22"/>
        <v>8.3451146084293926E-3</v>
      </c>
      <c r="I117" s="206">
        <f>B117/$B$3</f>
        <v>0</v>
      </c>
      <c r="J117" s="205">
        <v>422.54083097685833</v>
      </c>
      <c r="K117" s="205">
        <v>253.52449858611502</v>
      </c>
      <c r="L117" s="205">
        <v>270.42613182518937</v>
      </c>
      <c r="M117" s="154">
        <v>946.49146138816275</v>
      </c>
      <c r="N117" s="45">
        <f t="shared" si="23"/>
        <v>317.11435512031693</v>
      </c>
      <c r="O117" s="45">
        <f t="shared" si="24"/>
        <v>205.28981936736307</v>
      </c>
      <c r="P117" s="45">
        <f t="shared" si="25"/>
        <v>225.31809442759359</v>
      </c>
      <c r="Q117" s="45">
        <f t="shared" si="26"/>
        <v>747.7222689152735</v>
      </c>
      <c r="R117" s="153">
        <f>Q117/M117-1</f>
        <v>-0.21000632396764185</v>
      </c>
      <c r="S117">
        <v>0</v>
      </c>
      <c r="T117">
        <v>140.77000000000001</v>
      </c>
      <c r="U117">
        <v>150.20750000000001</v>
      </c>
      <c r="V117">
        <f>SUM(S117:U117)</f>
        <v>290.97750000000002</v>
      </c>
      <c r="W117" s="152">
        <f t="shared" si="27"/>
        <v>1.5696910204922148</v>
      </c>
    </row>
    <row r="118" spans="1:23" ht="15" customHeight="1" x14ac:dyDescent="0.3">
      <c r="A118" s="71" t="s">
        <v>221</v>
      </c>
      <c r="B118" s="157">
        <v>792.14474999999993</v>
      </c>
      <c r="C118" s="5">
        <v>240.88239000000002</v>
      </c>
      <c r="D118" s="50">
        <f>IFERROR((C118-B118)/B118,100%)</f>
        <v>-0.69591114502747131</v>
      </c>
      <c r="E118" s="49">
        <v>22918890</v>
      </c>
      <c r="F118" s="49">
        <v>12368995.844327178</v>
      </c>
      <c r="G118" s="48">
        <f t="shared" si="21"/>
        <v>-0.46031435883992733</v>
      </c>
      <c r="H118" s="207">
        <f t="shared" si="22"/>
        <v>6.6032115013321437E-3</v>
      </c>
      <c r="I118" s="206">
        <f>B118/$B$3</f>
        <v>1.4351049630655914E-2</v>
      </c>
      <c r="J118" s="205">
        <v>319.36225597088145</v>
      </c>
      <c r="K118" s="205">
        <v>191.61735358252886</v>
      </c>
      <c r="L118" s="205">
        <v>204.39184382136412</v>
      </c>
      <c r="M118" s="154">
        <f>SUM(J118:L118)</f>
        <v>715.37145337477443</v>
      </c>
      <c r="N118" s="45">
        <f t="shared" si="23"/>
        <v>250.92203705062147</v>
      </c>
      <c r="O118" s="45">
        <f t="shared" si="24"/>
        <v>162.43900293277073</v>
      </c>
      <c r="P118" s="45">
        <f t="shared" si="25"/>
        <v>178.28671053596787</v>
      </c>
      <c r="Q118" s="45">
        <f t="shared" si="26"/>
        <v>591.64775051935999</v>
      </c>
      <c r="R118" s="153">
        <f>Q118/M118-1</f>
        <v>-0.17295029354574631</v>
      </c>
      <c r="S118">
        <v>121.07950000000001</v>
      </c>
      <c r="T118">
        <v>331.42</v>
      </c>
      <c r="U118">
        <v>326.11750000000001</v>
      </c>
      <c r="V118">
        <f>SUM(S118:U118)</f>
        <v>778.61699999999996</v>
      </c>
      <c r="W118" s="152">
        <f t="shared" si="27"/>
        <v>-0.2401299348468374</v>
      </c>
    </row>
    <row r="119" spans="1:23" ht="15" customHeight="1" x14ac:dyDescent="0.3">
      <c r="A119" s="173" t="s">
        <v>220</v>
      </c>
      <c r="B119" s="157">
        <v>0</v>
      </c>
      <c r="C119" s="5">
        <v>215.53056000000001</v>
      </c>
      <c r="D119" s="50">
        <f>IFERROR((C119-B119)/B119,100%)</f>
        <v>1</v>
      </c>
      <c r="E119" s="49">
        <v>0</v>
      </c>
      <c r="F119" s="49">
        <v>7327164.5556728235</v>
      </c>
      <c r="G119" s="48">
        <f t="shared" si="21"/>
        <v>1</v>
      </c>
      <c r="H119" s="207">
        <f t="shared" si="22"/>
        <v>5.908252042337166E-3</v>
      </c>
      <c r="I119" s="206">
        <f>B119/$B$3</f>
        <v>0</v>
      </c>
      <c r="J119" s="205">
        <v>319.36225597088145</v>
      </c>
      <c r="K119" s="205">
        <v>191.61735358252886</v>
      </c>
      <c r="L119" s="205">
        <v>204.39184382136412</v>
      </c>
      <c r="M119" s="154">
        <v>715.37145337477443</v>
      </c>
      <c r="N119" s="45">
        <f t="shared" si="23"/>
        <v>224.51357760881231</v>
      </c>
      <c r="O119" s="45">
        <f t="shared" si="24"/>
        <v>145.34300024149428</v>
      </c>
      <c r="P119" s="45">
        <f t="shared" si="25"/>
        <v>159.52280514310348</v>
      </c>
      <c r="Q119" s="45">
        <f t="shared" si="26"/>
        <v>529.3793829934101</v>
      </c>
      <c r="R119" s="153">
        <f>Q119/M119-1</f>
        <v>-0.25999369908310466</v>
      </c>
      <c r="W119" s="152">
        <f t="shared" si="27"/>
        <v>1</v>
      </c>
    </row>
    <row r="120" spans="1:23" ht="15" customHeight="1" x14ac:dyDescent="0.3">
      <c r="A120" s="179" t="s">
        <v>219</v>
      </c>
      <c r="B120" s="157">
        <v>639.98548499999993</v>
      </c>
      <c r="C120" s="5">
        <v>227.43771749999996</v>
      </c>
      <c r="D120" s="50">
        <f>IFERROR((C120-B120)/B120,100%)</f>
        <v>-0.64462050651039382</v>
      </c>
      <c r="E120" s="49">
        <v>17119210.800000001</v>
      </c>
      <c r="F120" s="49">
        <v>10712839.200000001</v>
      </c>
      <c r="G120" s="48">
        <f t="shared" si="21"/>
        <v>-0.37422119949594868</v>
      </c>
      <c r="H120" s="207">
        <f t="shared" si="22"/>
        <v>6.2346581335095963E-3</v>
      </c>
      <c r="I120" s="206">
        <f>B120/$B$3</f>
        <v>1.1594425713399472E-2</v>
      </c>
      <c r="J120" s="205">
        <v>216.18368096490431</v>
      </c>
      <c r="K120" s="205">
        <v>129.7102085789426</v>
      </c>
      <c r="L120" s="205">
        <v>138.35755581753875</v>
      </c>
      <c r="M120" s="154">
        <v>484.25144536138566</v>
      </c>
      <c r="N120" s="45">
        <f t="shared" si="23"/>
        <v>236.91700907336465</v>
      </c>
      <c r="O120" s="45">
        <f t="shared" si="24"/>
        <v>153.37259008433608</v>
      </c>
      <c r="P120" s="45">
        <f t="shared" si="25"/>
        <v>168.33576960475909</v>
      </c>
      <c r="Q120" s="45">
        <f t="shared" si="26"/>
        <v>558.62536876245986</v>
      </c>
      <c r="R120" s="153">
        <f>M120/Q120-1</f>
        <v>-0.13313738967107247</v>
      </c>
      <c r="S120">
        <v>193.17500000000001</v>
      </c>
      <c r="T120">
        <v>193.02</v>
      </c>
      <c r="U120">
        <v>247.04249999999999</v>
      </c>
      <c r="V120">
        <f>SUM(S120:U120)</f>
        <v>633.23750000000007</v>
      </c>
      <c r="W120" s="152">
        <f t="shared" si="27"/>
        <v>-0.1178264572732035</v>
      </c>
    </row>
    <row r="121" spans="1:23" ht="15" customHeight="1" x14ac:dyDescent="0.3">
      <c r="A121" s="179" t="s">
        <v>218</v>
      </c>
      <c r="B121" s="157">
        <v>0</v>
      </c>
      <c r="C121" s="5">
        <v>233.83342500000001</v>
      </c>
      <c r="D121" s="50">
        <f>IFERROR((C121-B121)/B121,100%)</f>
        <v>1</v>
      </c>
      <c r="E121" s="49">
        <v>0</v>
      </c>
      <c r="F121" s="49">
        <v>10722104.4</v>
      </c>
      <c r="G121" s="48">
        <f t="shared" si="21"/>
        <v>1</v>
      </c>
      <c r="H121" s="207">
        <f t="shared" si="22"/>
        <v>6.4099810756439576E-3</v>
      </c>
      <c r="I121" s="206">
        <f>B121/$B$3</f>
        <v>0</v>
      </c>
      <c r="J121" s="205">
        <v>216.18368096490431</v>
      </c>
      <c r="K121" s="205">
        <v>129.7102085789426</v>
      </c>
      <c r="L121" s="205">
        <v>138.35755581753875</v>
      </c>
      <c r="M121" s="154">
        <v>484.25144536138566</v>
      </c>
      <c r="N121" s="45">
        <f t="shared" si="23"/>
        <v>243.57928087447038</v>
      </c>
      <c r="O121" s="45">
        <f t="shared" si="24"/>
        <v>157.68553446084135</v>
      </c>
      <c r="P121" s="45">
        <f t="shared" si="25"/>
        <v>173.06948904238686</v>
      </c>
      <c r="Q121" s="45">
        <f t="shared" si="26"/>
        <v>574.33430437769857</v>
      </c>
      <c r="R121" s="153">
        <f>Q121/M121-1</f>
        <v>0.18602496673827407</v>
      </c>
      <c r="W121" s="152">
        <f t="shared" si="27"/>
        <v>1</v>
      </c>
    </row>
    <row r="122" spans="1:23" ht="15" customHeight="1" x14ac:dyDescent="0.3">
      <c r="A122" s="70" t="s">
        <v>217</v>
      </c>
      <c r="B122" s="157">
        <v>171.53187</v>
      </c>
      <c r="C122" s="5">
        <v>88.210499999999996</v>
      </c>
      <c r="D122" s="50">
        <f>IFERROR((C122-B122)/B122,100%)</f>
        <v>-0.48574862502227723</v>
      </c>
      <c r="E122" s="49">
        <v>5136460.92</v>
      </c>
      <c r="F122" s="49">
        <v>5896374.75</v>
      </c>
      <c r="G122" s="48">
        <f t="shared" si="21"/>
        <v>0.14794502320481007</v>
      </c>
      <c r="H122" s="207">
        <f t="shared" si="22"/>
        <v>2.4180787484641736E-3</v>
      </c>
      <c r="I122" s="206">
        <f>B122/$B$3</f>
        <v>3.1075916107620714E-3</v>
      </c>
      <c r="J122" s="205">
        <v>98.265309529501977</v>
      </c>
      <c r="K122" s="205">
        <v>58.959185717701182</v>
      </c>
      <c r="L122" s="205">
        <v>62.889798098881258</v>
      </c>
      <c r="M122" s="154">
        <v>220.11429334608442</v>
      </c>
      <c r="N122" s="45">
        <f t="shared" si="23"/>
        <v>91.886992441638597</v>
      </c>
      <c r="O122" s="45">
        <f t="shared" si="24"/>
        <v>59.484737212218668</v>
      </c>
      <c r="P122" s="45">
        <f t="shared" si="25"/>
        <v>65.288126208532688</v>
      </c>
      <c r="Q122" s="45">
        <f t="shared" si="26"/>
        <v>216.65985586238997</v>
      </c>
      <c r="R122" s="153">
        <f>Q122/M122-1</f>
        <v>-1.5693835376074605E-2</v>
      </c>
      <c r="S122">
        <v>12</v>
      </c>
      <c r="T122">
        <v>102.78</v>
      </c>
      <c r="U122">
        <v>48.0075</v>
      </c>
      <c r="V122">
        <f>SUM(S122:U122)</f>
        <v>162.78749999999999</v>
      </c>
      <c r="W122" s="152">
        <f t="shared" si="27"/>
        <v>0.33093668655388148</v>
      </c>
    </row>
    <row r="123" spans="1:23" ht="15" customHeight="1" x14ac:dyDescent="0.3">
      <c r="A123" s="70" t="s">
        <v>216</v>
      </c>
      <c r="B123" s="157">
        <v>661.82490900000005</v>
      </c>
      <c r="C123" s="5">
        <v>285.23604899999998</v>
      </c>
      <c r="D123" s="50">
        <f>IFERROR((C123-B123)/B123,100%)</f>
        <v>-0.56901584524676763</v>
      </c>
      <c r="E123" s="49">
        <v>19088994</v>
      </c>
      <c r="F123" s="49">
        <v>10599806.111037679</v>
      </c>
      <c r="G123" s="48">
        <f t="shared" si="21"/>
        <v>-0.44471635796848807</v>
      </c>
      <c r="H123" s="207">
        <f t="shared" si="22"/>
        <v>7.8190604109803913E-3</v>
      </c>
      <c r="I123" s="206">
        <f>B123/$B$3</f>
        <v>1.1990084029293049E-2</v>
      </c>
      <c r="J123" s="205">
        <v>187.01016183417576</v>
      </c>
      <c r="K123" s="205">
        <v>112.20609710050546</v>
      </c>
      <c r="L123" s="205">
        <v>119.68650357387249</v>
      </c>
      <c r="M123" s="154">
        <v>418.90276250855368</v>
      </c>
      <c r="N123" s="45">
        <f t="shared" si="23"/>
        <v>297.12429561725486</v>
      </c>
      <c r="O123" s="45">
        <f t="shared" si="24"/>
        <v>192.34888611011763</v>
      </c>
      <c r="P123" s="45">
        <f t="shared" si="25"/>
        <v>211.11463109647056</v>
      </c>
      <c r="Q123" s="45">
        <f t="shared" si="26"/>
        <v>700.58781282384302</v>
      </c>
      <c r="R123" s="153">
        <f>Q123/M123-1</f>
        <v>0.67243540870546914</v>
      </c>
      <c r="S123">
        <v>266.78474999999997</v>
      </c>
      <c r="T123">
        <v>102.78</v>
      </c>
      <c r="U123">
        <v>102.765</v>
      </c>
      <c r="V123">
        <f>SUM(S123:U123)</f>
        <v>472.32974999999999</v>
      </c>
      <c r="W123" s="152">
        <f t="shared" si="27"/>
        <v>0.48325997425282452</v>
      </c>
    </row>
    <row r="124" spans="1:23" ht="15" customHeight="1" thickBot="1" x14ac:dyDescent="0.35">
      <c r="A124" s="69" t="s">
        <v>215</v>
      </c>
      <c r="B124" s="157">
        <v>0</v>
      </c>
      <c r="C124" s="5">
        <v>234.43599900000001</v>
      </c>
      <c r="D124" s="50">
        <f>IFERROR((C124-B124)/B124,100%)</f>
        <v>1</v>
      </c>
      <c r="E124" s="49">
        <v>0</v>
      </c>
      <c r="F124" s="49">
        <v>9150656.0889623221</v>
      </c>
      <c r="G124" s="48">
        <f t="shared" si="21"/>
        <v>1</v>
      </c>
      <c r="H124" s="207">
        <f t="shared" si="22"/>
        <v>6.4264991929177178E-3</v>
      </c>
      <c r="I124" s="206">
        <f>B124/$B$3</f>
        <v>0</v>
      </c>
      <c r="J124" s="205">
        <v>187.01016183417576</v>
      </c>
      <c r="K124" s="205">
        <v>112.20609710050546</v>
      </c>
      <c r="L124" s="205">
        <v>119.68650357387249</v>
      </c>
      <c r="M124" s="154">
        <v>418.90276250855368</v>
      </c>
      <c r="N124" s="45">
        <f t="shared" si="23"/>
        <v>244.20696933087328</v>
      </c>
      <c r="O124" s="45">
        <f t="shared" si="24"/>
        <v>158.09188014577586</v>
      </c>
      <c r="P124" s="45">
        <f t="shared" si="25"/>
        <v>173.51547820877838</v>
      </c>
      <c r="Q124" s="45">
        <f t="shared" si="26"/>
        <v>575.81432768542754</v>
      </c>
      <c r="R124" s="153">
        <f>Q124/M124-1</f>
        <v>0.37457753736744537</v>
      </c>
      <c r="S124">
        <v>0</v>
      </c>
      <c r="T124">
        <v>91.14</v>
      </c>
      <c r="U124">
        <v>91.13</v>
      </c>
      <c r="V124">
        <f>SUM(S124:U124)</f>
        <v>182.26999999999998</v>
      </c>
      <c r="W124" s="152">
        <f t="shared" si="27"/>
        <v>2.1591283682746893</v>
      </c>
    </row>
    <row r="125" spans="1:23" ht="15" thickBot="1" x14ac:dyDescent="0.35">
      <c r="A125" s="68" t="s">
        <v>214</v>
      </c>
      <c r="B125" s="42">
        <v>4032.212235</v>
      </c>
      <c r="C125" s="40">
        <v>2422.4887196999998</v>
      </c>
      <c r="D125" s="41">
        <f>IFERROR((C125-B125)/B125,100%)</f>
        <v>-0.39921596917132518</v>
      </c>
      <c r="E125" s="40">
        <v>92096942.400000006</v>
      </c>
      <c r="F125" s="40">
        <v>113657848.765728</v>
      </c>
      <c r="G125" s="39">
        <f t="shared" si="21"/>
        <v>0.23411099004876398</v>
      </c>
      <c r="H125" s="150">
        <f t="shared" si="22"/>
        <v>6.6406703187270835E-2</v>
      </c>
      <c r="I125" s="150">
        <f>B125/$B$3</f>
        <v>7.3050383665135707E-2</v>
      </c>
      <c r="J125" s="204">
        <v>2811.4591690231423</v>
      </c>
      <c r="K125" s="36">
        <v>1686.8755014138853</v>
      </c>
      <c r="L125" s="36">
        <v>1799.3338681748105</v>
      </c>
      <c r="M125" s="36">
        <v>6297.6685386118388</v>
      </c>
      <c r="N125" s="36">
        <f t="shared" si="23"/>
        <v>2523.4547211162917</v>
      </c>
      <c r="O125" s="36">
        <f t="shared" si="24"/>
        <v>1633.6048984068625</v>
      </c>
      <c r="P125" s="36">
        <f t="shared" si="25"/>
        <v>1792.9809860563125</v>
      </c>
      <c r="Q125" s="148">
        <f t="shared" si="26"/>
        <v>5950.0406055794665</v>
      </c>
      <c r="R125" s="41"/>
      <c r="S125" s="42">
        <f>SUM(S115:S124)</f>
        <v>1195.22775</v>
      </c>
      <c r="T125" s="42">
        <f>SUM(T115:T124)</f>
        <v>1362.56</v>
      </c>
      <c r="U125" s="42">
        <f>SUM(U115:U124)</f>
        <v>1392.7849999999999</v>
      </c>
      <c r="V125" s="147">
        <f>SUM(V115:V124)</f>
        <v>3950.5727499999994</v>
      </c>
      <c r="W125" s="146">
        <f t="shared" si="27"/>
        <v>0.50612100627167733</v>
      </c>
    </row>
    <row r="126" spans="1:23" ht="15" customHeight="1" x14ac:dyDescent="0.3">
      <c r="A126" s="81" t="s">
        <v>213</v>
      </c>
      <c r="B126" s="157">
        <v>0</v>
      </c>
      <c r="C126" s="5">
        <v>237.14100375000001</v>
      </c>
      <c r="D126" s="50">
        <f>IFERROR((C126-B126)/B126,100%)</f>
        <v>1</v>
      </c>
      <c r="E126" s="49">
        <v>0</v>
      </c>
      <c r="F126" s="49">
        <v>17945882.702863637</v>
      </c>
      <c r="G126" s="48">
        <f t="shared" si="21"/>
        <v>1</v>
      </c>
      <c r="H126" s="207">
        <f t="shared" si="22"/>
        <v>6.500650393743806E-3</v>
      </c>
      <c r="I126" s="206">
        <f>B126/$B$3</f>
        <v>0</v>
      </c>
      <c r="J126" s="205">
        <v>183.02752293577976</v>
      </c>
      <c r="K126" s="205">
        <v>109.81651376146786</v>
      </c>
      <c r="L126" s="205">
        <v>117.13761467889906</v>
      </c>
      <c r="M126" s="154">
        <v>409.98165137614666</v>
      </c>
      <c r="N126" s="45">
        <f t="shared" si="23"/>
        <v>247.02471496226462</v>
      </c>
      <c r="O126" s="45">
        <f t="shared" si="24"/>
        <v>159.91599968609762</v>
      </c>
      <c r="P126" s="45">
        <f t="shared" si="25"/>
        <v>175.51756063108277</v>
      </c>
      <c r="Q126" s="45">
        <f t="shared" si="26"/>
        <v>582.45827527944505</v>
      </c>
      <c r="R126" s="153">
        <f>Q126/M126-1</f>
        <v>0.42069351963523838</v>
      </c>
      <c r="S126">
        <v>0</v>
      </c>
      <c r="T126">
        <v>105.44</v>
      </c>
      <c r="U126">
        <v>101.185</v>
      </c>
      <c r="V126">
        <f t="shared" ref="V126:V134" si="36">SUM(S126:U126)</f>
        <v>206.625</v>
      </c>
      <c r="W126" s="152">
        <f t="shared" si="27"/>
        <v>1.8189148228890262</v>
      </c>
    </row>
    <row r="127" spans="1:23" ht="15" customHeight="1" x14ac:dyDescent="0.3">
      <c r="A127" s="80" t="s">
        <v>212</v>
      </c>
      <c r="B127" s="157">
        <v>2659.9172399999998</v>
      </c>
      <c r="C127" s="5">
        <v>370.8171337500001</v>
      </c>
      <c r="D127" s="50">
        <f>IFERROR((C127-B127)/B127,100%)</f>
        <v>-0.86059072508962708</v>
      </c>
      <c r="E127" s="49">
        <v>58432740</v>
      </c>
      <c r="F127" s="49">
        <v>29284334.247136366</v>
      </c>
      <c r="G127" s="48">
        <f t="shared" si="21"/>
        <v>-0.49883688070871973</v>
      </c>
      <c r="H127" s="207">
        <f t="shared" si="22"/>
        <v>1.0165060063000124E-2</v>
      </c>
      <c r="I127" s="206">
        <f>B127/$B$3</f>
        <v>4.8188925476912267E-2</v>
      </c>
      <c r="J127" s="205">
        <v>298.62385321100908</v>
      </c>
      <c r="K127" s="205">
        <v>179.17431192660544</v>
      </c>
      <c r="L127" s="205">
        <v>191.11926605504578</v>
      </c>
      <c r="M127" s="154">
        <v>668.91743119266039</v>
      </c>
      <c r="N127" s="45">
        <f t="shared" si="23"/>
        <v>386.27228239400472</v>
      </c>
      <c r="O127" s="45">
        <f t="shared" si="24"/>
        <v>250.06047754980307</v>
      </c>
      <c r="P127" s="45">
        <f t="shared" si="25"/>
        <v>274.45662170100337</v>
      </c>
      <c r="Q127" s="45">
        <f t="shared" si="26"/>
        <v>910.7893816448111</v>
      </c>
      <c r="R127" s="153">
        <f>M127/Q127-1</f>
        <v>-0.26556298890458052</v>
      </c>
      <c r="S127">
        <v>940.84860000000003</v>
      </c>
      <c r="T127">
        <v>195.82</v>
      </c>
      <c r="U127">
        <v>187.91749999999999</v>
      </c>
      <c r="V127">
        <f t="shared" si="36"/>
        <v>1324.5861</v>
      </c>
      <c r="W127" s="152">
        <f t="shared" si="27"/>
        <v>-0.31239699582774488</v>
      </c>
    </row>
    <row r="128" spans="1:23" ht="15" customHeight="1" x14ac:dyDescent="0.3">
      <c r="A128" s="80" t="s">
        <v>211</v>
      </c>
      <c r="B128" s="157">
        <v>442.724829</v>
      </c>
      <c r="C128" s="5">
        <v>277.80374999999998</v>
      </c>
      <c r="D128" s="50">
        <f>IFERROR((C128-B128)/B128,100%)</f>
        <v>-0.37251373358145229</v>
      </c>
      <c r="E128" s="49">
        <v>11886060</v>
      </c>
      <c r="F128" s="49">
        <v>10742730.6</v>
      </c>
      <c r="G128" s="48">
        <f t="shared" si="21"/>
        <v>-9.6190781470058231E-2</v>
      </c>
      <c r="H128" s="207">
        <f t="shared" si="22"/>
        <v>7.6153218054387422E-3</v>
      </c>
      <c r="I128" s="206">
        <f>B128/$B$3</f>
        <v>8.0207133780822917E-3</v>
      </c>
      <c r="J128" s="205">
        <v>327.52293577981652</v>
      </c>
      <c r="K128" s="205">
        <v>196.51376146788991</v>
      </c>
      <c r="L128" s="205">
        <v>209.61467889908255</v>
      </c>
      <c r="M128" s="154">
        <v>733.65137614678906</v>
      </c>
      <c r="N128" s="45">
        <f t="shared" si="23"/>
        <v>289.38222860667219</v>
      </c>
      <c r="O128" s="45">
        <f t="shared" si="24"/>
        <v>187.33691641379306</v>
      </c>
      <c r="P128" s="45">
        <f t="shared" si="25"/>
        <v>205.61368874684604</v>
      </c>
      <c r="Q128" s="45">
        <f t="shared" si="26"/>
        <v>682.33283376731129</v>
      </c>
      <c r="R128" s="153">
        <f t="shared" ref="R128:R133" si="37">Q128/M128-1</f>
        <v>-6.9949493789554285E-2</v>
      </c>
      <c r="S128">
        <v>84.56049999999999</v>
      </c>
      <c r="T128">
        <v>348.98</v>
      </c>
      <c r="U128">
        <v>216.7</v>
      </c>
      <c r="V128">
        <f t="shared" si="36"/>
        <v>650.2405</v>
      </c>
      <c r="W128" s="152">
        <f t="shared" si="27"/>
        <v>4.9354559993281394E-2</v>
      </c>
    </row>
    <row r="129" spans="1:23" ht="15" customHeight="1" x14ac:dyDescent="0.3">
      <c r="A129" s="80" t="s">
        <v>210</v>
      </c>
      <c r="B129" s="157">
        <v>857.73075000000006</v>
      </c>
      <c r="C129" s="5">
        <v>383.65504275000001</v>
      </c>
      <c r="D129" s="50">
        <f>IFERROR((C129-B129)/B129,100%)</f>
        <v>-0.55270923567797936</v>
      </c>
      <c r="E129" s="49">
        <v>23786400</v>
      </c>
      <c r="F129" s="49">
        <v>16189055.440384617</v>
      </c>
      <c r="G129" s="48">
        <f t="shared" si="21"/>
        <v>-0.31939867149360068</v>
      </c>
      <c r="H129" s="207">
        <f t="shared" si="22"/>
        <v>1.0516980468480387E-2</v>
      </c>
      <c r="I129" s="206">
        <f>B129/$B$3</f>
        <v>1.5539251586265922E-2</v>
      </c>
      <c r="J129" s="205">
        <v>327.52293577981652</v>
      </c>
      <c r="K129" s="205">
        <v>196.51376146788991</v>
      </c>
      <c r="L129" s="205">
        <v>209.61467889908255</v>
      </c>
      <c r="M129" s="154">
        <v>733.65137614678906</v>
      </c>
      <c r="N129" s="45">
        <f t="shared" si="23"/>
        <v>399.64525780225472</v>
      </c>
      <c r="O129" s="45">
        <f t="shared" si="24"/>
        <v>258.71771952461751</v>
      </c>
      <c r="P129" s="45">
        <f t="shared" si="25"/>
        <v>283.95847264897043</v>
      </c>
      <c r="Q129" s="45">
        <f t="shared" si="26"/>
        <v>942.3214499758426</v>
      </c>
      <c r="R129" s="153">
        <f t="shared" si="37"/>
        <v>0.28442674629060161</v>
      </c>
      <c r="S129">
        <v>288.30599999999998</v>
      </c>
      <c r="T129">
        <v>275</v>
      </c>
      <c r="U129">
        <v>150.06</v>
      </c>
      <c r="V129">
        <f t="shared" si="36"/>
        <v>713.36599999999999</v>
      </c>
      <c r="W129" s="152">
        <f t="shared" si="27"/>
        <v>0.32095088632741486</v>
      </c>
    </row>
    <row r="130" spans="1:23" ht="15" customHeight="1" x14ac:dyDescent="0.3">
      <c r="A130" s="80" t="s">
        <v>209</v>
      </c>
      <c r="B130" s="157">
        <v>0</v>
      </c>
      <c r="C130" s="5">
        <v>373.06310475000004</v>
      </c>
      <c r="D130" s="50">
        <f>IFERROR((C130-B130)/B130,100%)</f>
        <v>1</v>
      </c>
      <c r="E130" s="49">
        <v>0</v>
      </c>
      <c r="F130" s="49">
        <v>15488786.209615383</v>
      </c>
      <c r="G130" s="48">
        <f t="shared" si="21"/>
        <v>1</v>
      </c>
      <c r="H130" s="207">
        <f t="shared" si="22"/>
        <v>1.022662795735246E-2</v>
      </c>
      <c r="I130" s="206">
        <f>B130/$B$3</f>
        <v>0</v>
      </c>
      <c r="J130" s="205">
        <v>298.62385321100908</v>
      </c>
      <c r="K130" s="205">
        <v>179.17431192660544</v>
      </c>
      <c r="L130" s="205">
        <v>191.11926605504578</v>
      </c>
      <c r="M130" s="154">
        <v>668.91743119266039</v>
      </c>
      <c r="N130" s="45">
        <f t="shared" si="23"/>
        <v>388.61186237939347</v>
      </c>
      <c r="O130" s="45">
        <f t="shared" si="24"/>
        <v>251.57504775087051</v>
      </c>
      <c r="P130" s="45">
        <f t="shared" si="25"/>
        <v>276.11895484851641</v>
      </c>
      <c r="Q130" s="45">
        <f t="shared" si="26"/>
        <v>916.30586497878039</v>
      </c>
      <c r="R130" s="153">
        <f t="shared" si="37"/>
        <v>0.36983403668377068</v>
      </c>
      <c r="S130">
        <v>0</v>
      </c>
      <c r="T130">
        <v>253.84</v>
      </c>
      <c r="U130">
        <v>138.51750000000001</v>
      </c>
      <c r="V130">
        <f t="shared" si="36"/>
        <v>392.35750000000002</v>
      </c>
      <c r="W130" s="152">
        <f t="shared" si="27"/>
        <v>1.3353851142867927</v>
      </c>
    </row>
    <row r="131" spans="1:23" ht="15" customHeight="1" x14ac:dyDescent="0.3">
      <c r="A131" s="80" t="s">
        <v>208</v>
      </c>
      <c r="B131" s="157">
        <v>73.870950000000008</v>
      </c>
      <c r="C131" s="5">
        <v>271.67726355000002</v>
      </c>
      <c r="D131" s="50">
        <f>IFERROR((C131-B131)/B131,100%)</f>
        <v>2.6777280317905756</v>
      </c>
      <c r="E131" s="49">
        <v>2641800</v>
      </c>
      <c r="F131" s="49">
        <v>17234138.419354815</v>
      </c>
      <c r="G131" s="48">
        <f t="shared" si="21"/>
        <v>5.5236348017846977</v>
      </c>
      <c r="H131" s="207">
        <f t="shared" si="22"/>
        <v>7.4473789110270951E-3</v>
      </c>
      <c r="I131" s="206">
        <f>B131/$B$3</f>
        <v>1.3382979180430112E-3</v>
      </c>
      <c r="J131" s="205">
        <v>327.52293577981652</v>
      </c>
      <c r="K131" s="205">
        <v>196.51376146788991</v>
      </c>
      <c r="L131" s="205">
        <v>209.61467889908255</v>
      </c>
      <c r="M131" s="154">
        <v>733.65137614678906</v>
      </c>
      <c r="N131" s="45">
        <f t="shared" si="23"/>
        <v>283.00039861902962</v>
      </c>
      <c r="O131" s="45">
        <f t="shared" si="24"/>
        <v>183.20552121126653</v>
      </c>
      <c r="P131" s="45">
        <f t="shared" si="25"/>
        <v>201.07923059773157</v>
      </c>
      <c r="Q131" s="45">
        <f t="shared" si="26"/>
        <v>667.28515042802769</v>
      </c>
      <c r="R131" s="153">
        <f t="shared" si="37"/>
        <v>-9.0460166608455794E-2</v>
      </c>
      <c r="S131">
        <v>24.114999999999998</v>
      </c>
      <c r="T131">
        <v>42.06</v>
      </c>
      <c r="U131">
        <v>29.574999999999999</v>
      </c>
      <c r="V131">
        <f t="shared" si="36"/>
        <v>95.75</v>
      </c>
      <c r="W131" s="152">
        <f t="shared" si="27"/>
        <v>5.9690355136086444</v>
      </c>
    </row>
    <row r="132" spans="1:23" ht="15" customHeight="1" x14ac:dyDescent="0.3">
      <c r="A132" s="80" t="s">
        <v>207</v>
      </c>
      <c r="B132" s="157">
        <v>0</v>
      </c>
      <c r="C132" s="5">
        <v>233.74023855000002</v>
      </c>
      <c r="D132" s="50">
        <f>IFERROR((C132-B132)/B132,100%)</f>
        <v>1</v>
      </c>
      <c r="E132" s="49">
        <v>0</v>
      </c>
      <c r="F132" s="49">
        <v>14896401.280645186</v>
      </c>
      <c r="G132" s="48">
        <f t="shared" si="21"/>
        <v>1</v>
      </c>
      <c r="H132" s="207">
        <f t="shared" si="22"/>
        <v>6.4074265931913033E-3</v>
      </c>
      <c r="I132" s="206">
        <f>B132/$B$3</f>
        <v>0</v>
      </c>
      <c r="J132" s="205">
        <v>269.7247706422018</v>
      </c>
      <c r="K132" s="205">
        <v>161.83486238532106</v>
      </c>
      <c r="L132" s="205">
        <v>172.62385321100913</v>
      </c>
      <c r="M132" s="154">
        <v>604.18348623853194</v>
      </c>
      <c r="N132" s="45">
        <f t="shared" si="23"/>
        <v>243.48221054126952</v>
      </c>
      <c r="O132" s="45">
        <f t="shared" si="24"/>
        <v>157.62269419250606</v>
      </c>
      <c r="P132" s="45">
        <f t="shared" si="25"/>
        <v>173.00051801616519</v>
      </c>
      <c r="Q132" s="45">
        <f t="shared" si="26"/>
        <v>574.10542274994077</v>
      </c>
      <c r="R132" s="153">
        <f t="shared" si="37"/>
        <v>-4.9782995023330279E-2</v>
      </c>
      <c r="S132">
        <v>216.92425</v>
      </c>
      <c r="T132">
        <v>379.18</v>
      </c>
      <c r="U132">
        <v>127.0475</v>
      </c>
      <c r="V132">
        <f t="shared" si="36"/>
        <v>723.15174999999999</v>
      </c>
      <c r="W132" s="152">
        <f t="shared" si="27"/>
        <v>-0.20610657064725244</v>
      </c>
    </row>
    <row r="133" spans="1:23" ht="15" customHeight="1" x14ac:dyDescent="0.3">
      <c r="A133" s="79" t="s">
        <v>206</v>
      </c>
      <c r="B133" s="157">
        <v>0</v>
      </c>
      <c r="C133" s="5">
        <v>607.90401000000008</v>
      </c>
      <c r="D133" s="50">
        <f>IFERROR((C133-B133)/B133,100%)</f>
        <v>1</v>
      </c>
      <c r="E133" s="49">
        <v>0</v>
      </c>
      <c r="F133" s="49">
        <v>19527027.449999999</v>
      </c>
      <c r="G133" s="48">
        <f t="shared" ref="G133:G196" si="38">IFERROR((F133-E133)/E133,100%)</f>
        <v>1</v>
      </c>
      <c r="H133" s="207">
        <f t="shared" ref="H133:H196" si="39">C133/$C$3</f>
        <v>1.666422668148523E-2</v>
      </c>
      <c r="I133" s="206">
        <f>B133/$B$3</f>
        <v>0</v>
      </c>
      <c r="J133" s="205">
        <v>293.80733944954136</v>
      </c>
      <c r="K133" s="205">
        <v>176.28440366972481</v>
      </c>
      <c r="L133" s="205">
        <v>188.03669724770646</v>
      </c>
      <c r="M133" s="154">
        <v>658.12844036697265</v>
      </c>
      <c r="N133" s="45">
        <f t="shared" ref="N133:N196" si="40">$N$3*H133</f>
        <v>633.24061389643873</v>
      </c>
      <c r="O133" s="45">
        <f t="shared" ref="O133:O196" si="41">$O$3*H133</f>
        <v>409.93997636453668</v>
      </c>
      <c r="P133" s="45">
        <f t="shared" ref="P133:P196" si="42">$P$3*H133</f>
        <v>449.93412040010122</v>
      </c>
      <c r="Q133" s="45">
        <f t="shared" ref="Q133:Q196" si="43">SUM(N133:P133)</f>
        <v>1493.1147106610765</v>
      </c>
      <c r="R133" s="153">
        <f t="shared" si="37"/>
        <v>1.2687284412576294</v>
      </c>
      <c r="S133">
        <v>0</v>
      </c>
      <c r="T133">
        <v>146.63999999999999</v>
      </c>
      <c r="U133">
        <v>252.61</v>
      </c>
      <c r="V133">
        <f t="shared" si="36"/>
        <v>399.25</v>
      </c>
      <c r="W133" s="152">
        <f t="shared" ref="W133:W196" si="44">IFERROR((Q133-V133)/V133,100%)</f>
        <v>2.7397988995894216</v>
      </c>
    </row>
    <row r="134" spans="1:23" ht="15" customHeight="1" thickBot="1" x14ac:dyDescent="0.35">
      <c r="A134" s="78" t="s">
        <v>205</v>
      </c>
      <c r="B134" s="157">
        <v>983.64260999999999</v>
      </c>
      <c r="C134" s="5">
        <v>380.44770749999998</v>
      </c>
      <c r="D134" s="50">
        <f>IFERROR((C134-B134)/B134,100%)</f>
        <v>-0.61322567400775774</v>
      </c>
      <c r="E134" s="49">
        <v>28739042.640000001</v>
      </c>
      <c r="F134" s="49">
        <v>15501871.875</v>
      </c>
      <c r="G134" s="48">
        <f t="shared" si="38"/>
        <v>-0.46059887696384311</v>
      </c>
      <c r="H134" s="207">
        <f t="shared" si="39"/>
        <v>1.0429059084889713E-2</v>
      </c>
      <c r="I134" s="206">
        <f>B134/$B$3</f>
        <v>1.7820359113581097E-2</v>
      </c>
      <c r="J134" s="205">
        <v>300</v>
      </c>
      <c r="K134" s="205">
        <v>180</v>
      </c>
      <c r="L134" s="205">
        <v>192</v>
      </c>
      <c r="M134" s="154">
        <v>672</v>
      </c>
      <c r="N134" s="45">
        <f t="shared" si="40"/>
        <v>396.3042452258091</v>
      </c>
      <c r="O134" s="45">
        <f t="shared" si="41"/>
        <v>256.55485348828694</v>
      </c>
      <c r="P134" s="45">
        <f t="shared" si="42"/>
        <v>281.58459529202224</v>
      </c>
      <c r="Q134" s="45">
        <f t="shared" si="43"/>
        <v>934.44369400611822</v>
      </c>
      <c r="R134" s="153">
        <f>M134/Q134-1</f>
        <v>-0.28085554612817565</v>
      </c>
      <c r="S134">
        <v>565.82124999999996</v>
      </c>
      <c r="T134">
        <v>262.72000000000003</v>
      </c>
      <c r="U134">
        <v>228.4</v>
      </c>
      <c r="V134">
        <f t="shared" si="36"/>
        <v>1056.9412500000001</v>
      </c>
      <c r="W134" s="152">
        <f t="shared" si="44"/>
        <v>-0.11589816935792964</v>
      </c>
    </row>
    <row r="135" spans="1:23" ht="15" thickBot="1" x14ac:dyDescent="0.35">
      <c r="A135" s="68" t="s">
        <v>204</v>
      </c>
      <c r="B135" s="42">
        <v>5017.8863789999996</v>
      </c>
      <c r="C135" s="40">
        <v>3136.2492546000003</v>
      </c>
      <c r="D135" s="41">
        <f>IFERROR((C135-B135)/B135,100%)</f>
        <v>-0.3749859965492055</v>
      </c>
      <c r="E135" s="40">
        <v>125486042.64</v>
      </c>
      <c r="F135" s="40">
        <v>156810228.22499999</v>
      </c>
      <c r="G135" s="39">
        <f t="shared" si="38"/>
        <v>0.24962286582631524</v>
      </c>
      <c r="H135" s="150">
        <f t="shared" si="39"/>
        <v>8.5972731958608856E-2</v>
      </c>
      <c r="I135" s="150">
        <f>B135/$B$3</f>
        <v>9.0907547472884584E-2</v>
      </c>
      <c r="J135" s="204">
        <v>2626.3761467889908</v>
      </c>
      <c r="K135" s="36">
        <v>1575.8256880733943</v>
      </c>
      <c r="L135" s="36">
        <v>1680.8807339449536</v>
      </c>
      <c r="M135" s="36">
        <v>5883.0825688073382</v>
      </c>
      <c r="N135" s="36">
        <f t="shared" si="40"/>
        <v>3266.9638144271366</v>
      </c>
      <c r="O135" s="36">
        <f t="shared" si="41"/>
        <v>2114.9292061817778</v>
      </c>
      <c r="P135" s="36">
        <f t="shared" si="42"/>
        <v>2321.2637628824391</v>
      </c>
      <c r="Q135" s="148">
        <f t="shared" si="43"/>
        <v>7703.1567834913531</v>
      </c>
      <c r="R135" s="41"/>
      <c r="S135" s="42">
        <f>SUM(S126:S134)</f>
        <v>2120.5756000000001</v>
      </c>
      <c r="T135" s="42">
        <f>SUM(T126:T134)</f>
        <v>2009.68</v>
      </c>
      <c r="U135" s="42">
        <f>SUM(U126:U134)</f>
        <v>1432.0125000000003</v>
      </c>
      <c r="V135" s="147">
        <f>SUM(V126:V134)</f>
        <v>5562.2680999999993</v>
      </c>
      <c r="W135" s="146">
        <f t="shared" si="44"/>
        <v>0.38489491067346321</v>
      </c>
    </row>
    <row r="136" spans="1:23" ht="15" customHeight="1" x14ac:dyDescent="0.3">
      <c r="A136" s="73" t="s">
        <v>203</v>
      </c>
      <c r="B136" s="157">
        <v>0</v>
      </c>
      <c r="C136" s="5">
        <v>329.83918065</v>
      </c>
      <c r="D136" s="50">
        <f>IFERROR((C136-B136)/B136,100%)</f>
        <v>1</v>
      </c>
      <c r="E136" s="49">
        <v>0</v>
      </c>
      <c r="F136" s="49">
        <v>9202112.8404059112</v>
      </c>
      <c r="G136" s="48">
        <f t="shared" si="38"/>
        <v>1</v>
      </c>
      <c r="H136" s="207">
        <f t="shared" si="39"/>
        <v>9.0417480134519206E-3</v>
      </c>
      <c r="I136" s="206">
        <f>B136/$B$3</f>
        <v>0</v>
      </c>
      <c r="J136" s="205">
        <v>113.70967741935485</v>
      </c>
      <c r="K136" s="205">
        <v>68.225806451612911</v>
      </c>
      <c r="L136" s="205">
        <v>72.774193548387103</v>
      </c>
      <c r="M136" s="154">
        <v>254.70967741935485</v>
      </c>
      <c r="N136" s="45">
        <f t="shared" si="40"/>
        <v>343.58642451117299</v>
      </c>
      <c r="O136" s="45">
        <f t="shared" si="41"/>
        <v>222.42700113091723</v>
      </c>
      <c r="P136" s="45">
        <f t="shared" si="42"/>
        <v>244.12719636320185</v>
      </c>
      <c r="Q136" s="45">
        <f t="shared" si="43"/>
        <v>810.14062200529202</v>
      </c>
      <c r="R136" s="153">
        <f t="shared" ref="R136:R142" si="45">Q136/M136-1</f>
        <v>2.1806432728171292</v>
      </c>
      <c r="S136">
        <v>0</v>
      </c>
      <c r="T136">
        <v>191.95</v>
      </c>
      <c r="U136">
        <v>105.86750000000001</v>
      </c>
      <c r="V136">
        <f>SUM(S136:U136)</f>
        <v>297.8175</v>
      </c>
      <c r="W136" s="152">
        <f t="shared" si="44"/>
        <v>1.7202586214889724</v>
      </c>
    </row>
    <row r="137" spans="1:23" ht="15" customHeight="1" x14ac:dyDescent="0.3">
      <c r="A137" s="178" t="s">
        <v>202</v>
      </c>
      <c r="B137" s="157">
        <v>0</v>
      </c>
      <c r="C137" s="5">
        <v>206.28430410000004</v>
      </c>
      <c r="D137" s="50">
        <f>IFERROR((C137-B137)/B137,100%)</f>
        <v>1</v>
      </c>
      <c r="E137" s="49">
        <v>0</v>
      </c>
      <c r="F137" s="49">
        <v>8721146.8760115597</v>
      </c>
      <c r="G137" s="48">
        <f t="shared" si="38"/>
        <v>1</v>
      </c>
      <c r="H137" s="207">
        <f t="shared" si="39"/>
        <v>5.6547881701830413E-3</v>
      </c>
      <c r="I137" s="206">
        <f>B137/$B$3</f>
        <v>0</v>
      </c>
      <c r="J137" s="205">
        <v>113.70967741935485</v>
      </c>
      <c r="K137" s="205">
        <v>68.225806451612911</v>
      </c>
      <c r="L137" s="205">
        <v>72.774193548387103</v>
      </c>
      <c r="M137" s="154">
        <v>254.70967741935485</v>
      </c>
      <c r="N137" s="45">
        <f t="shared" si="40"/>
        <v>214.88195046695557</v>
      </c>
      <c r="O137" s="45">
        <f t="shared" si="41"/>
        <v>139.10778898650281</v>
      </c>
      <c r="P137" s="45">
        <f t="shared" si="42"/>
        <v>152.67928059494213</v>
      </c>
      <c r="Q137" s="45">
        <f t="shared" si="43"/>
        <v>506.66902004840051</v>
      </c>
      <c r="R137" s="153">
        <f t="shared" si="45"/>
        <v>0.98920207972396335</v>
      </c>
      <c r="W137" s="152">
        <f t="shared" si="44"/>
        <v>1</v>
      </c>
    </row>
    <row r="138" spans="1:23" ht="15" customHeight="1" x14ac:dyDescent="0.3">
      <c r="A138" s="70" t="s">
        <v>201</v>
      </c>
      <c r="B138" s="157">
        <v>0</v>
      </c>
      <c r="C138" s="5">
        <v>294.81203010000002</v>
      </c>
      <c r="D138" s="50">
        <f>IFERROR((C138-B138)/B138,100%)</f>
        <v>1</v>
      </c>
      <c r="E138" s="49">
        <v>0</v>
      </c>
      <c r="F138" s="49">
        <v>15920608.526765581</v>
      </c>
      <c r="G138" s="48">
        <f t="shared" si="38"/>
        <v>1</v>
      </c>
      <c r="H138" s="207">
        <f t="shared" si="39"/>
        <v>8.0815629066425237E-3</v>
      </c>
      <c r="I138" s="206">
        <f>B138/$B$3</f>
        <v>0</v>
      </c>
      <c r="J138" s="205">
        <v>227.41935483870969</v>
      </c>
      <c r="K138" s="205">
        <v>136.45161290322582</v>
      </c>
      <c r="L138" s="205">
        <v>145.54838709677421</v>
      </c>
      <c r="M138" s="154">
        <v>509.41935483870969</v>
      </c>
      <c r="N138" s="45">
        <f t="shared" si="40"/>
        <v>307.09939045241589</v>
      </c>
      <c r="O138" s="45">
        <f t="shared" si="41"/>
        <v>198.80644750340608</v>
      </c>
      <c r="P138" s="45">
        <f t="shared" si="42"/>
        <v>218.20219847934814</v>
      </c>
      <c r="Q138" s="45">
        <f t="shared" si="43"/>
        <v>724.10803643517011</v>
      </c>
      <c r="R138" s="153">
        <f t="shared" si="45"/>
        <v>0.42143801478535159</v>
      </c>
      <c r="S138">
        <v>0</v>
      </c>
      <c r="T138">
        <v>199.06</v>
      </c>
      <c r="U138">
        <v>109.79</v>
      </c>
      <c r="V138">
        <f>SUM(S138:U138)</f>
        <v>308.85000000000002</v>
      </c>
      <c r="W138" s="152">
        <f t="shared" si="44"/>
        <v>1.344529824947936</v>
      </c>
    </row>
    <row r="139" spans="1:23" ht="15" customHeight="1" x14ac:dyDescent="0.3">
      <c r="A139" s="71" t="s">
        <v>200</v>
      </c>
      <c r="B139" s="157">
        <v>0</v>
      </c>
      <c r="C139" s="5">
        <v>151.38930975</v>
      </c>
      <c r="D139" s="50">
        <f>IFERROR((C139-B139)/B139,100%)</f>
        <v>1</v>
      </c>
      <c r="E139" s="49">
        <v>0</v>
      </c>
      <c r="F139" s="49">
        <v>8109276.6291547986</v>
      </c>
      <c r="G139" s="48">
        <f t="shared" si="38"/>
        <v>1</v>
      </c>
      <c r="H139" s="207">
        <f t="shared" si="39"/>
        <v>4.1499738993785902E-3</v>
      </c>
      <c r="I139" s="206">
        <f>B139/$B$3</f>
        <v>0</v>
      </c>
      <c r="J139" s="205">
        <v>150.9677419354839</v>
      </c>
      <c r="K139" s="205">
        <v>90.580645161290334</v>
      </c>
      <c r="L139" s="205">
        <v>96.619354838709697</v>
      </c>
      <c r="M139" s="154">
        <v>338.16774193548395</v>
      </c>
      <c r="N139" s="45">
        <f t="shared" si="40"/>
        <v>157.69900817638643</v>
      </c>
      <c r="O139" s="45">
        <f t="shared" si="41"/>
        <v>102.08935792471333</v>
      </c>
      <c r="P139" s="45">
        <f t="shared" si="42"/>
        <v>112.04929528322194</v>
      </c>
      <c r="Q139" s="45">
        <f t="shared" si="43"/>
        <v>371.83766138432168</v>
      </c>
      <c r="R139" s="153">
        <f t="shared" si="45"/>
        <v>9.9565734023386865E-2</v>
      </c>
      <c r="S139">
        <v>0</v>
      </c>
      <c r="T139">
        <v>199.06</v>
      </c>
      <c r="U139">
        <v>109.79</v>
      </c>
      <c r="V139">
        <f>SUM(S139:U139)</f>
        <v>308.85000000000002</v>
      </c>
      <c r="W139" s="152">
        <f t="shared" si="44"/>
        <v>0.20394256559599044</v>
      </c>
    </row>
    <row r="140" spans="1:23" ht="15" customHeight="1" x14ac:dyDescent="0.3">
      <c r="A140" s="70" t="s">
        <v>199</v>
      </c>
      <c r="B140" s="157">
        <v>0</v>
      </c>
      <c r="C140" s="5">
        <v>130.75543425000001</v>
      </c>
      <c r="D140" s="50">
        <f>IFERROR((C140-B140)/B140,100%)</f>
        <v>1</v>
      </c>
      <c r="E140" s="49">
        <v>0</v>
      </c>
      <c r="F140" s="49">
        <v>7089877.5051074419</v>
      </c>
      <c r="G140" s="48">
        <f t="shared" si="38"/>
        <v>1</v>
      </c>
      <c r="H140" s="207">
        <f t="shared" si="39"/>
        <v>3.5843458183110809E-3</v>
      </c>
      <c r="I140" s="206">
        <f>B140/$B$3</f>
        <v>0</v>
      </c>
      <c r="J140" s="205">
        <v>132.09677419354841</v>
      </c>
      <c r="K140" s="205">
        <v>79.258064516129039</v>
      </c>
      <c r="L140" s="205">
        <v>84.541935483870972</v>
      </c>
      <c r="M140" s="154">
        <v>295.89677419354842</v>
      </c>
      <c r="N140" s="45">
        <f t="shared" si="40"/>
        <v>136.20514109582106</v>
      </c>
      <c r="O140" s="45">
        <f t="shared" si="41"/>
        <v>88.174907130452596</v>
      </c>
      <c r="P140" s="45">
        <f t="shared" si="42"/>
        <v>96.777337094399186</v>
      </c>
      <c r="Q140" s="45">
        <f t="shared" si="43"/>
        <v>321.15738532067286</v>
      </c>
      <c r="R140" s="153">
        <f t="shared" si="45"/>
        <v>8.5369673920815625E-2</v>
      </c>
      <c r="S140">
        <v>0</v>
      </c>
      <c r="T140">
        <v>85.31</v>
      </c>
      <c r="U140">
        <v>47.052500000000002</v>
      </c>
      <c r="V140">
        <f>SUM(S140:U140)</f>
        <v>132.36250000000001</v>
      </c>
      <c r="W140" s="152">
        <f t="shared" si="44"/>
        <v>1.4263472306784235</v>
      </c>
    </row>
    <row r="141" spans="1:23" ht="15" customHeight="1" x14ac:dyDescent="0.3">
      <c r="A141" s="70" t="s">
        <v>198</v>
      </c>
      <c r="B141" s="157">
        <v>0</v>
      </c>
      <c r="C141" s="5">
        <v>84.927118500000006</v>
      </c>
      <c r="D141" s="50">
        <f>IFERROR((C141-B141)/B141,100%)</f>
        <v>1</v>
      </c>
      <c r="E141" s="49">
        <v>0</v>
      </c>
      <c r="F141" s="49">
        <v>4440705.2657377608</v>
      </c>
      <c r="G141" s="48">
        <f t="shared" si="38"/>
        <v>1</v>
      </c>
      <c r="H141" s="207">
        <f t="shared" si="39"/>
        <v>2.3280727397888982E-3</v>
      </c>
      <c r="I141" s="206">
        <f>B141/$B$3</f>
        <v>0</v>
      </c>
      <c r="J141" s="205">
        <v>89.999999999999986</v>
      </c>
      <c r="K141" s="205">
        <v>53.999999999999993</v>
      </c>
      <c r="L141" s="205">
        <v>57.599999999999994</v>
      </c>
      <c r="M141" s="154">
        <v>201.59999999999997</v>
      </c>
      <c r="N141" s="45">
        <f t="shared" si="40"/>
        <v>88.466764111978136</v>
      </c>
      <c r="O141" s="45">
        <f t="shared" si="41"/>
        <v>57.270589398806898</v>
      </c>
      <c r="P141" s="45">
        <f t="shared" si="42"/>
        <v>62.857963974300247</v>
      </c>
      <c r="Q141" s="45">
        <f t="shared" si="43"/>
        <v>208.59531748508527</v>
      </c>
      <c r="R141" s="153">
        <f t="shared" si="45"/>
        <v>3.4698995461732718E-2</v>
      </c>
      <c r="S141">
        <v>0</v>
      </c>
      <c r="T141">
        <v>35.549999999999997</v>
      </c>
      <c r="U141">
        <v>19.605</v>
      </c>
      <c r="V141">
        <f>SUM(S141:U141)</f>
        <v>55.155000000000001</v>
      </c>
      <c r="W141" s="152">
        <f t="shared" si="44"/>
        <v>2.7819838180597456</v>
      </c>
    </row>
    <row r="142" spans="1:23" ht="15" customHeight="1" thickBot="1" x14ac:dyDescent="0.35">
      <c r="A142" s="69" t="s">
        <v>197</v>
      </c>
      <c r="B142" s="157">
        <v>0</v>
      </c>
      <c r="C142" s="5">
        <v>113.93444999999998</v>
      </c>
      <c r="D142" s="50">
        <f>IFERROR((C142-B142)/B142,100%)</f>
        <v>1</v>
      </c>
      <c r="E142" s="49">
        <v>0</v>
      </c>
      <c r="F142" s="49">
        <v>5062548.75</v>
      </c>
      <c r="G142" s="48">
        <f t="shared" si="38"/>
        <v>1</v>
      </c>
      <c r="H142" s="207">
        <f t="shared" si="39"/>
        <v>3.1232389824675517E-3</v>
      </c>
      <c r="I142" s="206">
        <f>B142/$B$3</f>
        <v>0</v>
      </c>
      <c r="J142" s="205">
        <v>72</v>
      </c>
      <c r="K142" s="205">
        <v>43.2</v>
      </c>
      <c r="L142" s="205">
        <v>46.08</v>
      </c>
      <c r="M142" s="154">
        <v>161.28</v>
      </c>
      <c r="N142" s="45">
        <f t="shared" si="40"/>
        <v>118.68308133376696</v>
      </c>
      <c r="O142" s="45">
        <f t="shared" si="41"/>
        <v>76.831678968701766</v>
      </c>
      <c r="P142" s="45">
        <f t="shared" si="42"/>
        <v>84.327452526623901</v>
      </c>
      <c r="Q142" s="45">
        <f t="shared" si="43"/>
        <v>279.84221282909266</v>
      </c>
      <c r="R142" s="153">
        <f t="shared" si="45"/>
        <v>0.73513276803752881</v>
      </c>
      <c r="S142">
        <v>0</v>
      </c>
      <c r="T142">
        <v>84.43</v>
      </c>
      <c r="U142">
        <v>72.650000000000006</v>
      </c>
      <c r="V142">
        <f>SUM(S142:U142)</f>
        <v>157.08000000000001</v>
      </c>
      <c r="W142" s="152">
        <f t="shared" si="44"/>
        <v>0.7815266923166071</v>
      </c>
    </row>
    <row r="143" spans="1:23" ht="15" thickBot="1" x14ac:dyDescent="0.35">
      <c r="A143" s="68" t="s">
        <v>196</v>
      </c>
      <c r="B143" s="42">
        <v>0</v>
      </c>
      <c r="C143" s="40">
        <v>1311.94182735</v>
      </c>
      <c r="D143" s="41">
        <f>IFERROR((C143-B143)/B143,100%)</f>
        <v>1</v>
      </c>
      <c r="E143" s="40">
        <v>0</v>
      </c>
      <c r="F143" s="40">
        <v>58546276.393183053</v>
      </c>
      <c r="G143" s="39">
        <f t="shared" si="38"/>
        <v>1</v>
      </c>
      <c r="H143" s="150">
        <f t="shared" si="39"/>
        <v>3.5963730530223607E-2</v>
      </c>
      <c r="I143" s="150">
        <f>B143/$B$3</f>
        <v>0</v>
      </c>
      <c r="J143" s="204">
        <v>899.9032258064517</v>
      </c>
      <c r="K143" s="36">
        <v>539.94193548387113</v>
      </c>
      <c r="L143" s="36">
        <v>575.93806451612909</v>
      </c>
      <c r="M143" s="36">
        <v>2015.7832258064518</v>
      </c>
      <c r="N143" s="36">
        <f t="shared" si="40"/>
        <v>1366.6217601484971</v>
      </c>
      <c r="O143" s="36">
        <f t="shared" si="41"/>
        <v>884.70777104350077</v>
      </c>
      <c r="P143" s="36">
        <f t="shared" si="42"/>
        <v>971.02072431603744</v>
      </c>
      <c r="Q143" s="148">
        <f t="shared" si="43"/>
        <v>3222.3502555080354</v>
      </c>
      <c r="R143" s="41"/>
      <c r="S143" s="42">
        <f>SUM(S136:S142)</f>
        <v>0</v>
      </c>
      <c r="T143" s="42">
        <f>SUM(T136:T142)</f>
        <v>795.3599999999999</v>
      </c>
      <c r="U143" s="42">
        <f>SUM(U136:U142)</f>
        <v>464.75500000000011</v>
      </c>
      <c r="V143" s="147">
        <f>SUM(V136:V142)</f>
        <v>1260.115</v>
      </c>
      <c r="W143" s="146">
        <f t="shared" si="44"/>
        <v>1.5571874436127142</v>
      </c>
    </row>
    <row r="144" spans="1:23" ht="15" customHeight="1" thickBot="1" x14ac:dyDescent="0.35">
      <c r="A144" s="77" t="s">
        <v>350</v>
      </c>
      <c r="B144" s="34">
        <v>9050.0986139999986</v>
      </c>
      <c r="C144" s="32">
        <v>6870.6798016500006</v>
      </c>
      <c r="D144" s="33">
        <f>IFERROR((C144-B144)/B144,100%)</f>
        <v>-0.24081713418885387</v>
      </c>
      <c r="E144" s="32">
        <v>217582985.04000002</v>
      </c>
      <c r="F144" s="32">
        <v>329014353.38391101</v>
      </c>
      <c r="G144" s="31">
        <f t="shared" si="38"/>
        <v>0.51213273098273593</v>
      </c>
      <c r="H144" s="144">
        <f t="shared" si="39"/>
        <v>0.18834316567610332</v>
      </c>
      <c r="I144" s="144">
        <f>B144/$B$3</f>
        <v>0.16395793113802029</v>
      </c>
      <c r="J144" s="203">
        <v>6337.7385416185843</v>
      </c>
      <c r="K144" s="202">
        <v>3802.6431249711504</v>
      </c>
      <c r="L144" s="202">
        <v>4056.1526666358932</v>
      </c>
      <c r="M144" s="202">
        <v>14196.534333225629</v>
      </c>
      <c r="N144" s="28">
        <f t="shared" si="40"/>
        <v>7157.0402956919261</v>
      </c>
      <c r="O144" s="28">
        <f t="shared" si="41"/>
        <v>4633.2418756321413</v>
      </c>
      <c r="P144" s="28">
        <f t="shared" si="42"/>
        <v>5085.2654732547899</v>
      </c>
      <c r="Q144" s="143">
        <f t="shared" si="43"/>
        <v>16875.547644578855</v>
      </c>
      <c r="R144" s="142"/>
      <c r="S144" s="34">
        <f>S143+S135+S125</f>
        <v>3315.8033500000001</v>
      </c>
      <c r="T144" s="34">
        <f>T143+T135+T125</f>
        <v>4167.6000000000004</v>
      </c>
      <c r="U144" s="34">
        <f>U143+U135+U125</f>
        <v>3289.5525000000002</v>
      </c>
      <c r="V144" s="141">
        <f>V143+V135+V125</f>
        <v>10772.955849999998</v>
      </c>
      <c r="W144" s="140">
        <f t="shared" si="44"/>
        <v>0.56647329475306984</v>
      </c>
    </row>
    <row r="145" spans="1:23" ht="15" customHeight="1" x14ac:dyDescent="0.3">
      <c r="A145" s="73" t="s">
        <v>194</v>
      </c>
      <c r="B145" s="157">
        <v>197.15197499999999</v>
      </c>
      <c r="C145" s="5">
        <v>63.535605000000004</v>
      </c>
      <c r="D145" s="50">
        <f>IFERROR((C145-B145)/B145,100%)</f>
        <v>-0.67773285050783794</v>
      </c>
      <c r="E145" s="49">
        <v>6451367.4000000004</v>
      </c>
      <c r="F145" s="49">
        <v>3161623.1850000005</v>
      </c>
      <c r="G145" s="48">
        <f t="shared" si="38"/>
        <v>-0.50992975768206905</v>
      </c>
      <c r="H145" s="207">
        <f t="shared" si="39"/>
        <v>1.741675834751125E-3</v>
      </c>
      <c r="I145" s="206">
        <f>B145/$B$3</f>
        <v>3.5717433941294618E-3</v>
      </c>
      <c r="J145" s="205">
        <v>36</v>
      </c>
      <c r="K145" s="205">
        <v>21.6</v>
      </c>
      <c r="L145" s="205">
        <v>23.04</v>
      </c>
      <c r="M145" s="154">
        <v>80.64</v>
      </c>
      <c r="N145" s="45">
        <f t="shared" si="40"/>
        <v>66.183681720542751</v>
      </c>
      <c r="O145" s="45">
        <f t="shared" si="41"/>
        <v>42.845225534877677</v>
      </c>
      <c r="P145" s="45">
        <f t="shared" si="42"/>
        <v>47.025247538280375</v>
      </c>
      <c r="Q145" s="45">
        <f t="shared" si="43"/>
        <v>156.0541547937008</v>
      </c>
      <c r="R145" s="153">
        <f t="shared" ref="R145:R152" si="46">Q145/M145-1</f>
        <v>0.93519537194569446</v>
      </c>
      <c r="S145">
        <v>48.546499999999995</v>
      </c>
      <c r="T145">
        <v>48.5</v>
      </c>
      <c r="U145">
        <v>48.6325</v>
      </c>
      <c r="V145">
        <f>SUM(S145:U145)</f>
        <v>145.679</v>
      </c>
      <c r="W145" s="152">
        <f t="shared" si="44"/>
        <v>7.1219288941445247E-2</v>
      </c>
    </row>
    <row r="146" spans="1:23" ht="15" customHeight="1" x14ac:dyDescent="0.3">
      <c r="A146" s="178" t="s">
        <v>193</v>
      </c>
      <c r="B146" s="157">
        <v>0</v>
      </c>
      <c r="C146" s="5">
        <v>88.952587500000007</v>
      </c>
      <c r="D146" s="50">
        <f>IFERROR((C146-B146)/B146,100%)</f>
        <v>1</v>
      </c>
      <c r="E146" s="49">
        <v>0</v>
      </c>
      <c r="F146" s="49">
        <v>4979459.8770000003</v>
      </c>
      <c r="G146" s="48">
        <f t="shared" si="38"/>
        <v>1</v>
      </c>
      <c r="H146" s="207">
        <f t="shared" si="39"/>
        <v>2.4384212928693287E-3</v>
      </c>
      <c r="I146" s="206">
        <f>B146/$B$3</f>
        <v>0</v>
      </c>
      <c r="J146" s="205">
        <v>48.000000000000007</v>
      </c>
      <c r="K146" s="205">
        <v>28.8</v>
      </c>
      <c r="L146" s="205">
        <v>30.720000000000002</v>
      </c>
      <c r="M146" s="154">
        <v>107.52000000000001</v>
      </c>
      <c r="N146" s="45">
        <f t="shared" si="40"/>
        <v>92.660009129034492</v>
      </c>
      <c r="O146" s="45">
        <f t="shared" si="41"/>
        <v>59.985163804585483</v>
      </c>
      <c r="P146" s="45">
        <f t="shared" si="42"/>
        <v>65.837374907471869</v>
      </c>
      <c r="Q146" s="45">
        <f t="shared" si="43"/>
        <v>218.48254784109184</v>
      </c>
      <c r="R146" s="153">
        <f t="shared" si="46"/>
        <v>1.0320177440577738</v>
      </c>
      <c r="W146" s="152">
        <f t="shared" si="44"/>
        <v>1</v>
      </c>
    </row>
    <row r="147" spans="1:23" ht="15" customHeight="1" x14ac:dyDescent="0.3">
      <c r="A147" s="178" t="s">
        <v>192</v>
      </c>
      <c r="B147" s="157">
        <v>0</v>
      </c>
      <c r="C147" s="5">
        <v>0</v>
      </c>
      <c r="D147" s="50">
        <f>IFERROR((C147-B147)/B147,100%)</f>
        <v>1</v>
      </c>
      <c r="E147" s="49">
        <v>0</v>
      </c>
      <c r="F147" s="49">
        <v>0</v>
      </c>
      <c r="G147" s="48">
        <f t="shared" si="38"/>
        <v>1</v>
      </c>
      <c r="H147" s="207">
        <f t="shared" si="39"/>
        <v>0</v>
      </c>
      <c r="I147" s="206">
        <f>B147/$B$3</f>
        <v>0</v>
      </c>
      <c r="J147" s="205">
        <v>36</v>
      </c>
      <c r="K147" s="205">
        <v>21.6</v>
      </c>
      <c r="L147" s="205">
        <v>23.04</v>
      </c>
      <c r="M147" s="154">
        <v>80.64</v>
      </c>
      <c r="N147" s="45">
        <f t="shared" si="40"/>
        <v>0</v>
      </c>
      <c r="O147" s="45">
        <f t="shared" si="41"/>
        <v>0</v>
      </c>
      <c r="P147" s="45">
        <f t="shared" si="42"/>
        <v>0</v>
      </c>
      <c r="Q147" s="45">
        <f t="shared" si="43"/>
        <v>0</v>
      </c>
      <c r="R147" s="153">
        <f t="shared" si="46"/>
        <v>-1</v>
      </c>
      <c r="W147" s="152">
        <f t="shared" si="44"/>
        <v>1</v>
      </c>
    </row>
    <row r="148" spans="1:23" ht="15" customHeight="1" x14ac:dyDescent="0.3">
      <c r="A148" s="70" t="s">
        <v>191</v>
      </c>
      <c r="B148" s="157">
        <v>62.026200000000003</v>
      </c>
      <c r="C148" s="5">
        <v>63.462367500000006</v>
      </c>
      <c r="D148" s="50">
        <f>IFERROR((C148-B148)/B148,100%)</f>
        <v>2.3154207415576052E-2</v>
      </c>
      <c r="E148" s="49">
        <v>1723800</v>
      </c>
      <c r="F148" s="49">
        <v>2862787.9770000004</v>
      </c>
      <c r="G148" s="48">
        <f t="shared" si="38"/>
        <v>0.66074253219631074</v>
      </c>
      <c r="H148" s="207">
        <f t="shared" si="39"/>
        <v>1.7396682047939132E-3</v>
      </c>
      <c r="I148" s="206">
        <f>B148/$B$3</f>
        <v>1.1237101231826505E-3</v>
      </c>
      <c r="J148" s="205">
        <v>36</v>
      </c>
      <c r="K148" s="205">
        <v>21.6</v>
      </c>
      <c r="L148" s="205">
        <v>23.04</v>
      </c>
      <c r="M148" s="154">
        <v>80.64</v>
      </c>
      <c r="N148" s="45">
        <f t="shared" si="40"/>
        <v>66.107391782168705</v>
      </c>
      <c r="O148" s="45">
        <f t="shared" si="41"/>
        <v>42.795837837930264</v>
      </c>
      <c r="P148" s="45">
        <f t="shared" si="42"/>
        <v>46.971041529435652</v>
      </c>
      <c r="Q148" s="45">
        <f t="shared" si="43"/>
        <v>155.87427114953462</v>
      </c>
      <c r="R148" s="153">
        <f t="shared" si="46"/>
        <v>0.93296467199323696</v>
      </c>
      <c r="S148">
        <v>24.013500000000001</v>
      </c>
      <c r="T148">
        <v>36.340000000000003</v>
      </c>
      <c r="U148">
        <v>0</v>
      </c>
      <c r="V148">
        <f>SUM(S148:U148)</f>
        <v>60.353500000000004</v>
      </c>
      <c r="W148" s="152">
        <f t="shared" si="44"/>
        <v>1.5826881812908054</v>
      </c>
    </row>
    <row r="149" spans="1:23" ht="15" customHeight="1" x14ac:dyDescent="0.3">
      <c r="A149" s="173" t="s">
        <v>190</v>
      </c>
      <c r="B149" s="157">
        <v>0</v>
      </c>
      <c r="C149" s="5">
        <v>12.80475</v>
      </c>
      <c r="D149" s="50">
        <f>IFERROR((C149-B149)/B149,100%)</f>
        <v>1</v>
      </c>
      <c r="E149" s="49">
        <v>0</v>
      </c>
      <c r="F149" s="49">
        <v>411600</v>
      </c>
      <c r="G149" s="48">
        <f t="shared" si="38"/>
        <v>1</v>
      </c>
      <c r="H149" s="207">
        <f t="shared" si="39"/>
        <v>3.5101143122867043E-4</v>
      </c>
      <c r="I149" s="206">
        <f>B149/$B$3</f>
        <v>0</v>
      </c>
      <c r="J149" s="205">
        <v>36</v>
      </c>
      <c r="K149" s="205">
        <v>21.6</v>
      </c>
      <c r="L149" s="205">
        <v>23.04</v>
      </c>
      <c r="M149" s="154">
        <v>80.64</v>
      </c>
      <c r="N149" s="45">
        <f t="shared" si="40"/>
        <v>13.338434386689476</v>
      </c>
      <c r="O149" s="45">
        <f t="shared" si="41"/>
        <v>8.634881208225293</v>
      </c>
      <c r="P149" s="45">
        <f t="shared" si="42"/>
        <v>9.4773086431741014</v>
      </c>
      <c r="Q149" s="45">
        <f t="shared" si="43"/>
        <v>31.450624238088871</v>
      </c>
      <c r="R149" s="153">
        <f t="shared" si="46"/>
        <v>-0.60998729863481072</v>
      </c>
      <c r="W149" s="152">
        <f t="shared" si="44"/>
        <v>1</v>
      </c>
    </row>
    <row r="150" spans="1:23" ht="15" customHeight="1" x14ac:dyDescent="0.3">
      <c r="A150" s="70" t="s">
        <v>189</v>
      </c>
      <c r="B150" s="157">
        <v>85.759560000000008</v>
      </c>
      <c r="C150" s="5">
        <v>7.1670375000000002</v>
      </c>
      <c r="D150" s="50">
        <f>IFERROR((C150-B150)/B150,100%)</f>
        <v>-0.91642870485809391</v>
      </c>
      <c r="E150" s="49">
        <v>3915984</v>
      </c>
      <c r="F150" s="49">
        <v>2325951.0000000005</v>
      </c>
      <c r="G150" s="48">
        <f t="shared" si="38"/>
        <v>-0.40603664366350822</v>
      </c>
      <c r="H150" s="207">
        <f t="shared" si="39"/>
        <v>1.9646709936113957E-4</v>
      </c>
      <c r="I150" s="206">
        <f>B150/$B$3</f>
        <v>1.5536803114117891E-3</v>
      </c>
      <c r="J150" s="205">
        <v>18</v>
      </c>
      <c r="K150" s="205">
        <v>10.8</v>
      </c>
      <c r="L150" s="205">
        <v>11.52</v>
      </c>
      <c r="M150" s="154">
        <v>40.32</v>
      </c>
      <c r="N150" s="45">
        <f t="shared" si="40"/>
        <v>7.465749775723304</v>
      </c>
      <c r="O150" s="45">
        <f t="shared" si="41"/>
        <v>4.8330906442840336</v>
      </c>
      <c r="P150" s="45">
        <f t="shared" si="42"/>
        <v>5.3046116827507683</v>
      </c>
      <c r="Q150" s="45">
        <f t="shared" si="43"/>
        <v>17.603452102758105</v>
      </c>
      <c r="R150" s="153">
        <f t="shared" si="46"/>
        <v>-0.56340644586413435</v>
      </c>
      <c r="S150">
        <v>48.142499999999998</v>
      </c>
      <c r="T150">
        <v>24.07</v>
      </c>
      <c r="U150">
        <v>36.134999999999998</v>
      </c>
      <c r="V150">
        <f>SUM(S150:U150)</f>
        <v>108.3475</v>
      </c>
      <c r="W150" s="152">
        <f t="shared" si="44"/>
        <v>-0.8375278423336201</v>
      </c>
    </row>
    <row r="151" spans="1:23" ht="15" customHeight="1" x14ac:dyDescent="0.3">
      <c r="A151" s="178" t="s">
        <v>188</v>
      </c>
      <c r="B151" s="157">
        <v>0</v>
      </c>
      <c r="C151" s="5">
        <v>5.4067124999999994</v>
      </c>
      <c r="D151" s="50">
        <f>IFERROR((C151-B151)/B151,100%)</f>
        <v>1</v>
      </c>
      <c r="E151" s="49">
        <v>0</v>
      </c>
      <c r="F151" s="49">
        <v>1744463.25</v>
      </c>
      <c r="G151" s="48">
        <f t="shared" si="38"/>
        <v>1</v>
      </c>
      <c r="H151" s="207">
        <f t="shared" si="39"/>
        <v>1.4821202232507017E-4</v>
      </c>
      <c r="I151" s="206">
        <f>B151/$B$3</f>
        <v>0</v>
      </c>
      <c r="J151" s="205">
        <v>18</v>
      </c>
      <c r="K151" s="205">
        <v>10.8</v>
      </c>
      <c r="L151" s="205">
        <v>11.52</v>
      </c>
      <c r="M151" s="154">
        <v>40.32</v>
      </c>
      <c r="N151" s="45">
        <f t="shared" si="40"/>
        <v>5.6320568483526667</v>
      </c>
      <c r="O151" s="45">
        <f t="shared" si="41"/>
        <v>3.6460157491967262</v>
      </c>
      <c r="P151" s="45">
        <f t="shared" si="42"/>
        <v>4.0017246027768945</v>
      </c>
      <c r="Q151" s="45">
        <f t="shared" si="43"/>
        <v>13.279797200326287</v>
      </c>
      <c r="R151" s="153">
        <f t="shared" si="46"/>
        <v>-0.67063995038873303</v>
      </c>
      <c r="W151" s="152">
        <f t="shared" si="44"/>
        <v>1</v>
      </c>
    </row>
    <row r="152" spans="1:23" ht="15" customHeight="1" thickBot="1" x14ac:dyDescent="0.35">
      <c r="A152" s="76" t="s">
        <v>187</v>
      </c>
      <c r="B152" s="157">
        <v>148.30034999999998</v>
      </c>
      <c r="C152" s="5">
        <v>89.202750000000009</v>
      </c>
      <c r="D152" s="50">
        <f>IFERROR((C152-B152)/B152,100%)</f>
        <v>-0.39849939666359507</v>
      </c>
      <c r="E152" s="49">
        <v>4548190.2</v>
      </c>
      <c r="F152" s="49">
        <v>3455241.3000000003</v>
      </c>
      <c r="G152" s="48">
        <f t="shared" si="38"/>
        <v>-0.24030413239973997</v>
      </c>
      <c r="H152" s="207">
        <f t="shared" si="39"/>
        <v>2.4452788962715617E-3</v>
      </c>
      <c r="I152" s="206">
        <f>B152/$B$3</f>
        <v>2.6867131077920325E-3</v>
      </c>
      <c r="J152" s="205">
        <v>108</v>
      </c>
      <c r="K152" s="205">
        <v>64.8</v>
      </c>
      <c r="L152" s="205">
        <v>69.12</v>
      </c>
      <c r="M152" s="154">
        <v>241.92000000000002</v>
      </c>
      <c r="N152" s="45">
        <f t="shared" si="40"/>
        <v>92.920598058319342</v>
      </c>
      <c r="O152" s="45">
        <f t="shared" si="41"/>
        <v>60.153860848280416</v>
      </c>
      <c r="P152" s="45">
        <f t="shared" si="42"/>
        <v>66.022530199332166</v>
      </c>
      <c r="Q152" s="45">
        <f t="shared" si="43"/>
        <v>219.09698910593193</v>
      </c>
      <c r="R152" s="153">
        <f t="shared" si="46"/>
        <v>-9.434114952905126E-2</v>
      </c>
      <c r="S152">
        <v>60.574999999999996</v>
      </c>
      <c r="T152">
        <v>36.340000000000003</v>
      </c>
      <c r="U152">
        <v>48.66</v>
      </c>
      <c r="V152">
        <f>SUM(S152:U152)</f>
        <v>145.57499999999999</v>
      </c>
      <c r="W152" s="152">
        <f t="shared" si="44"/>
        <v>0.50504543435295857</v>
      </c>
    </row>
    <row r="153" spans="1:23" ht="15" thickBot="1" x14ac:dyDescent="0.35">
      <c r="A153" s="68" t="s">
        <v>186</v>
      </c>
      <c r="B153" s="42">
        <v>493.23808500000001</v>
      </c>
      <c r="C153" s="40">
        <v>330.53181000000006</v>
      </c>
      <c r="D153" s="41">
        <f>IFERROR((C153-B153)/B153,100%)</f>
        <v>-0.32987370592033649</v>
      </c>
      <c r="E153" s="40">
        <v>16639341.600000001</v>
      </c>
      <c r="F153" s="40">
        <v>18941126.589000002</v>
      </c>
      <c r="G153" s="39">
        <f t="shared" si="38"/>
        <v>0.13833389831963061</v>
      </c>
      <c r="H153" s="150">
        <f t="shared" si="39"/>
        <v>9.060734781600811E-3</v>
      </c>
      <c r="I153" s="150">
        <f>B153/$B$3</f>
        <v>8.935846936515935E-3</v>
      </c>
      <c r="J153" s="204">
        <v>336</v>
      </c>
      <c r="K153" s="36">
        <v>201.60000000000002</v>
      </c>
      <c r="L153" s="36">
        <v>215.04000000000002</v>
      </c>
      <c r="M153" s="36">
        <v>752.6400000000001</v>
      </c>
      <c r="N153" s="36">
        <f t="shared" si="40"/>
        <v>344.30792170083083</v>
      </c>
      <c r="O153" s="36">
        <f t="shared" si="41"/>
        <v>222.89407562737995</v>
      </c>
      <c r="P153" s="36">
        <f t="shared" si="42"/>
        <v>244.6398391032219</v>
      </c>
      <c r="Q153" s="148">
        <f t="shared" si="43"/>
        <v>811.84183643143274</v>
      </c>
      <c r="R153" s="41"/>
      <c r="S153" s="42">
        <f>SUM(S145:S152)</f>
        <v>181.2775</v>
      </c>
      <c r="T153" s="42">
        <f>SUM(T145:T152)</f>
        <v>145.25</v>
      </c>
      <c r="U153" s="42">
        <f>SUM(U145:U152)</f>
        <v>133.42750000000001</v>
      </c>
      <c r="V153" s="147">
        <f>SUM(V145:V152)</f>
        <v>459.95499999999998</v>
      </c>
      <c r="W153" s="146">
        <f t="shared" si="44"/>
        <v>0.76504622502512809</v>
      </c>
    </row>
    <row r="154" spans="1:23" ht="15" customHeight="1" x14ac:dyDescent="0.3">
      <c r="A154" s="73" t="s">
        <v>185</v>
      </c>
      <c r="B154" s="157">
        <v>234.15018000000001</v>
      </c>
      <c r="C154" s="5">
        <v>78.199619400000017</v>
      </c>
      <c r="D154" s="50">
        <f>IFERROR((C154-B154)/B154,100%)</f>
        <v>-0.66602793386705905</v>
      </c>
      <c r="E154" s="49">
        <v>5858625</v>
      </c>
      <c r="F154" s="49">
        <v>4134281.5922916667</v>
      </c>
      <c r="G154" s="48">
        <f t="shared" si="38"/>
        <v>-0.29432561526097561</v>
      </c>
      <c r="H154" s="207">
        <f t="shared" si="39"/>
        <v>2.1436545287593515E-3</v>
      </c>
      <c r="I154" s="206">
        <f>B154/$B$3</f>
        <v>4.242028813808355E-3</v>
      </c>
      <c r="J154" s="205">
        <v>83.999999999999986</v>
      </c>
      <c r="K154" s="205">
        <v>50.4</v>
      </c>
      <c r="L154" s="205">
        <v>53.76</v>
      </c>
      <c r="M154" s="154">
        <v>188.15999999999997</v>
      </c>
      <c r="N154" s="45">
        <f t="shared" si="40"/>
        <v>81.458872092855358</v>
      </c>
      <c r="O154" s="45">
        <f t="shared" si="41"/>
        <v>52.733901407480047</v>
      </c>
      <c r="P154" s="45">
        <f t="shared" si="42"/>
        <v>57.878672276502492</v>
      </c>
      <c r="Q154" s="45">
        <f t="shared" si="43"/>
        <v>192.07144577683792</v>
      </c>
      <c r="R154" s="153">
        <f t="shared" ref="R154:R161" si="47">Q154/M154-1</f>
        <v>2.0787870837786659E-2</v>
      </c>
      <c r="S154">
        <v>84.731000000000009</v>
      </c>
      <c r="T154">
        <v>50.44</v>
      </c>
      <c r="U154">
        <v>44.212499999999999</v>
      </c>
      <c r="V154">
        <f>SUM(S154:U154)</f>
        <v>179.3835</v>
      </c>
      <c r="W154" s="152">
        <f t="shared" si="44"/>
        <v>7.0730840778766846E-2</v>
      </c>
    </row>
    <row r="155" spans="1:23" ht="15" customHeight="1" x14ac:dyDescent="0.3">
      <c r="A155" s="70" t="s">
        <v>184</v>
      </c>
      <c r="B155" s="157">
        <v>0</v>
      </c>
      <c r="C155" s="5">
        <v>67.060348950000005</v>
      </c>
      <c r="D155" s="50">
        <f>IFERROR((C155-B155)/B155,100%)</f>
        <v>1</v>
      </c>
      <c r="E155" s="49">
        <v>0</v>
      </c>
      <c r="F155" s="49">
        <v>3438058.7599652773</v>
      </c>
      <c r="G155" s="48">
        <f t="shared" si="38"/>
        <v>1</v>
      </c>
      <c r="H155" s="207">
        <f t="shared" si="39"/>
        <v>1.8382982146182914E-3</v>
      </c>
      <c r="I155" s="206">
        <f>B155/$B$3</f>
        <v>0</v>
      </c>
      <c r="J155" s="205">
        <v>54</v>
      </c>
      <c r="K155" s="205">
        <v>32.4</v>
      </c>
      <c r="L155" s="205">
        <v>34.56</v>
      </c>
      <c r="M155" s="154">
        <v>120.96000000000001</v>
      </c>
      <c r="N155" s="45">
        <f t="shared" si="40"/>
        <v>69.855332155495077</v>
      </c>
      <c r="O155" s="45">
        <f t="shared" si="41"/>
        <v>45.222136079609967</v>
      </c>
      <c r="P155" s="45">
        <f t="shared" si="42"/>
        <v>49.634051794693868</v>
      </c>
      <c r="Q155" s="45">
        <f t="shared" si="43"/>
        <v>164.71152002979892</v>
      </c>
      <c r="R155" s="153">
        <f t="shared" si="47"/>
        <v>0.36170238119873432</v>
      </c>
      <c r="S155">
        <v>0</v>
      </c>
      <c r="T155">
        <v>41.71</v>
      </c>
      <c r="U155">
        <v>36.56</v>
      </c>
      <c r="V155">
        <f>SUM(S155:U155)</f>
        <v>78.27000000000001</v>
      </c>
      <c r="W155" s="152">
        <f t="shared" si="44"/>
        <v>1.1044016868506312</v>
      </c>
    </row>
    <row r="156" spans="1:23" ht="15" customHeight="1" x14ac:dyDescent="0.3">
      <c r="A156" s="70" t="s">
        <v>183</v>
      </c>
      <c r="B156" s="157">
        <v>0</v>
      </c>
      <c r="C156" s="5">
        <v>33.847952249999999</v>
      </c>
      <c r="D156" s="50">
        <f>IFERROR((C156-B156)/B156,100%)</f>
        <v>1</v>
      </c>
      <c r="E156" s="49">
        <v>0</v>
      </c>
      <c r="F156" s="49">
        <v>1743198.1594270833</v>
      </c>
      <c r="G156" s="48">
        <f t="shared" si="38"/>
        <v>1</v>
      </c>
      <c r="H156" s="207">
        <f t="shared" si="39"/>
        <v>9.2786022088929456E-4</v>
      </c>
      <c r="I156" s="206">
        <f>B156/$B$3</f>
        <v>0</v>
      </c>
      <c r="J156" s="205">
        <v>27</v>
      </c>
      <c r="K156" s="205">
        <v>16.2</v>
      </c>
      <c r="L156" s="205">
        <v>17.28</v>
      </c>
      <c r="M156" s="154">
        <v>60.480000000000004</v>
      </c>
      <c r="N156" s="45">
        <f t="shared" si="40"/>
        <v>35.258688393793193</v>
      </c>
      <c r="O156" s="45">
        <f t="shared" si="41"/>
        <v>22.825361433876648</v>
      </c>
      <c r="P156" s="45">
        <f t="shared" si="42"/>
        <v>25.052225964010955</v>
      </c>
      <c r="Q156" s="45">
        <f t="shared" si="43"/>
        <v>83.136275791680802</v>
      </c>
      <c r="R156" s="153">
        <f t="shared" si="47"/>
        <v>0.37460773465080677</v>
      </c>
      <c r="S156">
        <v>0</v>
      </c>
      <c r="T156">
        <v>1.94</v>
      </c>
      <c r="U156">
        <v>1.7</v>
      </c>
      <c r="V156">
        <f>SUM(S156:U156)</f>
        <v>3.6399999999999997</v>
      </c>
      <c r="W156" s="152">
        <f t="shared" si="44"/>
        <v>21.839636206505716</v>
      </c>
    </row>
    <row r="157" spans="1:23" ht="15" customHeight="1" x14ac:dyDescent="0.3">
      <c r="A157" s="70" t="s">
        <v>182</v>
      </c>
      <c r="B157" s="157">
        <v>0</v>
      </c>
      <c r="C157" s="5">
        <v>24.497320050000003</v>
      </c>
      <c r="D157" s="50">
        <f>IFERROR((C157-B157)/B157,100%)</f>
        <v>1</v>
      </c>
      <c r="E157" s="49">
        <v>0</v>
      </c>
      <c r="F157" s="49">
        <v>1356497.688315972</v>
      </c>
      <c r="G157" s="48">
        <f t="shared" si="38"/>
        <v>1</v>
      </c>
      <c r="H157" s="207">
        <f t="shared" si="39"/>
        <v>6.7153512345163359E-4</v>
      </c>
      <c r="I157" s="206">
        <f>B157/$B$3</f>
        <v>0</v>
      </c>
      <c r="J157" s="205">
        <v>27</v>
      </c>
      <c r="K157" s="205">
        <v>16.2</v>
      </c>
      <c r="L157" s="205">
        <v>17.28</v>
      </c>
      <c r="M157" s="154">
        <v>60.480000000000004</v>
      </c>
      <c r="N157" s="45">
        <f t="shared" si="40"/>
        <v>25.518334691162075</v>
      </c>
      <c r="O157" s="45">
        <f t="shared" si="41"/>
        <v>16.519764036910185</v>
      </c>
      <c r="P157" s="45">
        <f t="shared" si="42"/>
        <v>18.131448333194108</v>
      </c>
      <c r="Q157" s="45">
        <f t="shared" si="43"/>
        <v>60.169547061266364</v>
      </c>
      <c r="R157" s="153">
        <f t="shared" si="47"/>
        <v>-5.1331504420244478E-3</v>
      </c>
      <c r="S157">
        <v>0</v>
      </c>
      <c r="T157">
        <v>2.91</v>
      </c>
      <c r="U157">
        <v>2.5499999999999998</v>
      </c>
      <c r="V157">
        <f>SUM(S157:U157)</f>
        <v>5.46</v>
      </c>
      <c r="W157" s="152">
        <f t="shared" si="44"/>
        <v>10.0200635643345</v>
      </c>
    </row>
    <row r="158" spans="1:23" ht="15" customHeight="1" x14ac:dyDescent="0.3">
      <c r="A158" s="71" t="s">
        <v>181</v>
      </c>
      <c r="B158" s="157">
        <v>0</v>
      </c>
      <c r="C158" s="5">
        <v>25.377292499999999</v>
      </c>
      <c r="D158" s="50">
        <f>IFERROR((C158-B158)/B158,100%)</f>
        <v>1</v>
      </c>
      <c r="E158" s="49">
        <v>0</v>
      </c>
      <c r="F158" s="49">
        <v>1333500</v>
      </c>
      <c r="G158" s="48">
        <f t="shared" si="38"/>
        <v>1</v>
      </c>
      <c r="H158" s="207">
        <f t="shared" si="39"/>
        <v>6.9565745220590816E-4</v>
      </c>
      <c r="I158" s="206">
        <f>B158/$B$3</f>
        <v>0</v>
      </c>
      <c r="J158" s="205">
        <v>36</v>
      </c>
      <c r="K158" s="205">
        <v>21.6</v>
      </c>
      <c r="L158" s="205">
        <v>23.04</v>
      </c>
      <c r="M158" s="154">
        <v>80.64</v>
      </c>
      <c r="N158" s="45">
        <f t="shared" si="40"/>
        <v>26.43498318382451</v>
      </c>
      <c r="O158" s="45">
        <f t="shared" si="41"/>
        <v>17.11317332426534</v>
      </c>
      <c r="P158" s="45">
        <f t="shared" si="42"/>
        <v>18.782751209559521</v>
      </c>
      <c r="Q158" s="45">
        <f t="shared" si="43"/>
        <v>62.330907717649367</v>
      </c>
      <c r="R158" s="153">
        <f t="shared" si="47"/>
        <v>-0.22704727532676872</v>
      </c>
      <c r="S158">
        <v>12.085000000000001</v>
      </c>
      <c r="T158">
        <v>24.22</v>
      </c>
      <c r="U158">
        <v>12.0425</v>
      </c>
      <c r="V158">
        <f>SUM(S158:U158)</f>
        <v>48.347499999999997</v>
      </c>
      <c r="W158" s="152">
        <f t="shared" si="44"/>
        <v>0.28922711035005683</v>
      </c>
    </row>
    <row r="159" spans="1:23" ht="15" customHeight="1" x14ac:dyDescent="0.3">
      <c r="A159" s="173" t="s">
        <v>180</v>
      </c>
      <c r="B159" s="157">
        <v>0</v>
      </c>
      <c r="C159" s="5">
        <v>12.625305000000001</v>
      </c>
      <c r="D159" s="50">
        <f>IFERROR((C159-B159)/B159,100%)</f>
        <v>1</v>
      </c>
      <c r="E159" s="49">
        <v>0</v>
      </c>
      <c r="F159" s="49">
        <v>909888</v>
      </c>
      <c r="G159" s="48">
        <f t="shared" si="38"/>
        <v>1</v>
      </c>
      <c r="H159" s="207">
        <f t="shared" si="39"/>
        <v>3.4609237804318621E-4</v>
      </c>
      <c r="I159" s="206">
        <f>B159/$B$3</f>
        <v>0</v>
      </c>
      <c r="J159" s="205">
        <v>36</v>
      </c>
      <c r="K159" s="205">
        <v>21.6</v>
      </c>
      <c r="L159" s="205">
        <v>23.04</v>
      </c>
      <c r="M159" s="154">
        <v>80.64</v>
      </c>
      <c r="N159" s="45">
        <f t="shared" si="40"/>
        <v>13.151510365641077</v>
      </c>
      <c r="O159" s="45">
        <f t="shared" si="41"/>
        <v>8.51387249986238</v>
      </c>
      <c r="P159" s="45">
        <f t="shared" si="42"/>
        <v>9.3444942071660275</v>
      </c>
      <c r="Q159" s="45">
        <f t="shared" si="43"/>
        <v>31.009877072669482</v>
      </c>
      <c r="R159" s="153">
        <f t="shared" si="47"/>
        <v>-0.61545291328534868</v>
      </c>
      <c r="W159" s="152">
        <f t="shared" si="44"/>
        <v>1</v>
      </c>
    </row>
    <row r="160" spans="1:23" ht="15" customHeight="1" x14ac:dyDescent="0.3">
      <c r="A160" s="70" t="s">
        <v>179</v>
      </c>
      <c r="B160" s="157">
        <v>0</v>
      </c>
      <c r="C160" s="5">
        <v>6.3039375</v>
      </c>
      <c r="D160" s="50">
        <f>IFERROR((C160-B160)/B160,100%)</f>
        <v>1</v>
      </c>
      <c r="E160" s="49">
        <v>0</v>
      </c>
      <c r="F160" s="49">
        <v>234635.625</v>
      </c>
      <c r="G160" s="48">
        <f t="shared" si="38"/>
        <v>1</v>
      </c>
      <c r="H160" s="207">
        <f t="shared" si="39"/>
        <v>1.7280728825249119E-4</v>
      </c>
      <c r="I160" s="206">
        <f>B160/$B$3</f>
        <v>0</v>
      </c>
      <c r="J160" s="205">
        <v>18</v>
      </c>
      <c r="K160" s="205">
        <v>10.8</v>
      </c>
      <c r="L160" s="205">
        <v>11.52</v>
      </c>
      <c r="M160" s="154">
        <v>40.32</v>
      </c>
      <c r="N160" s="45">
        <f t="shared" si="40"/>
        <v>6.5666769535946647</v>
      </c>
      <c r="O160" s="45">
        <f t="shared" si="41"/>
        <v>4.2510592910112832</v>
      </c>
      <c r="P160" s="45">
        <f t="shared" si="42"/>
        <v>4.665796782817262</v>
      </c>
      <c r="Q160" s="45">
        <f t="shared" si="43"/>
        <v>15.48353302742321</v>
      </c>
      <c r="R160" s="153">
        <f t="shared" si="47"/>
        <v>-0.61598380388335294</v>
      </c>
      <c r="S160">
        <v>0</v>
      </c>
      <c r="T160">
        <v>13.79</v>
      </c>
      <c r="U160">
        <v>13.88</v>
      </c>
      <c r="V160">
        <f>SUM(S160:U160)</f>
        <v>27.67</v>
      </c>
      <c r="W160" s="152">
        <f t="shared" si="44"/>
        <v>-0.44042164700313663</v>
      </c>
    </row>
    <row r="161" spans="1:23" ht="15" customHeight="1" x14ac:dyDescent="0.3">
      <c r="A161" s="70" t="s">
        <v>178</v>
      </c>
      <c r="B161" s="157">
        <v>74.78895</v>
      </c>
      <c r="C161" s="5">
        <v>6.3039375</v>
      </c>
      <c r="D161" s="50">
        <f>IFERROR((C161-B161)/B161,100%)</f>
        <v>-0.9157103088089884</v>
      </c>
      <c r="E161" s="49">
        <v>2679081</v>
      </c>
      <c r="F161" s="49">
        <v>638849.92500000005</v>
      </c>
      <c r="G161" s="48">
        <f t="shared" si="38"/>
        <v>-0.76154139236551632</v>
      </c>
      <c r="H161" s="207">
        <f t="shared" si="39"/>
        <v>1.7280728825249119E-4</v>
      </c>
      <c r="I161" s="206">
        <f>B161/$B$3</f>
        <v>1.3549290496145353E-3</v>
      </c>
      <c r="J161" s="205">
        <v>18</v>
      </c>
      <c r="K161" s="205">
        <v>10.8</v>
      </c>
      <c r="L161" s="205">
        <v>11.52</v>
      </c>
      <c r="M161" s="154">
        <v>40.32</v>
      </c>
      <c r="N161" s="45">
        <f t="shared" si="40"/>
        <v>6.5666769535946647</v>
      </c>
      <c r="O161" s="45">
        <f t="shared" si="41"/>
        <v>4.2510592910112832</v>
      </c>
      <c r="P161" s="45">
        <f t="shared" si="42"/>
        <v>4.665796782817262</v>
      </c>
      <c r="Q161" s="45">
        <f t="shared" si="43"/>
        <v>15.48353302742321</v>
      </c>
      <c r="R161" s="153">
        <f t="shared" si="47"/>
        <v>-0.61598380388335294</v>
      </c>
      <c r="S161">
        <v>61.215000000000003</v>
      </c>
      <c r="T161">
        <v>22.5</v>
      </c>
      <c r="U161">
        <v>22.647500000000001</v>
      </c>
      <c r="V161">
        <f>SUM(S161:U161)</f>
        <v>106.36250000000001</v>
      </c>
      <c r="W161" s="152">
        <f t="shared" si="44"/>
        <v>-0.85442676669481066</v>
      </c>
    </row>
    <row r="162" spans="1:23" ht="15" customHeight="1" thickBot="1" x14ac:dyDescent="0.35">
      <c r="A162" s="76" t="s">
        <v>177</v>
      </c>
      <c r="B162" s="157">
        <v>0</v>
      </c>
      <c r="C162" s="5">
        <v>37.978500000000004</v>
      </c>
      <c r="D162" s="50">
        <f>IFERROR((C162-B162)/B162,100%)</f>
        <v>1</v>
      </c>
      <c r="E162" s="49">
        <v>0</v>
      </c>
      <c r="F162" s="49">
        <v>2366065.9260000004</v>
      </c>
      <c r="G162" s="48">
        <f t="shared" si="38"/>
        <v>1</v>
      </c>
      <c r="H162" s="207">
        <f t="shared" si="39"/>
        <v>1.0410892552309152E-3</v>
      </c>
      <c r="I162" s="206">
        <f>B162/$B$3</f>
        <v>0</v>
      </c>
      <c r="J162" s="205">
        <v>36</v>
      </c>
      <c r="K162" s="205">
        <v>21.6</v>
      </c>
      <c r="L162" s="205">
        <v>23.04</v>
      </c>
      <c r="M162" s="154">
        <v>80.64</v>
      </c>
      <c r="N162" s="45">
        <f t="shared" si="40"/>
        <v>39.561391698774777</v>
      </c>
      <c r="O162" s="45">
        <f t="shared" si="41"/>
        <v>25.610795678680514</v>
      </c>
      <c r="P162" s="45">
        <f t="shared" si="42"/>
        <v>28.109409891234712</v>
      </c>
      <c r="Q162" s="45">
        <f t="shared" si="43"/>
        <v>93.281597268690007</v>
      </c>
      <c r="R162" s="153">
        <f>M162/Q162-1</f>
        <v>-0.13552080623444862</v>
      </c>
      <c r="S162">
        <v>48.332500000000003</v>
      </c>
      <c r="T162">
        <v>24.31</v>
      </c>
      <c r="U162">
        <v>24.015000000000001</v>
      </c>
      <c r="V162">
        <f>SUM(S162:U162)</f>
        <v>96.657499999999999</v>
      </c>
      <c r="W162" s="152">
        <f t="shared" si="44"/>
        <v>-3.4926443693557067E-2</v>
      </c>
    </row>
    <row r="163" spans="1:23" ht="15" thickBot="1" x14ac:dyDescent="0.35">
      <c r="A163" s="68" t="s">
        <v>176</v>
      </c>
      <c r="B163" s="42">
        <v>308.93912999999998</v>
      </c>
      <c r="C163" s="40">
        <v>292.19421315</v>
      </c>
      <c r="D163" s="41">
        <f>IFERROR((C163-B163)/B163,100%)</f>
        <v>-5.420134655652064E-2</v>
      </c>
      <c r="E163" s="40">
        <v>8537706</v>
      </c>
      <c r="F163" s="40">
        <v>16154975.676000003</v>
      </c>
      <c r="G163" s="39">
        <f t="shared" si="38"/>
        <v>0.89219161165774541</v>
      </c>
      <c r="H163" s="150">
        <f t="shared" si="39"/>
        <v>8.0098017497035618E-3</v>
      </c>
      <c r="I163" s="150">
        <f>B163/$B$3</f>
        <v>5.5969578634228901E-3</v>
      </c>
      <c r="J163" s="204">
        <v>336</v>
      </c>
      <c r="K163" s="36">
        <v>201.60000000000002</v>
      </c>
      <c r="L163" s="36">
        <v>215.04</v>
      </c>
      <c r="M163" s="36">
        <v>752.64</v>
      </c>
      <c r="N163" s="36">
        <f t="shared" si="40"/>
        <v>304.37246648873537</v>
      </c>
      <c r="O163" s="36">
        <f t="shared" si="41"/>
        <v>197.04112304270762</v>
      </c>
      <c r="P163" s="36">
        <f t="shared" si="42"/>
        <v>216.26464724199616</v>
      </c>
      <c r="Q163" s="148">
        <f t="shared" si="43"/>
        <v>717.67823677343915</v>
      </c>
      <c r="R163" s="41"/>
      <c r="S163" s="42">
        <f>SUM(S154:S162)</f>
        <v>206.36350000000002</v>
      </c>
      <c r="T163" s="42">
        <f>SUM(T154:T162)</f>
        <v>181.82</v>
      </c>
      <c r="U163" s="42">
        <f>SUM(U154:U162)</f>
        <v>157.60750000000002</v>
      </c>
      <c r="V163" s="147">
        <f>SUM(V154:V162)</f>
        <v>545.79100000000005</v>
      </c>
      <c r="W163" s="146">
        <f t="shared" si="44"/>
        <v>0.3149323399862568</v>
      </c>
    </row>
    <row r="164" spans="1:23" ht="15" customHeight="1" x14ac:dyDescent="0.3">
      <c r="A164" s="73" t="s">
        <v>175</v>
      </c>
      <c r="B164" s="157">
        <v>0</v>
      </c>
      <c r="C164" s="5">
        <v>213.35544930000003</v>
      </c>
      <c r="D164" s="50">
        <f>IFERROR((C164-B164)/B164,100%)</f>
        <v>1</v>
      </c>
      <c r="E164" s="49">
        <v>0</v>
      </c>
      <c r="F164" s="49">
        <v>8269394.3213323699</v>
      </c>
      <c r="G164" s="48">
        <f t="shared" si="38"/>
        <v>1</v>
      </c>
      <c r="H164" s="207">
        <f t="shared" si="39"/>
        <v>5.8486266127202044E-3</v>
      </c>
      <c r="I164" s="206">
        <f>B164/$B$3</f>
        <v>0</v>
      </c>
      <c r="J164" s="205">
        <v>120</v>
      </c>
      <c r="K164" s="205">
        <v>72</v>
      </c>
      <c r="L164" s="205">
        <v>76.8</v>
      </c>
      <c r="M164" s="154">
        <v>268.8</v>
      </c>
      <c r="N164" s="45">
        <f t="shared" si="40"/>
        <v>222.24781128336778</v>
      </c>
      <c r="O164" s="45">
        <f t="shared" si="41"/>
        <v>143.87621467291703</v>
      </c>
      <c r="P164" s="45">
        <f t="shared" si="42"/>
        <v>157.91291854344553</v>
      </c>
      <c r="Q164" s="45">
        <f t="shared" si="43"/>
        <v>524.03694449973034</v>
      </c>
      <c r="R164" s="153">
        <f>Q164/M164-1</f>
        <v>0.94954220424006808</v>
      </c>
      <c r="S164">
        <v>0</v>
      </c>
      <c r="T164">
        <v>122.27</v>
      </c>
      <c r="U164">
        <v>45.84</v>
      </c>
      <c r="V164">
        <f>SUM(S164:U164)</f>
        <v>168.11</v>
      </c>
      <c r="W164" s="152">
        <f t="shared" si="44"/>
        <v>2.1172264856328016</v>
      </c>
    </row>
    <row r="165" spans="1:23" ht="15" customHeight="1" x14ac:dyDescent="0.3">
      <c r="A165" s="178" t="s">
        <v>174</v>
      </c>
      <c r="B165" s="157">
        <v>0</v>
      </c>
      <c r="C165" s="5">
        <v>200.60015430000004</v>
      </c>
      <c r="D165" s="50">
        <f>IFERROR((C165-B165)/B165,100%)</f>
        <v>1</v>
      </c>
      <c r="E165" s="49">
        <v>0</v>
      </c>
      <c r="F165" s="49">
        <v>7846983.0922283242</v>
      </c>
      <c r="G165" s="48">
        <f t="shared" si="38"/>
        <v>1</v>
      </c>
      <c r="H165" s="207">
        <f t="shared" si="39"/>
        <v>5.4989708713981244E-3</v>
      </c>
      <c r="I165" s="206">
        <f>B165/$B$3</f>
        <v>0</v>
      </c>
      <c r="J165" s="205">
        <v>105</v>
      </c>
      <c r="K165" s="205">
        <v>63</v>
      </c>
      <c r="L165" s="205">
        <v>67.2</v>
      </c>
      <c r="M165" s="154">
        <v>235.2</v>
      </c>
      <c r="N165" s="45">
        <f t="shared" si="40"/>
        <v>208.96089311312872</v>
      </c>
      <c r="O165" s="45">
        <f t="shared" si="41"/>
        <v>135.27468343639387</v>
      </c>
      <c r="P165" s="45">
        <f t="shared" si="42"/>
        <v>148.47221352774935</v>
      </c>
      <c r="Q165" s="45">
        <f t="shared" si="43"/>
        <v>492.70779007727197</v>
      </c>
      <c r="R165" s="153">
        <f>Q165/M165-1</f>
        <v>1.0948460462469045</v>
      </c>
      <c r="W165" s="152">
        <f t="shared" si="44"/>
        <v>1</v>
      </c>
    </row>
    <row r="166" spans="1:23" ht="15" customHeight="1" x14ac:dyDescent="0.3">
      <c r="A166" s="70" t="s">
        <v>173</v>
      </c>
      <c r="B166" s="157">
        <v>0</v>
      </c>
      <c r="C166" s="5">
        <v>213.37077930000004</v>
      </c>
      <c r="D166" s="50">
        <f>IFERROR((C166-B166)/B166,100%)</f>
        <v>1</v>
      </c>
      <c r="E166" s="49">
        <v>0</v>
      </c>
      <c r="F166" s="49">
        <v>9790074.7461069375</v>
      </c>
      <c r="G166" s="48">
        <f t="shared" si="38"/>
        <v>1</v>
      </c>
      <c r="H166" s="207">
        <f t="shared" si="39"/>
        <v>5.8490468478080227E-3</v>
      </c>
      <c r="I166" s="206">
        <f>B166/$B$3</f>
        <v>0</v>
      </c>
      <c r="J166" s="205">
        <v>174</v>
      </c>
      <c r="K166" s="205">
        <v>104.4</v>
      </c>
      <c r="L166" s="205">
        <v>111.36</v>
      </c>
      <c r="M166" s="154">
        <v>389.76</v>
      </c>
      <c r="N166" s="45">
        <f t="shared" si="40"/>
        <v>222.26378021670487</v>
      </c>
      <c r="O166" s="45">
        <f t="shared" si="41"/>
        <v>143.88655245607737</v>
      </c>
      <c r="P166" s="45">
        <f t="shared" si="42"/>
        <v>157.9242648908166</v>
      </c>
      <c r="Q166" s="45">
        <f t="shared" si="43"/>
        <v>524.0745975635989</v>
      </c>
      <c r="R166" s="153">
        <f>Q166/M166-1</f>
        <v>0.34460847076046508</v>
      </c>
      <c r="S166">
        <v>0</v>
      </c>
      <c r="T166">
        <v>244.53</v>
      </c>
      <c r="U166">
        <v>91.682500000000005</v>
      </c>
      <c r="V166">
        <f t="shared" ref="V166:V173" si="48">SUM(S166:U166)</f>
        <v>336.21249999999998</v>
      </c>
      <c r="W166" s="152">
        <f t="shared" si="44"/>
        <v>0.5587600031634723</v>
      </c>
    </row>
    <row r="167" spans="1:23" ht="15" customHeight="1" x14ac:dyDescent="0.3">
      <c r="A167" s="70" t="s">
        <v>172</v>
      </c>
      <c r="B167" s="157">
        <v>978.51976200000001</v>
      </c>
      <c r="C167" s="5">
        <v>213.47577930000003</v>
      </c>
      <c r="D167" s="50">
        <f>IFERROR((C167-B167)/B167,100%)</f>
        <v>-0.78183805009346352</v>
      </c>
      <c r="E167" s="49">
        <v>25477030.620000001</v>
      </c>
      <c r="F167" s="49">
        <v>8269394.3213323699</v>
      </c>
      <c r="G167" s="48">
        <f t="shared" si="38"/>
        <v>-0.67541765582207525</v>
      </c>
      <c r="H167" s="207">
        <f t="shared" si="39"/>
        <v>5.8519251703273226E-3</v>
      </c>
      <c r="I167" s="206">
        <f>B167/$B$3</f>
        <v>1.7727550007797962E-2</v>
      </c>
      <c r="J167" s="205">
        <v>120</v>
      </c>
      <c r="K167" s="205">
        <v>72</v>
      </c>
      <c r="L167" s="205">
        <v>76.8</v>
      </c>
      <c r="M167" s="154">
        <v>268.8</v>
      </c>
      <c r="N167" s="45">
        <f t="shared" si="40"/>
        <v>222.37315647243827</v>
      </c>
      <c r="O167" s="45">
        <f t="shared" si="41"/>
        <v>143.95735919005213</v>
      </c>
      <c r="P167" s="45">
        <f t="shared" si="42"/>
        <v>158.00197959883772</v>
      </c>
      <c r="Q167" s="45">
        <f t="shared" si="43"/>
        <v>524.33249526132806</v>
      </c>
      <c r="R167" s="153">
        <f>M167/Q167-1</f>
        <v>-0.48734819522099293</v>
      </c>
      <c r="S167">
        <v>680.20899999999995</v>
      </c>
      <c r="T167">
        <v>312.45999999999998</v>
      </c>
      <c r="U167">
        <v>117.15</v>
      </c>
      <c r="V167">
        <f t="shared" si="48"/>
        <v>1109.819</v>
      </c>
      <c r="W167" s="152">
        <f t="shared" si="44"/>
        <v>-0.52755134372241952</v>
      </c>
    </row>
    <row r="168" spans="1:23" ht="15" customHeight="1" x14ac:dyDescent="0.3">
      <c r="A168" s="70" t="s">
        <v>171</v>
      </c>
      <c r="B168" s="157">
        <v>334.17189000000002</v>
      </c>
      <c r="C168" s="5">
        <v>202.73662500000003</v>
      </c>
      <c r="D168" s="50">
        <f>IFERROR((C168-B168)/B168,100%)</f>
        <v>-0.39331634088073647</v>
      </c>
      <c r="E168" s="49">
        <v>10226520</v>
      </c>
      <c r="F168" s="49">
        <v>9151700.25</v>
      </c>
      <c r="G168" s="48">
        <f t="shared" si="38"/>
        <v>-0.10510122211661445</v>
      </c>
      <c r="H168" s="207">
        <f t="shared" si="39"/>
        <v>5.5575370783279843E-3</v>
      </c>
      <c r="I168" s="206">
        <f>B168/$B$3</f>
        <v>6.0540922332188518E-3</v>
      </c>
      <c r="J168" s="205">
        <v>120</v>
      </c>
      <c r="K168" s="205">
        <v>72</v>
      </c>
      <c r="L168" s="205">
        <v>76.8</v>
      </c>
      <c r="M168" s="154">
        <v>268.8</v>
      </c>
      <c r="N168" s="45">
        <f t="shared" si="40"/>
        <v>211.18640897646341</v>
      </c>
      <c r="O168" s="45">
        <f t="shared" si="41"/>
        <v>136.71541212686842</v>
      </c>
      <c r="P168" s="45">
        <f t="shared" si="42"/>
        <v>150.05350111485558</v>
      </c>
      <c r="Q168" s="45">
        <f t="shared" si="43"/>
        <v>497.9553222181874</v>
      </c>
      <c r="R168" s="153">
        <f>Q168/M168-1</f>
        <v>0.85251235944266135</v>
      </c>
      <c r="S168">
        <v>121.16374999999999</v>
      </c>
      <c r="T168">
        <v>182.09</v>
      </c>
      <c r="U168">
        <v>96.99</v>
      </c>
      <c r="V168">
        <f t="shared" si="48"/>
        <v>400.24374999999998</v>
      </c>
      <c r="W168" s="152">
        <f t="shared" si="44"/>
        <v>0.24413016372694749</v>
      </c>
    </row>
    <row r="169" spans="1:23" ht="15" customHeight="1" x14ac:dyDescent="0.3">
      <c r="A169" s="70" t="s">
        <v>170</v>
      </c>
      <c r="B169" s="157">
        <v>0</v>
      </c>
      <c r="C169" s="5">
        <v>100.6180875</v>
      </c>
      <c r="D169" s="50">
        <f>IFERROR((C169-B169)/B169,100%)</f>
        <v>1</v>
      </c>
      <c r="E169" s="49">
        <v>0</v>
      </c>
      <c r="F169" s="49">
        <v>4893636.3</v>
      </c>
      <c r="G169" s="48">
        <f t="shared" si="38"/>
        <v>1</v>
      </c>
      <c r="H169" s="207">
        <f t="shared" si="39"/>
        <v>2.7582029247635912E-3</v>
      </c>
      <c r="I169" s="206">
        <f>B169/$B$3</f>
        <v>0</v>
      </c>
      <c r="J169" s="205">
        <v>120</v>
      </c>
      <c r="K169" s="205">
        <v>72</v>
      </c>
      <c r="L169" s="205">
        <v>76.8</v>
      </c>
      <c r="M169" s="154">
        <v>268.8</v>
      </c>
      <c r="N169" s="45">
        <f t="shared" si="40"/>
        <v>104.81171114101646</v>
      </c>
      <c r="O169" s="45">
        <f t="shared" si="41"/>
        <v>67.851791949184346</v>
      </c>
      <c r="P169" s="45">
        <f t="shared" si="42"/>
        <v>74.471478968616964</v>
      </c>
      <c r="Q169" s="45">
        <f t="shared" si="43"/>
        <v>247.13498205881777</v>
      </c>
      <c r="R169" s="153">
        <f>Q169/M169-1</f>
        <v>-8.059902507880301E-2</v>
      </c>
      <c r="S169">
        <v>72.767499999999998</v>
      </c>
      <c r="T169">
        <v>109.16</v>
      </c>
      <c r="U169">
        <v>48.5</v>
      </c>
      <c r="V169">
        <f t="shared" si="48"/>
        <v>230.42750000000001</v>
      </c>
      <c r="W169" s="152">
        <f t="shared" si="44"/>
        <v>7.2506458902768814E-2</v>
      </c>
    </row>
    <row r="170" spans="1:23" ht="15" customHeight="1" x14ac:dyDescent="0.3">
      <c r="A170" s="70" t="s">
        <v>169</v>
      </c>
      <c r="B170" s="157">
        <v>519.51660000000004</v>
      </c>
      <c r="C170" s="5">
        <v>407.544375</v>
      </c>
      <c r="D170" s="50">
        <f>IFERROR((C170-B170)/B170,100%)</f>
        <v>-0.21553156338026547</v>
      </c>
      <c r="E170" s="49">
        <v>17351074.140000001</v>
      </c>
      <c r="F170" s="49">
        <v>16523221.050000001</v>
      </c>
      <c r="G170" s="48">
        <f t="shared" si="38"/>
        <v>-4.7711921655128137E-2</v>
      </c>
      <c r="H170" s="207">
        <f t="shared" si="39"/>
        <v>1.1171849068349164E-2</v>
      </c>
      <c r="I170" s="206">
        <f>B170/$B$3</f>
        <v>9.4119269370271253E-3</v>
      </c>
      <c r="J170" s="205">
        <v>174</v>
      </c>
      <c r="K170" s="205">
        <v>104.4</v>
      </c>
      <c r="L170" s="205">
        <v>111.36</v>
      </c>
      <c r="M170" s="154">
        <v>389.76</v>
      </c>
      <c r="N170" s="45">
        <f t="shared" si="40"/>
        <v>424.53026459726823</v>
      </c>
      <c r="O170" s="45">
        <f t="shared" si="41"/>
        <v>274.82748708138945</v>
      </c>
      <c r="P170" s="45">
        <f t="shared" si="42"/>
        <v>301.63992484542746</v>
      </c>
      <c r="Q170" s="45">
        <f t="shared" si="43"/>
        <v>1000.9976765240851</v>
      </c>
      <c r="R170" s="153">
        <f>M170/Q170-1</f>
        <v>-0.61062846683778305</v>
      </c>
      <c r="S170">
        <v>400.44274999999999</v>
      </c>
      <c r="T170">
        <v>375.8</v>
      </c>
      <c r="U170">
        <v>169.55250000000001</v>
      </c>
      <c r="V170">
        <f t="shared" si="48"/>
        <v>945.79525000000001</v>
      </c>
      <c r="W170" s="152">
        <f t="shared" si="44"/>
        <v>5.8366149041333339E-2</v>
      </c>
    </row>
    <row r="171" spans="1:23" ht="15" customHeight="1" x14ac:dyDescent="0.3">
      <c r="A171" s="70" t="s">
        <v>168</v>
      </c>
      <c r="B171" s="157">
        <v>964.17565500000001</v>
      </c>
      <c r="C171" s="5">
        <v>195.43987050000001</v>
      </c>
      <c r="D171" s="50">
        <f>IFERROR((C171-B171)/B171,100%)</f>
        <v>-0.79729848032721795</v>
      </c>
      <c r="E171" s="49">
        <v>24217307.16</v>
      </c>
      <c r="F171" s="49">
        <v>8088595.1671680557</v>
      </c>
      <c r="G171" s="48">
        <f t="shared" si="38"/>
        <v>-0.66599939812762998</v>
      </c>
      <c r="H171" s="207">
        <f t="shared" si="39"/>
        <v>5.3575140993265E-3</v>
      </c>
      <c r="I171" s="206">
        <f>B171/$B$3</f>
        <v>1.7467682109330619E-2</v>
      </c>
      <c r="J171" s="205">
        <v>135</v>
      </c>
      <c r="K171" s="205">
        <v>81</v>
      </c>
      <c r="L171" s="205">
        <v>86.399999999999991</v>
      </c>
      <c r="M171" s="154">
        <v>302.39999999999998</v>
      </c>
      <c r="N171" s="45">
        <f t="shared" si="40"/>
        <v>203.58553577440699</v>
      </c>
      <c r="O171" s="45">
        <f t="shared" si="41"/>
        <v>131.79484684343191</v>
      </c>
      <c r="P171" s="45">
        <f t="shared" si="42"/>
        <v>144.6528806818155</v>
      </c>
      <c r="Q171" s="45">
        <f t="shared" si="43"/>
        <v>480.03326329965444</v>
      </c>
      <c r="R171" s="153">
        <f>M171/Q171-1</f>
        <v>-0.3700436550555648</v>
      </c>
      <c r="S171">
        <v>375.68610000000001</v>
      </c>
      <c r="T171">
        <v>291.42</v>
      </c>
      <c r="U171">
        <v>125.9075</v>
      </c>
      <c r="V171">
        <f t="shared" si="48"/>
        <v>793.0136</v>
      </c>
      <c r="W171" s="152">
        <f t="shared" si="44"/>
        <v>-0.39467209225711331</v>
      </c>
    </row>
    <row r="172" spans="1:23" ht="15" customHeight="1" x14ac:dyDescent="0.3">
      <c r="A172" s="70" t="s">
        <v>167</v>
      </c>
      <c r="B172" s="157">
        <v>0</v>
      </c>
      <c r="C172" s="5">
        <v>137.55960224999998</v>
      </c>
      <c r="D172" s="50">
        <f>IFERROR((C172-B172)/B172,100%)</f>
        <v>1</v>
      </c>
      <c r="E172" s="49">
        <v>0</v>
      </c>
      <c r="F172" s="49">
        <v>7532198.1164159728</v>
      </c>
      <c r="G172" s="48">
        <f t="shared" si="38"/>
        <v>1</v>
      </c>
      <c r="H172" s="207">
        <f t="shared" si="39"/>
        <v>3.7708657228777698E-3</v>
      </c>
      <c r="I172" s="206">
        <f>B172/$B$3</f>
        <v>0</v>
      </c>
      <c r="J172" s="205">
        <v>120</v>
      </c>
      <c r="K172" s="205">
        <v>72</v>
      </c>
      <c r="L172" s="205">
        <v>76.8</v>
      </c>
      <c r="M172" s="154">
        <v>268.8</v>
      </c>
      <c r="N172" s="45">
        <f t="shared" si="40"/>
        <v>143.29289746935524</v>
      </c>
      <c r="O172" s="45">
        <f t="shared" si="41"/>
        <v>92.763296782793134</v>
      </c>
      <c r="P172" s="45">
        <f t="shared" si="42"/>
        <v>101.81337451769978</v>
      </c>
      <c r="Q172" s="45">
        <f t="shared" si="43"/>
        <v>337.86956876984817</v>
      </c>
      <c r="R172" s="153">
        <f>Q172/M172-1</f>
        <v>0.25695524095925659</v>
      </c>
      <c r="S172">
        <v>0</v>
      </c>
      <c r="T172">
        <v>85.18</v>
      </c>
      <c r="U172">
        <v>36.802500000000002</v>
      </c>
      <c r="V172">
        <f t="shared" si="48"/>
        <v>121.98250000000002</v>
      </c>
      <c r="W172" s="152">
        <f t="shared" si="44"/>
        <v>1.7698200050814512</v>
      </c>
    </row>
    <row r="173" spans="1:23" ht="15" customHeight="1" thickBot="1" x14ac:dyDescent="0.35">
      <c r="A173" s="69" t="s">
        <v>166</v>
      </c>
      <c r="B173" s="157">
        <v>0</v>
      </c>
      <c r="C173" s="5">
        <v>150.28560225000001</v>
      </c>
      <c r="D173" s="50">
        <f>IFERROR((C173-B173)/B173,100%)</f>
        <v>1</v>
      </c>
      <c r="E173" s="49">
        <v>0</v>
      </c>
      <c r="F173" s="49">
        <v>7532198.1164159728</v>
      </c>
      <c r="G173" s="48">
        <f t="shared" si="38"/>
        <v>1</v>
      </c>
      <c r="H173" s="207">
        <f t="shared" si="39"/>
        <v>4.1197184122169659E-3</v>
      </c>
      <c r="I173" s="206">
        <f>B173/$B$3</f>
        <v>0</v>
      </c>
      <c r="J173" s="205">
        <v>120</v>
      </c>
      <c r="K173" s="205">
        <v>72</v>
      </c>
      <c r="L173" s="205">
        <v>76.8</v>
      </c>
      <c r="M173" s="154">
        <v>268.8</v>
      </c>
      <c r="N173" s="45">
        <f t="shared" si="40"/>
        <v>156.5492996642447</v>
      </c>
      <c r="O173" s="45">
        <f t="shared" si="41"/>
        <v>101.34507294053736</v>
      </c>
      <c r="P173" s="45">
        <f t="shared" si="42"/>
        <v>111.23239712985809</v>
      </c>
      <c r="Q173" s="45">
        <f t="shared" si="43"/>
        <v>369.12676973464016</v>
      </c>
      <c r="R173" s="153">
        <f>Q173/M173-1</f>
        <v>0.37323947073898855</v>
      </c>
      <c r="S173">
        <v>0</v>
      </c>
      <c r="T173">
        <v>71.73</v>
      </c>
      <c r="U173">
        <v>30.9925</v>
      </c>
      <c r="V173">
        <f t="shared" si="48"/>
        <v>102.7225</v>
      </c>
      <c r="W173" s="152">
        <f t="shared" si="44"/>
        <v>2.5934363915854868</v>
      </c>
    </row>
    <row r="174" spans="1:23" ht="15" thickBot="1" x14ac:dyDescent="0.35">
      <c r="A174" s="68" t="s">
        <v>165</v>
      </c>
      <c r="B174" s="42">
        <v>2796.3839069999999</v>
      </c>
      <c r="C174" s="40">
        <v>2034.9863247000001</v>
      </c>
      <c r="D174" s="41">
        <f>IFERROR((C174-B174)/B174,100%)</f>
        <v>-0.27227934633511675</v>
      </c>
      <c r="E174" s="40">
        <v>77271931.920000002</v>
      </c>
      <c r="F174" s="40">
        <v>87897395.481000006</v>
      </c>
      <c r="G174" s="39">
        <f t="shared" si="38"/>
        <v>0.13750741436102046</v>
      </c>
      <c r="H174" s="150">
        <f t="shared" si="39"/>
        <v>5.5784256808115648E-2</v>
      </c>
      <c r="I174" s="150">
        <f>B174/$B$3</f>
        <v>5.0661251287374552E-2</v>
      </c>
      <c r="J174" s="204">
        <v>1308</v>
      </c>
      <c r="K174" s="36">
        <v>784.8</v>
      </c>
      <c r="L174" s="36">
        <v>837.11999999999989</v>
      </c>
      <c r="M174" s="36">
        <v>2929.92</v>
      </c>
      <c r="N174" s="36">
        <f t="shared" si="40"/>
        <v>2119.8017587083946</v>
      </c>
      <c r="O174" s="36">
        <f t="shared" si="41"/>
        <v>1372.292717479645</v>
      </c>
      <c r="P174" s="36">
        <f t="shared" si="42"/>
        <v>1506.1749338191225</v>
      </c>
      <c r="Q174" s="148">
        <f t="shared" si="43"/>
        <v>4998.2694100071622</v>
      </c>
      <c r="R174" s="41"/>
      <c r="S174" s="42">
        <f>SUM(S164:S173)</f>
        <v>1650.2691</v>
      </c>
      <c r="T174" s="42">
        <f>SUM(T164:T173)</f>
        <v>1794.64</v>
      </c>
      <c r="U174" s="42">
        <f>SUM(U164:U173)</f>
        <v>763.41750000000002</v>
      </c>
      <c r="V174" s="147">
        <f>SUM(V164:V173)</f>
        <v>4208.3266000000003</v>
      </c>
      <c r="W174" s="146">
        <f t="shared" si="44"/>
        <v>0.18770948291113188</v>
      </c>
    </row>
    <row r="175" spans="1:23" ht="16.2" customHeight="1" thickBot="1" x14ac:dyDescent="0.35">
      <c r="A175" s="177" t="s">
        <v>164</v>
      </c>
      <c r="B175" s="171">
        <v>3598.5611220000001</v>
      </c>
      <c r="C175" s="32">
        <v>2657.7123478500002</v>
      </c>
      <c r="D175" s="33">
        <f>IFERROR((C175-B175)/B175,100%)</f>
        <v>-0.26145138077496294</v>
      </c>
      <c r="E175" s="32">
        <v>102448979.52000001</v>
      </c>
      <c r="F175" s="32">
        <v>122993497.74600001</v>
      </c>
      <c r="G175" s="31">
        <f t="shared" si="38"/>
        <v>0.20053414218722707</v>
      </c>
      <c r="H175" s="144">
        <f t="shared" si="39"/>
        <v>7.2854793339420021E-2</v>
      </c>
      <c r="I175" s="144">
        <f>B175/$B$3</f>
        <v>6.5194056087313379E-2</v>
      </c>
      <c r="J175" s="203">
        <v>1980</v>
      </c>
      <c r="K175" s="202">
        <v>1188</v>
      </c>
      <c r="L175" s="202">
        <v>1267.1999999999998</v>
      </c>
      <c r="M175" s="202">
        <v>4435.2</v>
      </c>
      <c r="N175" s="28">
        <f t="shared" si="40"/>
        <v>2768.4821468979608</v>
      </c>
      <c r="O175" s="28">
        <f t="shared" si="41"/>
        <v>1792.2279161497324</v>
      </c>
      <c r="P175" s="28">
        <f t="shared" si="42"/>
        <v>1967.0794201643405</v>
      </c>
      <c r="Q175" s="143">
        <f t="shared" si="43"/>
        <v>6527.7894832120337</v>
      </c>
      <c r="R175" s="142"/>
      <c r="S175" s="34">
        <f>S174+S163+S153</f>
        <v>2037.9100999999998</v>
      </c>
      <c r="T175" s="34">
        <f>T174+T163+T153</f>
        <v>2121.71</v>
      </c>
      <c r="U175" s="34">
        <f>U174+U163+U153</f>
        <v>1054.4525000000001</v>
      </c>
      <c r="V175" s="141">
        <f>V174+V163+V153</f>
        <v>5214.0726000000004</v>
      </c>
      <c r="W175" s="140">
        <f t="shared" si="44"/>
        <v>0.25195600138211216</v>
      </c>
    </row>
    <row r="176" spans="1:23" ht="15" customHeight="1" x14ac:dyDescent="0.3">
      <c r="A176" s="175" t="s">
        <v>163</v>
      </c>
      <c r="B176" s="157">
        <v>0</v>
      </c>
      <c r="C176" s="5">
        <v>416.06171250000006</v>
      </c>
      <c r="D176" s="50">
        <f>IFERROR((C176-B176)/B176,100%)</f>
        <v>1</v>
      </c>
      <c r="E176" s="49">
        <v>0</v>
      </c>
      <c r="F176" s="49">
        <v>6284241.0727770515</v>
      </c>
      <c r="G176" s="48">
        <f t="shared" si="38"/>
        <v>1</v>
      </c>
      <c r="H176" s="207">
        <f t="shared" si="39"/>
        <v>1.1405331395308508E-2</v>
      </c>
      <c r="I176" s="206">
        <f>B176/$B$3</f>
        <v>0</v>
      </c>
      <c r="J176" s="205">
        <v>300</v>
      </c>
      <c r="K176" s="205">
        <v>180</v>
      </c>
      <c r="L176" s="205">
        <v>192</v>
      </c>
      <c r="M176" s="154">
        <v>672</v>
      </c>
      <c r="N176" s="45">
        <f t="shared" si="40"/>
        <v>433.40259302172331</v>
      </c>
      <c r="O176" s="45">
        <f t="shared" si="41"/>
        <v>280.57115232458926</v>
      </c>
      <c r="P176" s="45">
        <f t="shared" si="42"/>
        <v>307.94394767332972</v>
      </c>
      <c r="Q176" s="45">
        <f t="shared" si="43"/>
        <v>1021.9176930196423</v>
      </c>
      <c r="R176" s="153">
        <f>Q176/M176-1</f>
        <v>0.52071085270780104</v>
      </c>
      <c r="W176" s="152">
        <f t="shared" si="44"/>
        <v>1</v>
      </c>
    </row>
    <row r="177" spans="1:23" ht="15" customHeight="1" x14ac:dyDescent="0.3">
      <c r="A177" s="174" t="s">
        <v>162</v>
      </c>
      <c r="B177" s="157">
        <v>0</v>
      </c>
      <c r="C177" s="5">
        <v>168.95916870000002</v>
      </c>
      <c r="D177" s="50">
        <f>IFERROR((C177-B177)/B177,100%)</f>
        <v>1</v>
      </c>
      <c r="E177" s="49">
        <v>0</v>
      </c>
      <c r="F177" s="49">
        <v>6300000</v>
      </c>
      <c r="G177" s="48">
        <f t="shared" si="38"/>
        <v>1</v>
      </c>
      <c r="H177" s="207">
        <f t="shared" si="39"/>
        <v>4.6316093343949224E-3</v>
      </c>
      <c r="I177" s="206">
        <f>B177/$B$3</f>
        <v>0</v>
      </c>
      <c r="J177" s="205">
        <v>72</v>
      </c>
      <c r="K177" s="205">
        <v>43.2</v>
      </c>
      <c r="L177" s="205">
        <v>46.08</v>
      </c>
      <c r="M177" s="154">
        <v>161.28</v>
      </c>
      <c r="N177" s="45">
        <f t="shared" si="40"/>
        <v>176.00115470700706</v>
      </c>
      <c r="O177" s="45">
        <f t="shared" si="41"/>
        <v>113.9375896261151</v>
      </c>
      <c r="P177" s="45">
        <f t="shared" si="42"/>
        <v>125.0534520286629</v>
      </c>
      <c r="Q177" s="45">
        <f t="shared" si="43"/>
        <v>414.99219636178503</v>
      </c>
      <c r="R177" s="153">
        <f>Q177/M177-1</f>
        <v>1.5731162968860679</v>
      </c>
      <c r="W177" s="152">
        <f t="shared" si="44"/>
        <v>1</v>
      </c>
    </row>
    <row r="178" spans="1:23" ht="15" customHeight="1" x14ac:dyDescent="0.3">
      <c r="A178" s="70" t="s">
        <v>161</v>
      </c>
      <c r="B178" s="157">
        <v>533.17312500000003</v>
      </c>
      <c r="C178" s="5">
        <v>150.65206485000002</v>
      </c>
      <c r="D178" s="50">
        <f>IFERROR((C178-B178)/B178,100%)</f>
        <v>-0.71744250078246163</v>
      </c>
      <c r="E178" s="49">
        <v>18565553.460000001</v>
      </c>
      <c r="F178" s="49">
        <v>2749383.1965356194</v>
      </c>
      <c r="G178" s="48">
        <f t="shared" si="38"/>
        <v>-0.85190944064989815</v>
      </c>
      <c r="H178" s="207">
        <f t="shared" si="39"/>
        <v>4.1297641032080265E-3</v>
      </c>
      <c r="I178" s="206">
        <f>B178/$B$3</f>
        <v>9.6593381179473966E-3</v>
      </c>
      <c r="J178" s="205">
        <v>72</v>
      </c>
      <c r="K178" s="205">
        <v>43.2</v>
      </c>
      <c r="L178" s="205">
        <v>46.08</v>
      </c>
      <c r="M178" s="154">
        <v>161.28</v>
      </c>
      <c r="N178" s="45">
        <f t="shared" si="40"/>
        <v>156.93103592190502</v>
      </c>
      <c r="O178" s="45">
        <f t="shared" si="41"/>
        <v>101.59219693891745</v>
      </c>
      <c r="P178" s="45">
        <f t="shared" si="42"/>
        <v>111.50363078661671</v>
      </c>
      <c r="Q178" s="45">
        <f t="shared" si="43"/>
        <v>370.0268636474392</v>
      </c>
      <c r="R178" s="153">
        <f>M178/Q178-1</f>
        <v>-0.5641397535026883</v>
      </c>
      <c r="S178">
        <v>200.64974999999998</v>
      </c>
      <c r="T178">
        <v>230.57</v>
      </c>
      <c r="U178">
        <v>206.08500000000001</v>
      </c>
      <c r="V178">
        <f t="shared" ref="V178:V183" si="49">SUM(S178:U178)</f>
        <v>637.30475000000001</v>
      </c>
      <c r="W178" s="152">
        <f t="shared" si="44"/>
        <v>-0.41938787738920952</v>
      </c>
    </row>
    <row r="179" spans="1:23" ht="15" customHeight="1" x14ac:dyDescent="0.3">
      <c r="A179" s="70" t="s">
        <v>160</v>
      </c>
      <c r="B179" s="157">
        <v>847.07736</v>
      </c>
      <c r="C179" s="5">
        <v>53.415022500000006</v>
      </c>
      <c r="D179" s="50">
        <f>IFERROR((C179-B179)/B179,100%)</f>
        <v>-0.93694197835720694</v>
      </c>
      <c r="E179" s="49">
        <v>24927538.260000002</v>
      </c>
      <c r="F179" s="49">
        <v>9677886.75</v>
      </c>
      <c r="G179" s="48">
        <f t="shared" si="38"/>
        <v>-0.61175922591884535</v>
      </c>
      <c r="H179" s="207">
        <f t="shared" si="39"/>
        <v>1.4642444012445876E-3</v>
      </c>
      <c r="I179" s="206">
        <f>B179/$B$3</f>
        <v>1.5346247304378382E-2</v>
      </c>
      <c r="J179" s="205">
        <v>36</v>
      </c>
      <c r="K179" s="205">
        <v>21.6</v>
      </c>
      <c r="L179" s="205">
        <v>23.04</v>
      </c>
      <c r="M179" s="154">
        <v>80.64</v>
      </c>
      <c r="N179" s="45">
        <f t="shared" si="40"/>
        <v>55.641287247294329</v>
      </c>
      <c r="O179" s="45">
        <f t="shared" si="41"/>
        <v>36.020412270616859</v>
      </c>
      <c r="P179" s="45">
        <f t="shared" si="42"/>
        <v>39.534598833603866</v>
      </c>
      <c r="Q179" s="45">
        <f t="shared" si="43"/>
        <v>131.19629835151505</v>
      </c>
      <c r="R179" s="153">
        <f>M179/Q179-1</f>
        <v>-0.38534851201410614</v>
      </c>
      <c r="S179">
        <v>265.51224999999999</v>
      </c>
      <c r="T179">
        <v>79.53</v>
      </c>
      <c r="U179">
        <v>39.957500000000003</v>
      </c>
      <c r="V179">
        <f t="shared" si="49"/>
        <v>384.99974999999995</v>
      </c>
      <c r="W179" s="152">
        <f t="shared" si="44"/>
        <v>-0.65923017261305994</v>
      </c>
    </row>
    <row r="180" spans="1:23" ht="15" customHeight="1" x14ac:dyDescent="0.3">
      <c r="A180" s="70" t="s">
        <v>159</v>
      </c>
      <c r="B180" s="157">
        <v>0</v>
      </c>
      <c r="C180" s="5">
        <v>164.93926365000002</v>
      </c>
      <c r="D180" s="50">
        <f>IFERROR((C180-B180)/B180,100%)</f>
        <v>1</v>
      </c>
      <c r="E180" s="49">
        <v>1806809.6400000001</v>
      </c>
      <c r="F180" s="49">
        <v>11801546.924299911</v>
      </c>
      <c r="G180" s="48">
        <f t="shared" si="38"/>
        <v>5.5317046483656735</v>
      </c>
      <c r="H180" s="207">
        <f t="shared" si="39"/>
        <v>4.5214133036247887E-3</v>
      </c>
      <c r="I180" s="206">
        <f>B180/$B$3</f>
        <v>0</v>
      </c>
      <c r="J180" s="205">
        <v>162</v>
      </c>
      <c r="K180" s="205">
        <v>97.2</v>
      </c>
      <c r="L180" s="205">
        <v>103.68</v>
      </c>
      <c r="M180" s="154">
        <v>362.88</v>
      </c>
      <c r="N180" s="45">
        <f t="shared" si="40"/>
        <v>171.81370553774198</v>
      </c>
      <c r="O180" s="45">
        <f t="shared" si="41"/>
        <v>111.2267672691698</v>
      </c>
      <c r="P180" s="45">
        <f t="shared" si="42"/>
        <v>122.0781591978693</v>
      </c>
      <c r="Q180" s="45">
        <f t="shared" si="43"/>
        <v>405.11863200478109</v>
      </c>
      <c r="R180" s="153">
        <f>Q180/M180-1</f>
        <v>0.11639834657402193</v>
      </c>
      <c r="S180">
        <v>0</v>
      </c>
      <c r="T180">
        <v>194.72</v>
      </c>
      <c r="U180">
        <v>174.83250000000001</v>
      </c>
      <c r="V180">
        <f t="shared" si="49"/>
        <v>369.55250000000001</v>
      </c>
      <c r="W180" s="152">
        <f t="shared" si="44"/>
        <v>9.6241080779540342E-2</v>
      </c>
    </row>
    <row r="181" spans="1:23" ht="15" customHeight="1" x14ac:dyDescent="0.3">
      <c r="A181" s="70" t="s">
        <v>158</v>
      </c>
      <c r="B181" s="157">
        <v>0</v>
      </c>
      <c r="C181" s="5">
        <v>82.094263650000002</v>
      </c>
      <c r="D181" s="50">
        <f>IFERROR((C181-B181)/B181,100%)</f>
        <v>1</v>
      </c>
      <c r="E181" s="49">
        <v>0</v>
      </c>
      <c r="F181" s="49">
        <v>6089704.1126444591</v>
      </c>
      <c r="G181" s="48">
        <f t="shared" si="38"/>
        <v>1</v>
      </c>
      <c r="H181" s="207">
        <f t="shared" si="39"/>
        <v>2.2504168358968594E-3</v>
      </c>
      <c r="I181" s="206">
        <f>B181/$B$3</f>
        <v>0</v>
      </c>
      <c r="J181" s="205">
        <v>162</v>
      </c>
      <c r="K181" s="205">
        <v>97.2</v>
      </c>
      <c r="L181" s="205">
        <v>103.68</v>
      </c>
      <c r="M181" s="154">
        <v>362.88</v>
      </c>
      <c r="N181" s="45">
        <f t="shared" si="40"/>
        <v>85.515839764080653</v>
      </c>
      <c r="O181" s="45">
        <f t="shared" si="41"/>
        <v>55.360254163062741</v>
      </c>
      <c r="P181" s="45">
        <f t="shared" si="42"/>
        <v>60.761254569215204</v>
      </c>
      <c r="Q181" s="45">
        <f t="shared" si="43"/>
        <v>201.63734849635858</v>
      </c>
      <c r="R181" s="153">
        <f>Q181/M181-1</f>
        <v>-0.44434152200077548</v>
      </c>
      <c r="S181">
        <v>0</v>
      </c>
      <c r="T181">
        <v>29.41</v>
      </c>
      <c r="U181">
        <v>14.7775</v>
      </c>
      <c r="V181">
        <f t="shared" si="49"/>
        <v>44.1875</v>
      </c>
      <c r="W181" s="152">
        <f t="shared" si="44"/>
        <v>3.5632214652641263</v>
      </c>
    </row>
    <row r="182" spans="1:23" ht="15" customHeight="1" x14ac:dyDescent="0.3">
      <c r="A182" s="70" t="s">
        <v>157</v>
      </c>
      <c r="B182" s="157">
        <v>198.48231000000001</v>
      </c>
      <c r="C182" s="5">
        <v>132.94313865000001</v>
      </c>
      <c r="D182" s="50">
        <f>IFERROR((C182-B182)/B182,100%)</f>
        <v>-0.33020157489098145</v>
      </c>
      <c r="E182" s="49">
        <v>5951235.9000000004</v>
      </c>
      <c r="F182" s="49">
        <v>6056973.3603047486</v>
      </c>
      <c r="G182" s="48">
        <f t="shared" si="38"/>
        <v>1.7767311207533928E-2</v>
      </c>
      <c r="H182" s="207">
        <f t="shared" si="39"/>
        <v>3.644316473931008E-3</v>
      </c>
      <c r="I182" s="206">
        <f>B182/$B$3</f>
        <v>3.5958446756318629E-3</v>
      </c>
      <c r="J182" s="205">
        <v>162</v>
      </c>
      <c r="K182" s="205">
        <v>97.2</v>
      </c>
      <c r="L182" s="205">
        <v>103.68</v>
      </c>
      <c r="M182" s="154">
        <v>362.88</v>
      </c>
      <c r="N182" s="45">
        <f t="shared" si="40"/>
        <v>138.48402600937831</v>
      </c>
      <c r="O182" s="45">
        <f t="shared" si="41"/>
        <v>89.650185258702791</v>
      </c>
      <c r="P182" s="45">
        <f t="shared" si="42"/>
        <v>98.396544796137221</v>
      </c>
      <c r="Q182" s="45">
        <f t="shared" si="43"/>
        <v>326.53075606421834</v>
      </c>
      <c r="R182" s="153">
        <f>Q182/M182-1</f>
        <v>-0.10016877186888684</v>
      </c>
      <c r="S182">
        <v>42.273000000000003</v>
      </c>
      <c r="T182">
        <v>89.91</v>
      </c>
      <c r="U182">
        <v>98.152500000000003</v>
      </c>
      <c r="V182">
        <f t="shared" si="49"/>
        <v>230.3355</v>
      </c>
      <c r="W182" s="152">
        <f t="shared" si="44"/>
        <v>0.41763104716475896</v>
      </c>
    </row>
    <row r="183" spans="1:23" ht="15" customHeight="1" thickBot="1" x14ac:dyDescent="0.35">
      <c r="A183" s="69" t="s">
        <v>156</v>
      </c>
      <c r="B183" s="157">
        <v>0</v>
      </c>
      <c r="C183" s="5">
        <v>88.460938650000003</v>
      </c>
      <c r="D183" s="50">
        <f>IFERROR((C183-B183)/B183,100%)</f>
        <v>1</v>
      </c>
      <c r="E183" s="49">
        <v>0</v>
      </c>
      <c r="F183" s="49">
        <v>7514372.3778546574</v>
      </c>
      <c r="G183" s="48">
        <f t="shared" si="38"/>
        <v>1</v>
      </c>
      <c r="H183" s="207">
        <f t="shared" si="39"/>
        <v>2.4249439218546327E-3</v>
      </c>
      <c r="I183" s="206">
        <f>B183/$B$3</f>
        <v>0</v>
      </c>
      <c r="J183" s="205">
        <v>162</v>
      </c>
      <c r="K183" s="205">
        <v>97.2</v>
      </c>
      <c r="L183" s="205">
        <v>103.68</v>
      </c>
      <c r="M183" s="154">
        <v>362.88</v>
      </c>
      <c r="N183" s="45">
        <f t="shared" si="40"/>
        <v>92.147869030476045</v>
      </c>
      <c r="O183" s="45">
        <f t="shared" si="41"/>
        <v>59.653620477623967</v>
      </c>
      <c r="P183" s="45">
        <f t="shared" si="42"/>
        <v>65.473485890075082</v>
      </c>
      <c r="Q183" s="45">
        <f t="shared" si="43"/>
        <v>217.27497539817512</v>
      </c>
      <c r="R183" s="153">
        <f>Q183/M183-1</f>
        <v>-0.40124841435688074</v>
      </c>
      <c r="S183">
        <v>0</v>
      </c>
      <c r="T183">
        <v>17.399999999999999</v>
      </c>
      <c r="U183">
        <v>16.649999999999999</v>
      </c>
      <c r="V183">
        <f t="shared" si="49"/>
        <v>34.049999999999997</v>
      </c>
      <c r="W183" s="152">
        <f t="shared" si="44"/>
        <v>5.3810565462019122</v>
      </c>
    </row>
    <row r="184" spans="1:23" ht="15" thickBot="1" x14ac:dyDescent="0.35">
      <c r="A184" s="68" t="s">
        <v>155</v>
      </c>
      <c r="B184" s="42">
        <v>1578.7327950000001</v>
      </c>
      <c r="C184" s="40">
        <v>1257.5255731500001</v>
      </c>
      <c r="D184" s="41">
        <f>IFERROR((C184-B184)/B184,100%)</f>
        <v>-0.20345888985602531</v>
      </c>
      <c r="E184" s="40">
        <v>51251137.259999998</v>
      </c>
      <c r="F184" s="40">
        <v>56474107.79441645</v>
      </c>
      <c r="G184" s="39">
        <f t="shared" si="38"/>
        <v>0.10190935877032385</v>
      </c>
      <c r="H184" s="150">
        <f t="shared" si="39"/>
        <v>3.4472039769463329E-2</v>
      </c>
      <c r="I184" s="150">
        <f>B184/$B$3</f>
        <v>2.8601430097957643E-2</v>
      </c>
      <c r="J184" s="204">
        <v>1128</v>
      </c>
      <c r="K184" s="36">
        <v>676.80000000000007</v>
      </c>
      <c r="L184" s="36">
        <v>721.92000000000007</v>
      </c>
      <c r="M184" s="36">
        <v>2526.7200000000003</v>
      </c>
      <c r="N184" s="36">
        <f t="shared" si="40"/>
        <v>1309.9375112396065</v>
      </c>
      <c r="O184" s="36">
        <f t="shared" si="41"/>
        <v>848.01217832879786</v>
      </c>
      <c r="P184" s="36">
        <f t="shared" si="42"/>
        <v>930.74507377550992</v>
      </c>
      <c r="Q184" s="148">
        <f t="shared" si="43"/>
        <v>3088.694763343914</v>
      </c>
      <c r="R184" s="41"/>
      <c r="S184" s="42">
        <f>SUM(S176:S183)</f>
        <v>508.435</v>
      </c>
      <c r="T184" s="42">
        <f>SUM(T176:T183)</f>
        <v>641.54</v>
      </c>
      <c r="U184" s="42">
        <f>SUM(U176:U183)</f>
        <v>550.45499999999993</v>
      </c>
      <c r="V184" s="147">
        <f>SUM(V176:V183)</f>
        <v>1700.4299999999998</v>
      </c>
      <c r="W184" s="146">
        <f t="shared" si="44"/>
        <v>0.81641982518769629</v>
      </c>
    </row>
    <row r="185" spans="1:23" ht="15" customHeight="1" x14ac:dyDescent="0.3">
      <c r="A185" s="73" t="s">
        <v>154</v>
      </c>
      <c r="B185" s="157">
        <v>201.95439000000002</v>
      </c>
      <c r="C185" s="5">
        <v>190.10643750000003</v>
      </c>
      <c r="D185" s="50">
        <f>IFERROR((C185-B185)/B185,100%)</f>
        <v>-5.8666476623756431E-2</v>
      </c>
      <c r="E185" s="49">
        <v>6521625</v>
      </c>
      <c r="F185" s="49">
        <v>8500666.6500000004</v>
      </c>
      <c r="G185" s="48">
        <f t="shared" si="38"/>
        <v>0.30345836352136168</v>
      </c>
      <c r="H185" s="207">
        <f t="shared" si="39"/>
        <v>5.2113108582876504E-3</v>
      </c>
      <c r="I185" s="206">
        <f>B185/$B$3</f>
        <v>3.6587473110423832E-3</v>
      </c>
      <c r="J185" s="205">
        <v>151.99999999999997</v>
      </c>
      <c r="K185" s="205">
        <v>91.199999999999974</v>
      </c>
      <c r="L185" s="205">
        <v>97.279999999999973</v>
      </c>
      <c r="M185" s="154">
        <v>340.4799999999999</v>
      </c>
      <c r="N185" s="45">
        <f t="shared" si="40"/>
        <v>198.02981261493071</v>
      </c>
      <c r="O185" s="45">
        <f t="shared" si="41"/>
        <v>128.19824711387619</v>
      </c>
      <c r="P185" s="45">
        <f t="shared" si="42"/>
        <v>140.70539317376657</v>
      </c>
      <c r="Q185" s="45">
        <f t="shared" si="43"/>
        <v>466.93345290257344</v>
      </c>
      <c r="R185" s="153">
        <f t="shared" ref="R185:R190" si="50">Q185/M185-1</f>
        <v>0.37139759428622399</v>
      </c>
      <c r="S185">
        <v>85.705249999999992</v>
      </c>
      <c r="T185">
        <v>86.09</v>
      </c>
      <c r="U185">
        <v>37.0625</v>
      </c>
      <c r="V185">
        <f t="shared" ref="V185:V190" si="51">SUM(S185:U185)</f>
        <v>208.85775000000001</v>
      </c>
      <c r="W185" s="152">
        <f t="shared" si="44"/>
        <v>1.2356529882303788</v>
      </c>
    </row>
    <row r="186" spans="1:23" ht="15" customHeight="1" x14ac:dyDescent="0.3">
      <c r="A186" s="70" t="s">
        <v>153</v>
      </c>
      <c r="B186" s="157">
        <v>477.39131400000002</v>
      </c>
      <c r="C186" s="5">
        <v>330.01013850000004</v>
      </c>
      <c r="D186" s="50">
        <f>IFERROR((C186-B186)/B186,100%)</f>
        <v>-0.3087219460804852</v>
      </c>
      <c r="E186" s="49">
        <v>18023910</v>
      </c>
      <c r="F186" s="49">
        <v>13942644.995999999</v>
      </c>
      <c r="G186" s="48">
        <f t="shared" si="38"/>
        <v>-0.22643616196485672</v>
      </c>
      <c r="H186" s="207">
        <f t="shared" si="39"/>
        <v>9.0464344118281696E-3</v>
      </c>
      <c r="I186" s="206">
        <f>B186/$B$3</f>
        <v>8.6487557235695144E-3</v>
      </c>
      <c r="J186" s="205">
        <v>247.99999999999994</v>
      </c>
      <c r="K186" s="205">
        <v>148.79999999999998</v>
      </c>
      <c r="L186" s="205">
        <v>158.71999999999997</v>
      </c>
      <c r="M186" s="154">
        <v>555.52</v>
      </c>
      <c r="N186" s="45">
        <f t="shared" si="40"/>
        <v>343.76450764947043</v>
      </c>
      <c r="O186" s="45">
        <f t="shared" si="41"/>
        <v>222.54228653097297</v>
      </c>
      <c r="P186" s="45">
        <f t="shared" si="42"/>
        <v>244.25372911936057</v>
      </c>
      <c r="Q186" s="45">
        <f t="shared" si="43"/>
        <v>810.56052329980389</v>
      </c>
      <c r="R186" s="153">
        <f t="shared" si="50"/>
        <v>0.45910232448841426</v>
      </c>
      <c r="S186">
        <v>61.166000000000004</v>
      </c>
      <c r="T186">
        <v>165.14</v>
      </c>
      <c r="U186">
        <v>98.097499999999997</v>
      </c>
      <c r="V186">
        <f t="shared" si="51"/>
        <v>324.40350000000001</v>
      </c>
      <c r="W186" s="152">
        <f t="shared" si="44"/>
        <v>1.4986183049806918</v>
      </c>
    </row>
    <row r="187" spans="1:23" ht="15" customHeight="1" x14ac:dyDescent="0.3">
      <c r="A187" s="70" t="s">
        <v>152</v>
      </c>
      <c r="B187" s="157">
        <v>0</v>
      </c>
      <c r="C187" s="5">
        <v>93.770533499999999</v>
      </c>
      <c r="D187" s="50">
        <f>IFERROR((C187-B187)/B187,100%)</f>
        <v>1</v>
      </c>
      <c r="E187" s="49">
        <v>0</v>
      </c>
      <c r="F187" s="49">
        <v>3753295.6536923074</v>
      </c>
      <c r="G187" s="48">
        <f t="shared" si="38"/>
        <v>1</v>
      </c>
      <c r="H187" s="207">
        <f t="shared" si="39"/>
        <v>2.5704936973319262E-3</v>
      </c>
      <c r="I187" s="206">
        <f>B187/$B$3</f>
        <v>0</v>
      </c>
      <c r="J187" s="205">
        <v>79.999999999999986</v>
      </c>
      <c r="K187" s="205">
        <v>47.999999999999993</v>
      </c>
      <c r="L187" s="205">
        <v>51.199999999999989</v>
      </c>
      <c r="M187" s="154">
        <v>179.19999999999996</v>
      </c>
      <c r="N187" s="45">
        <f t="shared" si="40"/>
        <v>97.678760498613201</v>
      </c>
      <c r="O187" s="45">
        <f t="shared" si="41"/>
        <v>63.234144954365384</v>
      </c>
      <c r="P187" s="45">
        <f t="shared" si="42"/>
        <v>69.403329827962011</v>
      </c>
      <c r="Q187" s="45">
        <f t="shared" si="43"/>
        <v>230.31623528094059</v>
      </c>
      <c r="R187" s="153">
        <f t="shared" si="50"/>
        <v>0.28524684866596339</v>
      </c>
      <c r="S187">
        <v>0</v>
      </c>
      <c r="T187">
        <v>60.52</v>
      </c>
      <c r="U187">
        <v>73.832499999999996</v>
      </c>
      <c r="V187">
        <f t="shared" si="51"/>
        <v>134.35249999999999</v>
      </c>
      <c r="W187" s="152">
        <f t="shared" si="44"/>
        <v>0.71426832608950785</v>
      </c>
    </row>
    <row r="188" spans="1:23" ht="15" customHeight="1" x14ac:dyDescent="0.3">
      <c r="A188" s="70" t="s">
        <v>151</v>
      </c>
      <c r="B188" s="157">
        <v>172.96777499999999</v>
      </c>
      <c r="C188" s="5">
        <v>96.869717699999981</v>
      </c>
      <c r="D188" s="50">
        <f>IFERROR((C188-B188)/B188,100%)</f>
        <v>-0.43995511476053856</v>
      </c>
      <c r="E188" s="49">
        <v>8481218.4000000004</v>
      </c>
      <c r="F188" s="49">
        <v>3800794.9883076926</v>
      </c>
      <c r="G188" s="48">
        <f t="shared" si="38"/>
        <v>-0.55185743261750086</v>
      </c>
      <c r="H188" s="207">
        <f t="shared" si="39"/>
        <v>2.655450379944494E-3</v>
      </c>
      <c r="I188" s="206">
        <f>B188/$B$3</f>
        <v>3.133605472395197E-3</v>
      </c>
      <c r="J188" s="205">
        <v>128</v>
      </c>
      <c r="K188" s="205">
        <v>76.8</v>
      </c>
      <c r="L188" s="205">
        <v>81.92</v>
      </c>
      <c r="M188" s="154">
        <v>286.72000000000003</v>
      </c>
      <c r="N188" s="45">
        <f t="shared" si="40"/>
        <v>100.90711443789077</v>
      </c>
      <c r="O188" s="45">
        <f t="shared" si="41"/>
        <v>65.324079346634548</v>
      </c>
      <c r="P188" s="45">
        <f t="shared" si="42"/>
        <v>71.697160258501341</v>
      </c>
      <c r="Q188" s="45">
        <f t="shared" si="43"/>
        <v>237.92835404302667</v>
      </c>
      <c r="R188" s="153">
        <f t="shared" si="50"/>
        <v>-0.17017175626734571</v>
      </c>
      <c r="S188">
        <v>121.30825</v>
      </c>
      <c r="T188">
        <v>49.52</v>
      </c>
      <c r="U188">
        <v>60.407499999999999</v>
      </c>
      <c r="V188">
        <f t="shared" si="51"/>
        <v>231.23575</v>
      </c>
      <c r="W188" s="152">
        <f t="shared" si="44"/>
        <v>2.8942773956997035E-2</v>
      </c>
    </row>
    <row r="189" spans="1:23" ht="15" customHeight="1" x14ac:dyDescent="0.3">
      <c r="A189" s="70" t="s">
        <v>150</v>
      </c>
      <c r="B189" s="157">
        <v>400.01518499999997</v>
      </c>
      <c r="C189" s="5">
        <v>165.61440000000002</v>
      </c>
      <c r="D189" s="50">
        <f>IFERROR((C189-B189)/B189,100%)</f>
        <v>-0.58597971724498399</v>
      </c>
      <c r="E189" s="49">
        <v>10419912</v>
      </c>
      <c r="F189" s="49">
        <v>8828898.1620000005</v>
      </c>
      <c r="G189" s="48">
        <f t="shared" si="38"/>
        <v>-0.152689757648625</v>
      </c>
      <c r="H189" s="207">
        <f t="shared" si="39"/>
        <v>4.5399205432419621E-3</v>
      </c>
      <c r="I189" s="206">
        <f>B189/$B$3</f>
        <v>7.246955525427653E-3</v>
      </c>
      <c r="J189" s="205">
        <v>151.99999999999997</v>
      </c>
      <c r="K189" s="205">
        <v>91.199999999999974</v>
      </c>
      <c r="L189" s="205">
        <v>97.279999999999973</v>
      </c>
      <c r="M189" s="154">
        <v>340.4799999999999</v>
      </c>
      <c r="N189" s="45">
        <f t="shared" si="40"/>
        <v>172.51698064319456</v>
      </c>
      <c r="O189" s="45">
        <f t="shared" si="41"/>
        <v>111.68204536375227</v>
      </c>
      <c r="P189" s="45">
        <f t="shared" si="42"/>
        <v>122.57785466753297</v>
      </c>
      <c r="Q189" s="45">
        <f t="shared" si="43"/>
        <v>406.7768806744798</v>
      </c>
      <c r="R189" s="153">
        <f t="shared" si="50"/>
        <v>0.19471593243209551</v>
      </c>
      <c r="S189">
        <v>146.78174999999999</v>
      </c>
      <c r="T189">
        <v>109.11</v>
      </c>
      <c r="U189">
        <v>84.504999999999995</v>
      </c>
      <c r="V189">
        <f t="shared" si="51"/>
        <v>340.39675</v>
      </c>
      <c r="W189" s="152">
        <f t="shared" si="44"/>
        <v>0.19500812118353011</v>
      </c>
    </row>
    <row r="190" spans="1:23" ht="15" customHeight="1" thickBot="1" x14ac:dyDescent="0.35">
      <c r="A190" s="69" t="s">
        <v>149</v>
      </c>
      <c r="B190" s="157">
        <v>85.980900000000005</v>
      </c>
      <c r="C190" s="5">
        <v>203.96433750000003</v>
      </c>
      <c r="D190" s="50">
        <f>IFERROR((C190-B190)/B190,100%)</f>
        <v>1.3722051932464072</v>
      </c>
      <c r="E190" s="49">
        <v>2772972</v>
      </c>
      <c r="F190" s="49">
        <v>8811492.9000000004</v>
      </c>
      <c r="G190" s="48">
        <f t="shared" si="38"/>
        <v>2.1776350067725172</v>
      </c>
      <c r="H190" s="207">
        <f t="shared" si="39"/>
        <v>5.5911918643849028E-3</v>
      </c>
      <c r="I190" s="206">
        <f>B190/$B$3</f>
        <v>1.5576902620240344E-3</v>
      </c>
      <c r="J190" s="205">
        <v>103.99999999999999</v>
      </c>
      <c r="K190" s="205">
        <v>62.399999999999991</v>
      </c>
      <c r="L190" s="205">
        <v>66.559999999999988</v>
      </c>
      <c r="M190" s="154">
        <v>232.95999999999998</v>
      </c>
      <c r="N190" s="45">
        <f t="shared" si="40"/>
        <v>212.46529084662632</v>
      </c>
      <c r="O190" s="45">
        <f t="shared" si="41"/>
        <v>137.54331986386862</v>
      </c>
      <c r="P190" s="45">
        <f t="shared" si="42"/>
        <v>150.96218033839239</v>
      </c>
      <c r="Q190" s="45">
        <f t="shared" si="43"/>
        <v>500.97079104888735</v>
      </c>
      <c r="R190" s="153">
        <f t="shared" si="50"/>
        <v>1.1504584093788091</v>
      </c>
      <c r="S190">
        <v>36.850250000000003</v>
      </c>
      <c r="T190">
        <v>60.6</v>
      </c>
      <c r="U190">
        <v>24.155000000000001</v>
      </c>
      <c r="V190">
        <f t="shared" si="51"/>
        <v>121.60525000000001</v>
      </c>
      <c r="W190" s="152">
        <f t="shared" si="44"/>
        <v>3.1196477212035441</v>
      </c>
    </row>
    <row r="191" spans="1:23" ht="15" thickBot="1" x14ac:dyDescent="0.35">
      <c r="A191" s="68" t="s">
        <v>148</v>
      </c>
      <c r="B191" s="42">
        <v>1338.3095640000001</v>
      </c>
      <c r="C191" s="40">
        <v>1080.3355647000003</v>
      </c>
      <c r="D191" s="41">
        <f>IFERROR((C191-B191)/B191,100%)</f>
        <v>-0.19276108177016646</v>
      </c>
      <c r="E191" s="40">
        <v>46219637.399999999</v>
      </c>
      <c r="F191" s="40">
        <v>47637793.350000001</v>
      </c>
      <c r="G191" s="39">
        <f t="shared" si="38"/>
        <v>3.0682974375735864E-2</v>
      </c>
      <c r="H191" s="150">
        <f t="shared" si="39"/>
        <v>2.9614801755019113E-2</v>
      </c>
      <c r="I191" s="150">
        <f>B191/$B$3</f>
        <v>2.4245754294458785E-2</v>
      </c>
      <c r="J191" s="204">
        <v>863.99999999999989</v>
      </c>
      <c r="K191" s="36">
        <v>518.4</v>
      </c>
      <c r="L191" s="36">
        <v>552.95999999999992</v>
      </c>
      <c r="M191" s="36">
        <v>1935.3599999999997</v>
      </c>
      <c r="N191" s="36">
        <f t="shared" si="40"/>
        <v>1125.3624666907263</v>
      </c>
      <c r="O191" s="36">
        <f t="shared" si="41"/>
        <v>728.52412317347023</v>
      </c>
      <c r="P191" s="36">
        <f t="shared" si="42"/>
        <v>799.59964738551605</v>
      </c>
      <c r="Q191" s="148">
        <f t="shared" si="43"/>
        <v>2653.4862372497128</v>
      </c>
      <c r="R191" s="41"/>
      <c r="S191" s="42">
        <f>SUM(S185:S190)</f>
        <v>451.81150000000002</v>
      </c>
      <c r="T191" s="42">
        <f>SUM(T185:T190)</f>
        <v>530.98</v>
      </c>
      <c r="U191" s="42">
        <f>SUM(U185:U190)</f>
        <v>378.05999999999995</v>
      </c>
      <c r="V191" s="147">
        <f>SUM(V185:V190)</f>
        <v>1360.8515000000002</v>
      </c>
      <c r="W191" s="146">
        <f t="shared" si="44"/>
        <v>0.9498720009124525</v>
      </c>
    </row>
    <row r="192" spans="1:23" ht="15" customHeight="1" x14ac:dyDescent="0.3">
      <c r="A192" s="73" t="s">
        <v>147</v>
      </c>
      <c r="B192" s="157">
        <v>0</v>
      </c>
      <c r="C192" s="5">
        <v>25.396875000000001</v>
      </c>
      <c r="D192" s="50">
        <f>IFERROR((C192-B192)/B192,100%)</f>
        <v>1</v>
      </c>
      <c r="E192" s="49">
        <v>0</v>
      </c>
      <c r="F192" s="49">
        <v>0</v>
      </c>
      <c r="G192" s="48">
        <f t="shared" si="38"/>
        <v>1</v>
      </c>
      <c r="H192" s="207">
        <f t="shared" si="39"/>
        <v>6.9619425935575781E-4</v>
      </c>
      <c r="I192" s="206">
        <f>B192/$B$3</f>
        <v>0</v>
      </c>
      <c r="J192" s="205">
        <v>122.44897959183675</v>
      </c>
      <c r="K192" s="205">
        <v>73.469387755102048</v>
      </c>
      <c r="L192" s="205">
        <v>78.367346938775512</v>
      </c>
      <c r="M192" s="154">
        <v>274.28571428571433</v>
      </c>
      <c r="N192" s="45">
        <f t="shared" si="40"/>
        <v>26.455381855518798</v>
      </c>
      <c r="O192" s="45">
        <f t="shared" si="41"/>
        <v>17.126378780151644</v>
      </c>
      <c r="P192" s="45">
        <f t="shared" si="42"/>
        <v>18.797245002605461</v>
      </c>
      <c r="Q192" s="45">
        <f t="shared" si="43"/>
        <v>62.379005638275899</v>
      </c>
      <c r="R192" s="153">
        <f>Q192/M192-1</f>
        <v>-0.77257654194378578</v>
      </c>
      <c r="S192">
        <v>0</v>
      </c>
      <c r="T192">
        <v>110.77</v>
      </c>
      <c r="U192">
        <v>96.96</v>
      </c>
      <c r="V192">
        <f>SUM(S192:U192)</f>
        <v>207.73</v>
      </c>
      <c r="W192" s="152">
        <f t="shared" si="44"/>
        <v>-0.69971113638725313</v>
      </c>
    </row>
    <row r="193" spans="1:23" ht="15" customHeight="1" x14ac:dyDescent="0.3">
      <c r="A193" s="70" t="s">
        <v>146</v>
      </c>
      <c r="B193" s="157">
        <v>0</v>
      </c>
      <c r="C193" s="5">
        <v>126.99645000000001</v>
      </c>
      <c r="D193" s="50">
        <f>IFERROR((C193-B193)/B193,100%)</f>
        <v>1</v>
      </c>
      <c r="E193" s="49">
        <v>1648719.84</v>
      </c>
      <c r="F193" s="49">
        <v>6256335.75</v>
      </c>
      <c r="G193" s="48">
        <f t="shared" si="38"/>
        <v>2.794662742701028</v>
      </c>
      <c r="H193" s="207">
        <f t="shared" si="39"/>
        <v>3.4813023038685084E-3</v>
      </c>
      <c r="I193" s="206">
        <f>B193/$B$3</f>
        <v>0</v>
      </c>
      <c r="J193" s="205">
        <v>122.44897959183675</v>
      </c>
      <c r="K193" s="205">
        <v>73.469387755102048</v>
      </c>
      <c r="L193" s="205">
        <v>78.367346938775512</v>
      </c>
      <c r="M193" s="154">
        <v>274.28571428571433</v>
      </c>
      <c r="N193" s="45">
        <f t="shared" si="40"/>
        <v>132.28948754700332</v>
      </c>
      <c r="O193" s="45">
        <f t="shared" si="41"/>
        <v>85.640036675165305</v>
      </c>
      <c r="P193" s="45">
        <f t="shared" si="42"/>
        <v>93.995162204449727</v>
      </c>
      <c r="Q193" s="45">
        <f t="shared" si="43"/>
        <v>311.92468642661834</v>
      </c>
      <c r="R193" s="153">
        <f>Q193/M193-1</f>
        <v>0.13722541926371257</v>
      </c>
      <c r="S193">
        <v>0</v>
      </c>
      <c r="T193">
        <v>69.959999999999994</v>
      </c>
      <c r="U193">
        <v>48.447499999999998</v>
      </c>
      <c r="V193">
        <f>SUM(S193:U193)</f>
        <v>118.4075</v>
      </c>
      <c r="W193" s="152">
        <f t="shared" si="44"/>
        <v>1.6343321700620175</v>
      </c>
    </row>
    <row r="194" spans="1:23" ht="15" customHeight="1" x14ac:dyDescent="0.3">
      <c r="A194" s="70" t="s">
        <v>145</v>
      </c>
      <c r="B194" s="157">
        <v>0</v>
      </c>
      <c r="C194" s="5">
        <v>172.86383940000002</v>
      </c>
      <c r="D194" s="50">
        <f>IFERROR((C194-B194)/B194,100%)</f>
        <v>1</v>
      </c>
      <c r="E194" s="49">
        <v>0</v>
      </c>
      <c r="F194" s="49">
        <v>8556315.6000000015</v>
      </c>
      <c r="G194" s="48">
        <f t="shared" si="38"/>
        <v>1</v>
      </c>
      <c r="H194" s="207">
        <f t="shared" si="39"/>
        <v>4.7386464925497987E-3</v>
      </c>
      <c r="I194" s="206">
        <f>B194/$B$3</f>
        <v>0</v>
      </c>
      <c r="J194" s="205">
        <v>168.36734693877554</v>
      </c>
      <c r="K194" s="205">
        <v>101.02040816326533</v>
      </c>
      <c r="L194" s="205">
        <v>107.75510204081635</v>
      </c>
      <c r="M194" s="154">
        <v>377.14285714285722</v>
      </c>
      <c r="N194" s="45">
        <f t="shared" si="40"/>
        <v>180.06856671689235</v>
      </c>
      <c r="O194" s="45">
        <f t="shared" si="41"/>
        <v>116.57070371672505</v>
      </c>
      <c r="P194" s="45">
        <f t="shared" si="42"/>
        <v>127.94345529884457</v>
      </c>
      <c r="Q194" s="45">
        <f t="shared" si="43"/>
        <v>424.58272573246199</v>
      </c>
      <c r="R194" s="153">
        <f>Q194/M194-1</f>
        <v>0.12578753035122481</v>
      </c>
      <c r="S194">
        <v>0</v>
      </c>
      <c r="T194">
        <v>242.34</v>
      </c>
      <c r="U194">
        <v>93.977500000000006</v>
      </c>
      <c r="V194">
        <f>SUM(S194:U194)</f>
        <v>336.3175</v>
      </c>
      <c r="W194" s="152">
        <f t="shared" si="44"/>
        <v>0.2624461282343678</v>
      </c>
    </row>
    <row r="195" spans="1:23" ht="15" customHeight="1" x14ac:dyDescent="0.3">
      <c r="A195" s="70" t="s">
        <v>144</v>
      </c>
      <c r="B195" s="157">
        <v>456.66965700000003</v>
      </c>
      <c r="C195" s="5">
        <v>223.06008585000001</v>
      </c>
      <c r="D195" s="50">
        <f>IFERROR((C195-B195)/B195,100%)</f>
        <v>-0.51155045571595748</v>
      </c>
      <c r="E195" s="49">
        <v>17932620</v>
      </c>
      <c r="F195" s="49">
        <v>9111999.1772727259</v>
      </c>
      <c r="G195" s="48">
        <f t="shared" si="38"/>
        <v>-0.49187574502372067</v>
      </c>
      <c r="H195" s="207">
        <f t="shared" si="39"/>
        <v>6.1146558881820098E-3</v>
      </c>
      <c r="I195" s="206">
        <f>B195/$B$3</f>
        <v>8.2733476582677774E-3</v>
      </c>
      <c r="J195" s="205">
        <v>191.32653061224491</v>
      </c>
      <c r="K195" s="205">
        <v>114.79591836734694</v>
      </c>
      <c r="L195" s="205">
        <v>122.44897959183675</v>
      </c>
      <c r="M195" s="154">
        <v>428.57142857142861</v>
      </c>
      <c r="N195" s="45">
        <f t="shared" si="40"/>
        <v>232.35692375091637</v>
      </c>
      <c r="O195" s="45">
        <f t="shared" si="41"/>
        <v>150.42053484927743</v>
      </c>
      <c r="P195" s="45">
        <f t="shared" si="42"/>
        <v>165.09570898091425</v>
      </c>
      <c r="Q195" s="45">
        <f t="shared" si="43"/>
        <v>547.87316758110796</v>
      </c>
      <c r="R195" s="153">
        <f>Q195/M195-1</f>
        <v>0.27837072435591836</v>
      </c>
      <c r="S195">
        <v>108.6575</v>
      </c>
      <c r="T195">
        <v>169.07</v>
      </c>
      <c r="U195">
        <v>160.01499999999999</v>
      </c>
      <c r="V195">
        <f>SUM(S195:U195)</f>
        <v>437.74249999999995</v>
      </c>
      <c r="W195" s="152">
        <f t="shared" si="44"/>
        <v>0.25158778866824222</v>
      </c>
    </row>
    <row r="196" spans="1:23" ht="15" customHeight="1" thickBot="1" x14ac:dyDescent="0.35">
      <c r="A196" s="69" t="s">
        <v>143</v>
      </c>
      <c r="B196" s="157">
        <v>0</v>
      </c>
      <c r="C196" s="5">
        <v>163.2352113</v>
      </c>
      <c r="D196" s="50">
        <f>IFERROR((C196-B196)/B196,100%)</f>
        <v>1</v>
      </c>
      <c r="E196" s="49">
        <v>0</v>
      </c>
      <c r="F196" s="49">
        <v>8000632.0227272715</v>
      </c>
      <c r="G196" s="48">
        <f t="shared" si="38"/>
        <v>1</v>
      </c>
      <c r="H196" s="207">
        <f t="shared" si="39"/>
        <v>4.4747008059764877E-3</v>
      </c>
      <c r="I196" s="206">
        <f>B196/$B$3</f>
        <v>0</v>
      </c>
      <c r="J196" s="205">
        <v>145.40816326530611</v>
      </c>
      <c r="K196" s="205">
        <v>87.244897959183675</v>
      </c>
      <c r="L196" s="205">
        <v>93.061224489795919</v>
      </c>
      <c r="M196" s="154">
        <v>325.71428571428572</v>
      </c>
      <c r="N196" s="45">
        <f t="shared" si="40"/>
        <v>170.03863062710653</v>
      </c>
      <c r="O196" s="45">
        <f t="shared" si="41"/>
        <v>110.0776398270216</v>
      </c>
      <c r="P196" s="45">
        <f t="shared" si="42"/>
        <v>120.81692176136517</v>
      </c>
      <c r="Q196" s="45">
        <f t="shared" si="43"/>
        <v>400.93319221549331</v>
      </c>
      <c r="R196" s="153">
        <f>Q196/M196-1</f>
        <v>0.23093523925809345</v>
      </c>
      <c r="S196">
        <v>0</v>
      </c>
      <c r="T196">
        <v>116.6</v>
      </c>
      <c r="U196">
        <v>148.5975</v>
      </c>
      <c r="V196">
        <f>SUM(S196:U196)</f>
        <v>265.19749999999999</v>
      </c>
      <c r="W196" s="152">
        <f t="shared" si="44"/>
        <v>0.51182870206353126</v>
      </c>
    </row>
    <row r="197" spans="1:23" ht="15" thickBot="1" x14ac:dyDescent="0.35">
      <c r="A197" s="68" t="s">
        <v>142</v>
      </c>
      <c r="B197" s="42">
        <v>456.66965700000003</v>
      </c>
      <c r="C197" s="40">
        <v>711.55246155000009</v>
      </c>
      <c r="D197" s="41">
        <f>IFERROR((C197-B197)/B197,100%)</f>
        <v>0.55813387345330023</v>
      </c>
      <c r="E197" s="40">
        <v>19581339.84</v>
      </c>
      <c r="F197" s="40">
        <v>31925282.549999997</v>
      </c>
      <c r="G197" s="39">
        <f t="shared" ref="G197:G260" si="52">IFERROR((F197-E197)/E197,100%)</f>
        <v>0.63039316057342876</v>
      </c>
      <c r="H197" s="150">
        <f t="shared" ref="H197:H260" si="53">C197/$C$3</f>
        <v>1.9505499749932563E-2</v>
      </c>
      <c r="I197" s="150">
        <f>B197/$B$3</f>
        <v>8.2733476582677774E-3</v>
      </c>
      <c r="J197" s="204">
        <v>750.00000000000011</v>
      </c>
      <c r="K197" s="36">
        <v>450.00000000000006</v>
      </c>
      <c r="L197" s="36">
        <v>480</v>
      </c>
      <c r="M197" s="36">
        <v>1680.0000000000002</v>
      </c>
      <c r="N197" s="36">
        <f t="shared" ref="N197:N260" si="54">$N$3*H197</f>
        <v>741.20899049743741</v>
      </c>
      <c r="O197" s="36">
        <f t="shared" ref="O197:O260" si="55">$O$3*H197</f>
        <v>479.83529384834105</v>
      </c>
      <c r="P197" s="36">
        <f t="shared" ref="P197:P260" si="56">$P$3*H197</f>
        <v>526.64849324817919</v>
      </c>
      <c r="Q197" s="148">
        <f t="shared" ref="Q197:Q260" si="57">SUM(N197:P197)</f>
        <v>1747.6927775939578</v>
      </c>
      <c r="R197" s="41"/>
      <c r="S197" s="42">
        <f>SUM(S192:S196)</f>
        <v>108.6575</v>
      </c>
      <c r="T197" s="42">
        <f>SUM(T192:T196)</f>
        <v>708.74</v>
      </c>
      <c r="U197" s="42">
        <f>SUM(U192:U196)</f>
        <v>547.99749999999995</v>
      </c>
      <c r="V197" s="147">
        <f>SUM(V192:V196)</f>
        <v>1365.3949999999998</v>
      </c>
      <c r="W197" s="146">
        <f t="shared" ref="W197:W260" si="58">IFERROR((Q197-V197)/V197,100%)</f>
        <v>0.27999060901347822</v>
      </c>
    </row>
    <row r="198" spans="1:23" ht="15" customHeight="1" x14ac:dyDescent="0.3">
      <c r="A198" s="72" t="s">
        <v>141</v>
      </c>
      <c r="B198" s="157">
        <v>74.069850000000002</v>
      </c>
      <c r="C198" s="5">
        <v>229.2843</v>
      </c>
      <c r="D198" s="50">
        <f>IFERROR((C198-B198)/B198,100%)</f>
        <v>2.0955145717184522</v>
      </c>
      <c r="E198" s="49">
        <v>2621400</v>
      </c>
      <c r="F198" s="49">
        <v>10943938.950000001</v>
      </c>
      <c r="G198" s="48">
        <f t="shared" si="52"/>
        <v>3.1748451018539714</v>
      </c>
      <c r="H198" s="207">
        <f t="shared" si="53"/>
        <v>6.2852777524952724E-3</v>
      </c>
      <c r="I198" s="206">
        <f>B198/$B$3</f>
        <v>1.341901329883508E-3</v>
      </c>
      <c r="J198" s="205">
        <v>144</v>
      </c>
      <c r="K198" s="205">
        <v>86.4</v>
      </c>
      <c r="L198" s="205">
        <v>92.16</v>
      </c>
      <c r="M198" s="154">
        <v>322.56</v>
      </c>
      <c r="N198" s="45">
        <f t="shared" si="54"/>
        <v>238.84055459482036</v>
      </c>
      <c r="O198" s="45">
        <f t="shared" si="55"/>
        <v>154.6178327113837</v>
      </c>
      <c r="P198" s="45">
        <f t="shared" si="56"/>
        <v>169.70249931737234</v>
      </c>
      <c r="Q198" s="45">
        <f t="shared" si="57"/>
        <v>563.1608866235764</v>
      </c>
      <c r="R198" s="153">
        <f t="shared" ref="R198:R203" si="59">Q198/M198-1</f>
        <v>0.74591048680424232</v>
      </c>
      <c r="S198">
        <v>24.158750000000001</v>
      </c>
      <c r="T198">
        <v>85.1</v>
      </c>
      <c r="U198">
        <v>73.122500000000002</v>
      </c>
      <c r="V198">
        <f>SUM(S198:U198)</f>
        <v>182.38124999999999</v>
      </c>
      <c r="W198" s="152">
        <f t="shared" si="58"/>
        <v>2.087822276816155</v>
      </c>
    </row>
    <row r="199" spans="1:23" ht="15" customHeight="1" x14ac:dyDescent="0.3">
      <c r="A199" s="70" t="s">
        <v>140</v>
      </c>
      <c r="B199" s="157">
        <v>346.43840999999998</v>
      </c>
      <c r="C199" s="5">
        <v>127.67212500000001</v>
      </c>
      <c r="D199" s="50">
        <f>IFERROR((C199-B199)/B199,100%)</f>
        <v>-0.63147237340109019</v>
      </c>
      <c r="E199" s="49">
        <v>8586543.5999999996</v>
      </c>
      <c r="F199" s="49">
        <v>6187988.1000000006</v>
      </c>
      <c r="G199" s="48">
        <f t="shared" si="52"/>
        <v>-0.27933888322654055</v>
      </c>
      <c r="H199" s="207">
        <f t="shared" si="53"/>
        <v>3.499824309280206E-3</v>
      </c>
      <c r="I199" s="206">
        <f>B199/$B$3</f>
        <v>6.2763211090845735E-3</v>
      </c>
      <c r="J199" s="205">
        <v>108</v>
      </c>
      <c r="K199" s="205">
        <v>64.8</v>
      </c>
      <c r="L199" s="205">
        <v>69.12</v>
      </c>
      <c r="M199" s="154">
        <v>241.92000000000002</v>
      </c>
      <c r="N199" s="45">
        <f t="shared" si="54"/>
        <v>132.99332375264783</v>
      </c>
      <c r="O199" s="45">
        <f t="shared" si="55"/>
        <v>86.095678008293063</v>
      </c>
      <c r="P199" s="45">
        <f t="shared" si="56"/>
        <v>94.495256350565555</v>
      </c>
      <c r="Q199" s="45">
        <f t="shared" si="57"/>
        <v>313.58425811150647</v>
      </c>
      <c r="R199" s="153">
        <f t="shared" si="59"/>
        <v>0.29623122565933557</v>
      </c>
      <c r="S199">
        <v>97.262500000000003</v>
      </c>
      <c r="T199">
        <v>121.29</v>
      </c>
      <c r="U199">
        <v>72.702500000000001</v>
      </c>
      <c r="V199">
        <f>SUM(S199:U199)</f>
        <v>291.255</v>
      </c>
      <c r="W199" s="152">
        <f t="shared" si="58"/>
        <v>7.6665664491618948E-2</v>
      </c>
    </row>
    <row r="200" spans="1:23" ht="15" customHeight="1" x14ac:dyDescent="0.3">
      <c r="A200" s="173" t="s">
        <v>139</v>
      </c>
      <c r="B200" s="157">
        <v>0</v>
      </c>
      <c r="C200" s="5">
        <v>89.14500000000001</v>
      </c>
      <c r="D200" s="50">
        <f>IFERROR((C200-B200)/B200,100%)</f>
        <v>1</v>
      </c>
      <c r="E200" s="49">
        <v>0</v>
      </c>
      <c r="F200" s="49">
        <v>8457942.1500000004</v>
      </c>
      <c r="G200" s="48">
        <f t="shared" si="52"/>
        <v>1</v>
      </c>
      <c r="H200" s="207">
        <f t="shared" si="53"/>
        <v>2.443695818885947E-3</v>
      </c>
      <c r="I200" s="206">
        <f>B200/$B$3</f>
        <v>0</v>
      </c>
      <c r="J200" s="205">
        <v>36</v>
      </c>
      <c r="K200" s="205">
        <v>21.6</v>
      </c>
      <c r="L200" s="205">
        <v>23.04</v>
      </c>
      <c r="M200" s="154">
        <v>80.64</v>
      </c>
      <c r="N200" s="45">
        <f t="shared" si="54"/>
        <v>92.860441117665985</v>
      </c>
      <c r="O200" s="45">
        <f t="shared" si="55"/>
        <v>60.114917144594294</v>
      </c>
      <c r="P200" s="45">
        <f t="shared" si="56"/>
        <v>65.979787109920565</v>
      </c>
      <c r="Q200" s="45">
        <f t="shared" si="57"/>
        <v>218.95514537218082</v>
      </c>
      <c r="R200" s="153">
        <f t="shared" si="59"/>
        <v>1.7152175765399407</v>
      </c>
      <c r="W200" s="152">
        <f t="shared" si="58"/>
        <v>1</v>
      </c>
    </row>
    <row r="201" spans="1:23" ht="15" customHeight="1" x14ac:dyDescent="0.3">
      <c r="A201" s="71" t="s">
        <v>138</v>
      </c>
      <c r="B201" s="157">
        <v>99.189389999999989</v>
      </c>
      <c r="C201" s="5">
        <v>76.644225000000006</v>
      </c>
      <c r="D201" s="50">
        <f>IFERROR((C201-B201)/B201,100%)</f>
        <v>-0.22729411885686548</v>
      </c>
      <c r="E201" s="49">
        <v>3650416.8000000003</v>
      </c>
      <c r="F201" s="49">
        <v>3645495</v>
      </c>
      <c r="G201" s="48">
        <f t="shared" si="52"/>
        <v>-1.3482843931685497E-3</v>
      </c>
      <c r="H201" s="207">
        <f t="shared" si="53"/>
        <v>2.1010171313506506E-3</v>
      </c>
      <c r="I201" s="206">
        <f>B201/$B$3</f>
        <v>1.7969845267856478E-3</v>
      </c>
      <c r="J201" s="205">
        <v>36</v>
      </c>
      <c r="K201" s="205">
        <v>21.6</v>
      </c>
      <c r="L201" s="205">
        <v>23.04</v>
      </c>
      <c r="M201" s="154">
        <v>80.64</v>
      </c>
      <c r="N201" s="45">
        <f t="shared" si="54"/>
        <v>79.838650991324727</v>
      </c>
      <c r="O201" s="45">
        <f t="shared" si="55"/>
        <v>51.685021431226005</v>
      </c>
      <c r="P201" s="45">
        <f t="shared" si="56"/>
        <v>56.727462546467564</v>
      </c>
      <c r="Q201" s="45">
        <f t="shared" si="57"/>
        <v>188.2511349690183</v>
      </c>
      <c r="R201" s="153">
        <f t="shared" si="59"/>
        <v>1.3344634792785008</v>
      </c>
      <c r="S201">
        <v>24.170500000000001</v>
      </c>
      <c r="T201">
        <v>97.28</v>
      </c>
      <c r="U201">
        <v>24.155000000000001</v>
      </c>
      <c r="V201">
        <f>SUM(S201:U201)</f>
        <v>145.60550000000001</v>
      </c>
      <c r="W201" s="152">
        <f t="shared" si="58"/>
        <v>0.29288478092529668</v>
      </c>
    </row>
    <row r="202" spans="1:23" ht="15" customHeight="1" x14ac:dyDescent="0.3">
      <c r="A202" s="71" t="s">
        <v>137</v>
      </c>
      <c r="B202" s="157">
        <v>957.83660999999995</v>
      </c>
      <c r="C202" s="5">
        <v>165.19518750000003</v>
      </c>
      <c r="D202" s="50">
        <f>IFERROR((C202-B202)/B202,100%)</f>
        <v>-0.82753301995838302</v>
      </c>
      <c r="E202" s="49">
        <v>38252109.359999999</v>
      </c>
      <c r="F202" s="49">
        <v>0</v>
      </c>
      <c r="G202" s="48">
        <f t="shared" si="52"/>
        <v>-1</v>
      </c>
      <c r="H202" s="207">
        <f t="shared" si="53"/>
        <v>4.5284288405836566E-3</v>
      </c>
      <c r="I202" s="206">
        <f>B202/$B$3</f>
        <v>1.7352839526070474E-2</v>
      </c>
      <c r="J202" s="205">
        <v>335.99999999999994</v>
      </c>
      <c r="K202" s="205">
        <v>201.6</v>
      </c>
      <c r="L202" s="205">
        <v>215.04</v>
      </c>
      <c r="M202" s="154">
        <v>752.63999999999987</v>
      </c>
      <c r="N202" s="45">
        <f t="shared" si="54"/>
        <v>172.08029594217896</v>
      </c>
      <c r="O202" s="45">
        <f t="shared" si="55"/>
        <v>111.39934947835795</v>
      </c>
      <c r="P202" s="45">
        <f t="shared" si="56"/>
        <v>122.26757869575873</v>
      </c>
      <c r="Q202" s="45">
        <f t="shared" si="57"/>
        <v>405.74722411629568</v>
      </c>
      <c r="R202" s="153">
        <f t="shared" si="59"/>
        <v>-0.46090132850194543</v>
      </c>
      <c r="S202">
        <v>449.0145</v>
      </c>
      <c r="T202">
        <v>116.6</v>
      </c>
      <c r="U202">
        <v>154.66249999999999</v>
      </c>
      <c r="V202">
        <f>SUM(S202:U202)</f>
        <v>720.27700000000004</v>
      </c>
      <c r="W202" s="152">
        <f t="shared" si="58"/>
        <v>-0.43667891086860239</v>
      </c>
    </row>
    <row r="203" spans="1:23" ht="15" customHeight="1" x14ac:dyDescent="0.3">
      <c r="A203" s="70" t="s">
        <v>136</v>
      </c>
      <c r="B203" s="157">
        <v>173.97349499999999</v>
      </c>
      <c r="C203" s="5">
        <v>152.31562500000001</v>
      </c>
      <c r="D203" s="50">
        <f>IFERROR((C203-B203)/B203,100%)</f>
        <v>-0.12448948042344023</v>
      </c>
      <c r="E203" s="49">
        <v>4896000</v>
      </c>
      <c r="F203" s="49">
        <v>6982178.3850000007</v>
      </c>
      <c r="G203" s="48">
        <f t="shared" si="52"/>
        <v>0.42609852634803935</v>
      </c>
      <c r="H203" s="207">
        <f t="shared" si="53"/>
        <v>4.1753666045599843E-3</v>
      </c>
      <c r="I203" s="206">
        <f>B203/$B$3</f>
        <v>3.1518258009835555E-3</v>
      </c>
      <c r="J203" s="205">
        <v>108</v>
      </c>
      <c r="K203" s="205">
        <v>64.8</v>
      </c>
      <c r="L203" s="205">
        <v>69.12</v>
      </c>
      <c r="M203" s="154">
        <v>241.92000000000002</v>
      </c>
      <c r="N203" s="45">
        <f t="shared" si="54"/>
        <v>158.66393097327941</v>
      </c>
      <c r="O203" s="45">
        <f t="shared" si="55"/>
        <v>102.71401847217561</v>
      </c>
      <c r="P203" s="45">
        <f t="shared" si="56"/>
        <v>112.73489832311958</v>
      </c>
      <c r="Q203" s="45">
        <f t="shared" si="57"/>
        <v>374.11284776857457</v>
      </c>
      <c r="R203" s="153">
        <f t="shared" si="59"/>
        <v>0.54643207576295705</v>
      </c>
      <c r="S203">
        <v>85.432500000000005</v>
      </c>
      <c r="T203">
        <v>133.63999999999999</v>
      </c>
      <c r="U203">
        <v>60.852499999999999</v>
      </c>
      <c r="V203">
        <f>SUM(S203:U203)</f>
        <v>279.92500000000001</v>
      </c>
      <c r="W203" s="152">
        <f t="shared" si="58"/>
        <v>0.33647529791399322</v>
      </c>
    </row>
    <row r="204" spans="1:23" ht="15" customHeight="1" x14ac:dyDescent="0.3">
      <c r="A204" s="70" t="s">
        <v>135</v>
      </c>
      <c r="B204" s="157">
        <v>407.246985</v>
      </c>
      <c r="C204" s="5">
        <v>89.362350000000006</v>
      </c>
      <c r="D204" s="50">
        <f>IFERROR((C204-B204)/B204,100%)</f>
        <v>-0.7805696462062206</v>
      </c>
      <c r="E204" s="49">
        <v>12971544</v>
      </c>
      <c r="F204" s="49">
        <v>4266560.55</v>
      </c>
      <c r="G204" s="48">
        <f t="shared" si="52"/>
        <v>-0.67108306073664004</v>
      </c>
      <c r="H204" s="207">
        <f t="shared" si="53"/>
        <v>2.4496539465008985E-3</v>
      </c>
      <c r="I204" s="206">
        <f>B204/$B$3</f>
        <v>7.3779718841411055E-3</v>
      </c>
      <c r="J204" s="205">
        <v>83.999999999999986</v>
      </c>
      <c r="K204" s="205">
        <v>50.4</v>
      </c>
      <c r="L204" s="205">
        <v>53.76</v>
      </c>
      <c r="M204" s="154">
        <v>188.15999999999997</v>
      </c>
      <c r="N204" s="45">
        <f t="shared" si="54"/>
        <v>93.086849967034141</v>
      </c>
      <c r="O204" s="45">
        <f t="shared" si="55"/>
        <v>60.261487083922106</v>
      </c>
      <c r="P204" s="45">
        <f t="shared" si="56"/>
        <v>66.140656555524259</v>
      </c>
      <c r="Q204" s="45">
        <f t="shared" si="57"/>
        <v>219.48899360648051</v>
      </c>
      <c r="R204" s="153">
        <f>M204/Q204-1</f>
        <v>-0.14273605747470852</v>
      </c>
      <c r="S204">
        <v>60.579499999999996</v>
      </c>
      <c r="T204">
        <v>91.15</v>
      </c>
      <c r="U204">
        <v>78.922499999999999</v>
      </c>
      <c r="V204">
        <f>SUM(S204:U204)</f>
        <v>230.65199999999999</v>
      </c>
      <c r="W204" s="152">
        <f t="shared" si="58"/>
        <v>-4.8397613693007137E-2</v>
      </c>
    </row>
    <row r="205" spans="1:23" ht="15" customHeight="1" thickBot="1" x14ac:dyDescent="0.35">
      <c r="A205" s="69" t="s">
        <v>134</v>
      </c>
      <c r="B205" s="157">
        <v>0</v>
      </c>
      <c r="C205" s="5">
        <v>89.362350000000006</v>
      </c>
      <c r="D205" s="50">
        <f>IFERROR((C205-B205)/B205,100%)</f>
        <v>1</v>
      </c>
      <c r="E205" s="49">
        <v>0</v>
      </c>
      <c r="F205" s="49">
        <v>4266560.55</v>
      </c>
      <c r="G205" s="48">
        <f t="shared" si="52"/>
        <v>1</v>
      </c>
      <c r="H205" s="207">
        <f t="shared" si="53"/>
        <v>2.4496539465008985E-3</v>
      </c>
      <c r="I205" s="206">
        <f>B205/$B$3</f>
        <v>0</v>
      </c>
      <c r="J205" s="205">
        <v>83.999999999999986</v>
      </c>
      <c r="K205" s="205">
        <v>50.4</v>
      </c>
      <c r="L205" s="205">
        <v>53.76</v>
      </c>
      <c r="M205" s="154">
        <v>188.15999999999997</v>
      </c>
      <c r="N205" s="45">
        <f t="shared" si="54"/>
        <v>93.086849967034141</v>
      </c>
      <c r="O205" s="45">
        <f t="shared" si="55"/>
        <v>60.261487083922106</v>
      </c>
      <c r="P205" s="45">
        <f t="shared" si="56"/>
        <v>66.140656555524259</v>
      </c>
      <c r="Q205" s="45">
        <f t="shared" si="57"/>
        <v>219.48899360648051</v>
      </c>
      <c r="R205" s="153">
        <f>Q205/M205-1</f>
        <v>0.16650187928614235</v>
      </c>
      <c r="S205">
        <v>0</v>
      </c>
      <c r="T205">
        <v>91.15</v>
      </c>
      <c r="U205">
        <v>78.922499999999999</v>
      </c>
      <c r="V205">
        <f>SUM(S205:U205)</f>
        <v>170.07249999999999</v>
      </c>
      <c r="W205" s="152">
        <f t="shared" si="58"/>
        <v>0.29056134064284656</v>
      </c>
    </row>
    <row r="206" spans="1:23" ht="15" thickBot="1" x14ac:dyDescent="0.35">
      <c r="A206" s="68" t="s">
        <v>133</v>
      </c>
      <c r="B206" s="42">
        <v>2058.7547399999999</v>
      </c>
      <c r="C206" s="40">
        <v>1018.9811625</v>
      </c>
      <c r="D206" s="41">
        <f>IFERROR((C206-B206)/B206,100%)</f>
        <v>-0.50504975522242146</v>
      </c>
      <c r="E206" s="40">
        <v>70978013.75999999</v>
      </c>
      <c r="F206" s="40">
        <v>44750663.684999995</v>
      </c>
      <c r="G206" s="39">
        <f t="shared" si="52"/>
        <v>-0.369513722427952</v>
      </c>
      <c r="H206" s="150">
        <f t="shared" si="53"/>
        <v>2.7932918350157508E-2</v>
      </c>
      <c r="I206" s="150">
        <f>B206/$B$3</f>
        <v>3.7297844176948862E-2</v>
      </c>
      <c r="J206" s="204">
        <v>936</v>
      </c>
      <c r="K206" s="36">
        <v>561.6</v>
      </c>
      <c r="L206" s="36">
        <v>599.04</v>
      </c>
      <c r="M206" s="36">
        <v>2096.64</v>
      </c>
      <c r="N206" s="36">
        <f t="shared" si="54"/>
        <v>1061.4508973059853</v>
      </c>
      <c r="O206" s="36">
        <f t="shared" si="55"/>
        <v>687.14979141387471</v>
      </c>
      <c r="P206" s="36">
        <f t="shared" si="56"/>
        <v>754.18879545425273</v>
      </c>
      <c r="Q206" s="148">
        <f t="shared" si="57"/>
        <v>2502.7894841741127</v>
      </c>
      <c r="R206" s="41"/>
      <c r="S206" s="42">
        <f>SUM(S198:S205)</f>
        <v>740.61824999999999</v>
      </c>
      <c r="T206" s="42">
        <f>SUM(T198:T205)</f>
        <v>736.20999999999992</v>
      </c>
      <c r="U206" s="42">
        <f>SUM(U198:U205)</f>
        <v>543.34</v>
      </c>
      <c r="V206" s="147">
        <f>SUM(V198:V205)</f>
        <v>2020.1682500000002</v>
      </c>
      <c r="W206" s="146">
        <f t="shared" si="58"/>
        <v>0.23890150445345948</v>
      </c>
    </row>
    <row r="207" spans="1:23" ht="15" customHeight="1" thickBot="1" x14ac:dyDescent="0.35">
      <c r="A207" s="172" t="s">
        <v>132</v>
      </c>
      <c r="B207" s="171">
        <v>5432.4667559999998</v>
      </c>
      <c r="C207" s="32">
        <v>4068.3947619000005</v>
      </c>
      <c r="D207" s="33">
        <f>IFERROR((C207-B207)/B207,100%)</f>
        <v>-0.25109624326617774</v>
      </c>
      <c r="E207" s="32">
        <v>188030128.25999999</v>
      </c>
      <c r="F207" s="32">
        <v>180787847.37941644</v>
      </c>
      <c r="G207" s="31">
        <f t="shared" si="52"/>
        <v>-3.8516598098413457E-2</v>
      </c>
      <c r="H207" s="144">
        <f t="shared" si="53"/>
        <v>0.11152525962457252</v>
      </c>
      <c r="I207" s="144">
        <f>B207/$B$3</f>
        <v>9.8418376227633067E-2</v>
      </c>
      <c r="J207" s="203">
        <v>3678</v>
      </c>
      <c r="K207" s="202">
        <v>2206.8000000000002</v>
      </c>
      <c r="L207" s="202">
        <v>2353.92</v>
      </c>
      <c r="M207" s="202">
        <v>8238.7200000000012</v>
      </c>
      <c r="N207" s="28">
        <f t="shared" si="54"/>
        <v>4237.9598657337556</v>
      </c>
      <c r="O207" s="28">
        <f t="shared" si="55"/>
        <v>2743.5213867644839</v>
      </c>
      <c r="P207" s="28">
        <f t="shared" si="56"/>
        <v>3011.182009863458</v>
      </c>
      <c r="Q207" s="143">
        <f t="shared" si="57"/>
        <v>9992.663262361697</v>
      </c>
      <c r="R207" s="142"/>
      <c r="S207" s="34">
        <f>S206+S197+S191+S184</f>
        <v>1809.52225</v>
      </c>
      <c r="T207" s="34">
        <f>T206+T197+T191+T184</f>
        <v>2617.4699999999998</v>
      </c>
      <c r="U207" s="34">
        <f>U206+U197+U191+U184</f>
        <v>2019.8525</v>
      </c>
      <c r="V207" s="141">
        <f>V206+V197+V191+V184</f>
        <v>6446.8447500000002</v>
      </c>
      <c r="W207" s="140">
        <f t="shared" si="58"/>
        <v>0.55000836065762193</v>
      </c>
    </row>
    <row r="208" spans="1:23" ht="15" customHeight="1" thickBot="1" x14ac:dyDescent="0.35">
      <c r="A208" s="170" t="s">
        <v>131</v>
      </c>
      <c r="B208" s="26">
        <v>18081.126491999999</v>
      </c>
      <c r="C208" s="24">
        <v>13596.786911400002</v>
      </c>
      <c r="D208" s="25">
        <f>IFERROR((C208-B208)/B208,100%)</f>
        <v>-0.24801217903011158</v>
      </c>
      <c r="E208" s="24">
        <v>508062092.81999999</v>
      </c>
      <c r="F208" s="24">
        <v>632795698.50932741</v>
      </c>
      <c r="G208" s="23">
        <f t="shared" si="52"/>
        <v>0.24550858537190445</v>
      </c>
      <c r="H208" s="138">
        <f t="shared" si="53"/>
        <v>0.37272321864009589</v>
      </c>
      <c r="I208" s="138">
        <f>B208/$B$3</f>
        <v>0.32757036345296675</v>
      </c>
      <c r="J208" s="201">
        <v>11995.738541618584</v>
      </c>
      <c r="K208" s="200">
        <v>7197.4431249711506</v>
      </c>
      <c r="L208" s="200">
        <v>7677.2726666358931</v>
      </c>
      <c r="M208" s="200">
        <v>26870.454333225629</v>
      </c>
      <c r="N208" s="20">
        <f t="shared" si="54"/>
        <v>14163.482308323644</v>
      </c>
      <c r="O208" s="20">
        <f t="shared" si="55"/>
        <v>9168.9911785463592</v>
      </c>
      <c r="P208" s="20">
        <f t="shared" si="56"/>
        <v>10063.526903282589</v>
      </c>
      <c r="Q208" s="137">
        <f t="shared" si="57"/>
        <v>33396.000390152592</v>
      </c>
      <c r="R208" s="136"/>
      <c r="S208" s="26">
        <f>S207+S175+S144</f>
        <v>7163.2357000000002</v>
      </c>
      <c r="T208" s="26">
        <f>T207+T175+T144</f>
        <v>8906.7800000000007</v>
      </c>
      <c r="U208" s="26">
        <f>U207+U175+U144</f>
        <v>6363.8575000000001</v>
      </c>
      <c r="V208" s="135">
        <f>V207+V175+V144</f>
        <v>22433.873199999998</v>
      </c>
      <c r="W208" s="134">
        <f t="shared" si="58"/>
        <v>0.48864175581381974</v>
      </c>
    </row>
    <row r="209" spans="1:23" ht="16.2" customHeight="1" x14ac:dyDescent="0.3">
      <c r="A209" s="53" t="s">
        <v>130</v>
      </c>
      <c r="B209" s="157">
        <v>582.73971900000004</v>
      </c>
      <c r="C209" s="5">
        <v>132.25411500000001</v>
      </c>
      <c r="D209" s="50">
        <f>IFERROR((C209-B209)/B209,100%)</f>
        <v>-0.77304770777088561</v>
      </c>
      <c r="E209" s="49">
        <v>15084780</v>
      </c>
      <c r="F209" s="49">
        <v>5941699.6016026875</v>
      </c>
      <c r="G209" s="48">
        <f t="shared" si="52"/>
        <v>-0.60611294287336714</v>
      </c>
      <c r="H209" s="207">
        <f t="shared" si="53"/>
        <v>3.625428547377432E-3</v>
      </c>
      <c r="I209" s="206">
        <f>B209/$B$3</f>
        <v>1.055732128392378E-2</v>
      </c>
      <c r="J209" s="205">
        <v>158.59756097560978</v>
      </c>
      <c r="K209" s="205">
        <v>95.15853658536588</v>
      </c>
      <c r="L209" s="205">
        <v>101.50243902439027</v>
      </c>
      <c r="M209" s="154">
        <v>355.25853658536596</v>
      </c>
      <c r="N209" s="45">
        <f t="shared" si="54"/>
        <v>137.76628480034242</v>
      </c>
      <c r="O209" s="45">
        <f t="shared" si="55"/>
        <v>89.185542265484827</v>
      </c>
      <c r="P209" s="45">
        <f t="shared" si="56"/>
        <v>97.886570779190663</v>
      </c>
      <c r="Q209" s="45">
        <f t="shared" si="57"/>
        <v>324.83839784501788</v>
      </c>
      <c r="R209" s="153">
        <f t="shared" ref="R209:R214" si="60">Q209/M209-1</f>
        <v>-8.5628171057441582E-2</v>
      </c>
      <c r="S209">
        <v>168.85299999999998</v>
      </c>
      <c r="T209">
        <v>114.01</v>
      </c>
      <c r="U209">
        <v>61.81</v>
      </c>
      <c r="V209">
        <f t="shared" ref="V209:V214" si="61">SUM(S209:U209)</f>
        <v>344.673</v>
      </c>
      <c r="W209" s="152">
        <f t="shared" si="58"/>
        <v>-5.7546144185886688E-2</v>
      </c>
    </row>
    <row r="210" spans="1:23" ht="16.2" customHeight="1" x14ac:dyDescent="0.3">
      <c r="A210" s="52" t="s">
        <v>129</v>
      </c>
      <c r="B210" s="157">
        <v>0</v>
      </c>
      <c r="C210" s="5">
        <v>151.97803635</v>
      </c>
      <c r="D210" s="50">
        <f>IFERROR((C210-B210)/B210,100%)</f>
        <v>1</v>
      </c>
      <c r="E210" s="49">
        <v>0</v>
      </c>
      <c r="F210" s="49">
        <v>5739621.501011516</v>
      </c>
      <c r="G210" s="48">
        <f t="shared" si="52"/>
        <v>1</v>
      </c>
      <c r="H210" s="207">
        <f t="shared" si="53"/>
        <v>4.1661124234785053E-3</v>
      </c>
      <c r="I210" s="206">
        <f>B210/$B$3</f>
        <v>0</v>
      </c>
      <c r="J210" s="205">
        <v>150.66768292682926</v>
      </c>
      <c r="K210" s="205">
        <v>90.400609756097552</v>
      </c>
      <c r="L210" s="205">
        <v>96.427317073170727</v>
      </c>
      <c r="M210" s="154">
        <v>337.49560975609756</v>
      </c>
      <c r="N210" s="45">
        <f t="shared" si="54"/>
        <v>158.31227209218321</v>
      </c>
      <c r="O210" s="45">
        <f t="shared" si="55"/>
        <v>102.48636561757124</v>
      </c>
      <c r="P210" s="45">
        <f t="shared" si="56"/>
        <v>112.48503543391965</v>
      </c>
      <c r="Q210" s="45">
        <f t="shared" si="57"/>
        <v>373.28367314367404</v>
      </c>
      <c r="R210" s="153">
        <f t="shared" si="60"/>
        <v>0.10604008571678869</v>
      </c>
      <c r="S210">
        <v>0</v>
      </c>
      <c r="T210">
        <v>61.08</v>
      </c>
      <c r="U210">
        <v>33.112499999999997</v>
      </c>
      <c r="V210">
        <f t="shared" si="61"/>
        <v>94.192499999999995</v>
      </c>
      <c r="W210" s="152">
        <f t="shared" si="58"/>
        <v>2.9629872138829954</v>
      </c>
    </row>
    <row r="211" spans="1:23" ht="16.2" customHeight="1" x14ac:dyDescent="0.3">
      <c r="A211" s="52" t="s">
        <v>128</v>
      </c>
      <c r="B211" s="157">
        <v>997.90685100000007</v>
      </c>
      <c r="C211" s="5">
        <v>133.46357850000001</v>
      </c>
      <c r="D211" s="50">
        <f>IFERROR((C211-B211)/B211,100%)</f>
        <v>-0.86625647637727254</v>
      </c>
      <c r="E211" s="49">
        <v>35416429.799999997</v>
      </c>
      <c r="F211" s="49">
        <v>6856727.0849388437</v>
      </c>
      <c r="G211" s="48">
        <f t="shared" si="52"/>
        <v>-0.80639699925544606</v>
      </c>
      <c r="H211" s="207">
        <f t="shared" si="53"/>
        <v>3.6585830809804962E-3</v>
      </c>
      <c r="I211" s="206">
        <f>B211/$B$3</f>
        <v>1.807878010360172E-2</v>
      </c>
      <c r="J211" s="205">
        <v>142.73780487804876</v>
      </c>
      <c r="K211" s="205">
        <v>85.642682926829252</v>
      </c>
      <c r="L211" s="205">
        <v>91.352195121951198</v>
      </c>
      <c r="M211" s="154">
        <v>319.73268292682923</v>
      </c>
      <c r="N211" s="45">
        <f t="shared" si="54"/>
        <v>139.02615707725886</v>
      </c>
      <c r="O211" s="45">
        <f t="shared" si="55"/>
        <v>90.001143792120203</v>
      </c>
      <c r="P211" s="45">
        <f t="shared" si="56"/>
        <v>98.781743186473392</v>
      </c>
      <c r="Q211" s="45">
        <f t="shared" si="57"/>
        <v>327.8090440558525</v>
      </c>
      <c r="R211" s="153">
        <f t="shared" si="60"/>
        <v>2.5259729643814843E-2</v>
      </c>
      <c r="S211">
        <v>420.76425</v>
      </c>
      <c r="T211">
        <v>52.93</v>
      </c>
      <c r="U211">
        <v>28.697500000000002</v>
      </c>
      <c r="V211">
        <f t="shared" si="61"/>
        <v>502.39175</v>
      </c>
      <c r="W211" s="152">
        <f t="shared" si="58"/>
        <v>-0.34750313066276967</v>
      </c>
    </row>
    <row r="212" spans="1:23" ht="16.2" customHeight="1" x14ac:dyDescent="0.3">
      <c r="A212" s="52" t="s">
        <v>127</v>
      </c>
      <c r="B212" s="157">
        <v>0</v>
      </c>
      <c r="C212" s="5">
        <v>139.54045350000001</v>
      </c>
      <c r="D212" s="50">
        <f>IFERROR((C212-B212)/B212,100%)</f>
        <v>1</v>
      </c>
      <c r="E212" s="49">
        <v>0</v>
      </c>
      <c r="F212" s="49">
        <v>5315967.2524052542</v>
      </c>
      <c r="G212" s="48">
        <f t="shared" si="52"/>
        <v>1</v>
      </c>
      <c r="H212" s="207">
        <f t="shared" si="53"/>
        <v>3.8251659967850006E-3</v>
      </c>
      <c r="I212" s="206">
        <f>B212/$B$3</f>
        <v>0</v>
      </c>
      <c r="J212" s="205">
        <v>142.73780487804876</v>
      </c>
      <c r="K212" s="205">
        <v>85.642682926829252</v>
      </c>
      <c r="L212" s="205">
        <v>91.352195121951198</v>
      </c>
      <c r="M212" s="154">
        <v>319.73268292682923</v>
      </c>
      <c r="N212" s="45">
        <f t="shared" si="54"/>
        <v>145.35630787783003</v>
      </c>
      <c r="O212" s="45">
        <f t="shared" si="55"/>
        <v>94.099083520911009</v>
      </c>
      <c r="P212" s="45">
        <f t="shared" si="56"/>
        <v>103.27948191319501</v>
      </c>
      <c r="Q212" s="45">
        <f t="shared" si="57"/>
        <v>342.73487331193604</v>
      </c>
      <c r="R212" s="153">
        <f t="shared" si="60"/>
        <v>7.1941942795916258E-2</v>
      </c>
      <c r="S212">
        <v>0</v>
      </c>
      <c r="T212">
        <v>81.44</v>
      </c>
      <c r="U212">
        <v>44.15</v>
      </c>
      <c r="V212">
        <f t="shared" si="61"/>
        <v>125.59</v>
      </c>
      <c r="W212" s="152">
        <f t="shared" si="58"/>
        <v>1.7289981153908436</v>
      </c>
    </row>
    <row r="213" spans="1:23" ht="16.2" customHeight="1" x14ac:dyDescent="0.3">
      <c r="A213" s="52" t="s">
        <v>126</v>
      </c>
      <c r="B213" s="157">
        <v>0</v>
      </c>
      <c r="C213" s="5">
        <v>172.47864585000002</v>
      </c>
      <c r="D213" s="50">
        <f>IFERROR((C213-B213)/B213,100%)</f>
        <v>1</v>
      </c>
      <c r="E213" s="49">
        <v>0</v>
      </c>
      <c r="F213" s="49">
        <v>9514834.7495551743</v>
      </c>
      <c r="G213" s="48">
        <f t="shared" si="52"/>
        <v>1</v>
      </c>
      <c r="H213" s="207">
        <f t="shared" si="53"/>
        <v>4.7280873376045205E-3</v>
      </c>
      <c r="I213" s="206">
        <f>B213/$B$3</f>
        <v>0</v>
      </c>
      <c r="J213" s="205">
        <v>198.24695121951214</v>
      </c>
      <c r="K213" s="205">
        <v>118.94817073170729</v>
      </c>
      <c r="L213" s="205">
        <v>126.87804878048777</v>
      </c>
      <c r="M213" s="154">
        <v>444.07317073170725</v>
      </c>
      <c r="N213" s="45">
        <f t="shared" si="54"/>
        <v>179.66731882897179</v>
      </c>
      <c r="O213" s="45">
        <f t="shared" si="55"/>
        <v>116.31094850507121</v>
      </c>
      <c r="P213" s="45">
        <f t="shared" si="56"/>
        <v>127.65835811532206</v>
      </c>
      <c r="Q213" s="45">
        <f t="shared" si="57"/>
        <v>423.63662544936506</v>
      </c>
      <c r="R213" s="153">
        <f t="shared" si="60"/>
        <v>-4.6020670982371059E-2</v>
      </c>
      <c r="S213">
        <v>0</v>
      </c>
      <c r="T213">
        <v>97.72</v>
      </c>
      <c r="U213">
        <v>52.98</v>
      </c>
      <c r="V213">
        <f t="shared" si="61"/>
        <v>150.69999999999999</v>
      </c>
      <c r="W213" s="152">
        <f t="shared" si="58"/>
        <v>1.8111255836056077</v>
      </c>
    </row>
    <row r="214" spans="1:23" ht="16.2" customHeight="1" thickBot="1" x14ac:dyDescent="0.35">
      <c r="A214" s="51" t="s">
        <v>125</v>
      </c>
      <c r="B214" s="157">
        <v>134.62383299999999</v>
      </c>
      <c r="C214" s="5">
        <v>136.62311250000002</v>
      </c>
      <c r="D214" s="50">
        <f>IFERROR((C214-B214)/B214,100%)</f>
        <v>1.4850858540033016E-2</v>
      </c>
      <c r="E214" s="49">
        <v>4743000</v>
      </c>
      <c r="F214" s="49">
        <v>5937583.0499999998</v>
      </c>
      <c r="G214" s="48">
        <f t="shared" si="52"/>
        <v>0.25186233396584434</v>
      </c>
      <c r="H214" s="207">
        <f t="shared" si="53"/>
        <v>3.7451941082442576E-3</v>
      </c>
      <c r="I214" s="206">
        <f>B214/$B$3</f>
        <v>2.4389397377842033E-3</v>
      </c>
      <c r="J214" s="205">
        <v>107.01219512195122</v>
      </c>
      <c r="K214" s="205">
        <v>64.207317073170728</v>
      </c>
      <c r="L214" s="205">
        <v>68.487804878048777</v>
      </c>
      <c r="M214" s="154">
        <v>239.70731707317071</v>
      </c>
      <c r="N214" s="45">
        <f t="shared" si="54"/>
        <v>142.3173761132818</v>
      </c>
      <c r="O214" s="45">
        <f t="shared" si="55"/>
        <v>92.131775062808742</v>
      </c>
      <c r="P214" s="45">
        <f t="shared" si="56"/>
        <v>101.12024092259496</v>
      </c>
      <c r="Q214" s="45">
        <f t="shared" si="57"/>
        <v>335.56939209868551</v>
      </c>
      <c r="R214" s="153">
        <f t="shared" si="60"/>
        <v>0.39991301140070279</v>
      </c>
      <c r="S214">
        <v>70.283500000000004</v>
      </c>
      <c r="T214">
        <v>54.96</v>
      </c>
      <c r="U214">
        <v>25.512499999999999</v>
      </c>
      <c r="V214">
        <f t="shared" si="61"/>
        <v>150.756</v>
      </c>
      <c r="W214" s="152">
        <f t="shared" si="58"/>
        <v>1.2259106907763904</v>
      </c>
    </row>
    <row r="215" spans="1:23" ht="16.2" thickBot="1" x14ac:dyDescent="0.35">
      <c r="A215" s="56" t="s">
        <v>124</v>
      </c>
      <c r="B215" s="42">
        <v>1715.270403</v>
      </c>
      <c r="C215" s="40">
        <v>866.3379417000001</v>
      </c>
      <c r="D215" s="41">
        <f>IFERROR((C215-B215)/B215,100%)</f>
        <v>-0.49492631588303565</v>
      </c>
      <c r="E215" s="40">
        <v>55244209.799999997</v>
      </c>
      <c r="F215" s="40">
        <v>39306433.239513479</v>
      </c>
      <c r="G215" s="39">
        <f t="shared" si="52"/>
        <v>-0.28849677854359534</v>
      </c>
      <c r="H215" s="150">
        <f t="shared" si="53"/>
        <v>2.3748571494470214E-2</v>
      </c>
      <c r="I215" s="150">
        <f>B215/$B$3</f>
        <v>3.1075041125309701E-2</v>
      </c>
      <c r="J215" s="204">
        <v>900</v>
      </c>
      <c r="K215" s="36">
        <v>540</v>
      </c>
      <c r="L215" s="36">
        <v>575.99999999999989</v>
      </c>
      <c r="M215" s="36">
        <v>2016</v>
      </c>
      <c r="N215" s="36">
        <f t="shared" si="54"/>
        <v>902.44571678986813</v>
      </c>
      <c r="O215" s="36">
        <f t="shared" si="55"/>
        <v>584.2148587639673</v>
      </c>
      <c r="P215" s="36">
        <f t="shared" si="56"/>
        <v>641.21143035069576</v>
      </c>
      <c r="Q215" s="148">
        <f t="shared" si="57"/>
        <v>2127.8720059045309</v>
      </c>
      <c r="R215" s="41"/>
      <c r="S215" s="42">
        <f>SUM(S209:S214)</f>
        <v>659.90075000000002</v>
      </c>
      <c r="T215" s="42">
        <f>SUM(T209:T214)</f>
        <v>462.14000000000004</v>
      </c>
      <c r="U215" s="42">
        <f>SUM(U209:U214)</f>
        <v>246.26249999999999</v>
      </c>
      <c r="V215" s="147">
        <f>SUM(V209:V214)</f>
        <v>1368.3032500000002</v>
      </c>
      <c r="W215" s="146">
        <f t="shared" si="58"/>
        <v>0.55511726359235836</v>
      </c>
    </row>
    <row r="216" spans="1:23" ht="16.2" customHeight="1" x14ac:dyDescent="0.3">
      <c r="A216" s="58" t="s">
        <v>123</v>
      </c>
      <c r="B216" s="157">
        <v>0</v>
      </c>
      <c r="C216" s="5">
        <v>304.2865875</v>
      </c>
      <c r="D216" s="50">
        <f>IFERROR((C216-B216)/B216,100%)</f>
        <v>1</v>
      </c>
      <c r="E216" s="49">
        <v>0</v>
      </c>
      <c r="F216" s="49">
        <v>8129599.8000000007</v>
      </c>
      <c r="G216" s="48">
        <f t="shared" si="52"/>
        <v>1</v>
      </c>
      <c r="H216" s="207">
        <f t="shared" si="53"/>
        <v>8.3412851154503632E-3</v>
      </c>
      <c r="I216" s="206">
        <f>B216/$B$3</f>
        <v>0</v>
      </c>
      <c r="J216" s="205">
        <v>99</v>
      </c>
      <c r="K216" s="205">
        <v>59.4</v>
      </c>
      <c r="L216" s="205">
        <v>63.36</v>
      </c>
      <c r="M216" s="154">
        <v>221.76</v>
      </c>
      <c r="N216" s="45">
        <f t="shared" si="54"/>
        <v>316.96883438711382</v>
      </c>
      <c r="O216" s="45">
        <f t="shared" si="55"/>
        <v>205.19561384007892</v>
      </c>
      <c r="P216" s="45">
        <f t="shared" si="56"/>
        <v>225.2146981171598</v>
      </c>
      <c r="Q216" s="45">
        <f t="shared" si="57"/>
        <v>747.37914634435242</v>
      </c>
      <c r="R216" s="153">
        <f t="shared" ref="R216:R223" si="62">Q216/M216-1</f>
        <v>2.3702162082627725</v>
      </c>
      <c r="S216">
        <v>0</v>
      </c>
      <c r="T216">
        <v>55.86</v>
      </c>
      <c r="U216">
        <v>47.29</v>
      </c>
      <c r="V216">
        <f t="shared" ref="V216:V222" si="63">SUM(S216:U216)</f>
        <v>103.15</v>
      </c>
      <c r="W216" s="152">
        <f t="shared" si="58"/>
        <v>6.2455564357183944</v>
      </c>
    </row>
    <row r="217" spans="1:23" ht="16.2" customHeight="1" x14ac:dyDescent="0.3">
      <c r="A217" s="57" t="s">
        <v>122</v>
      </c>
      <c r="B217" s="157">
        <v>1115.1684480000001</v>
      </c>
      <c r="C217" s="5">
        <v>78.688050000000004</v>
      </c>
      <c r="D217" s="50">
        <f>IFERROR((C217-B217)/B217,100%)</f>
        <v>-0.92943841789899706</v>
      </c>
      <c r="E217" s="49">
        <v>32412132</v>
      </c>
      <c r="F217" s="49">
        <v>5321910.3</v>
      </c>
      <c r="G217" s="48">
        <f t="shared" si="52"/>
        <v>-0.83580499116812179</v>
      </c>
      <c r="H217" s="207">
        <f t="shared" si="53"/>
        <v>2.1570436791888306E-3</v>
      </c>
      <c r="I217" s="206">
        <f>B217/$B$3</f>
        <v>2.0203173402070181E-2</v>
      </c>
      <c r="J217" s="205">
        <v>143.95161290322582</v>
      </c>
      <c r="K217" s="205">
        <v>86.370967741935488</v>
      </c>
      <c r="L217" s="205">
        <v>92.129032258064527</v>
      </c>
      <c r="M217" s="154">
        <v>322.45161290322585</v>
      </c>
      <c r="N217" s="45">
        <f t="shared" si="54"/>
        <v>81.967659809175558</v>
      </c>
      <c r="O217" s="45">
        <f t="shared" si="55"/>
        <v>53.063274508045232</v>
      </c>
      <c r="P217" s="45">
        <f t="shared" si="56"/>
        <v>58.240179338098429</v>
      </c>
      <c r="Q217" s="45">
        <f t="shared" si="57"/>
        <v>193.2711136553192</v>
      </c>
      <c r="R217" s="153">
        <f t="shared" si="62"/>
        <v>-0.40061979558674532</v>
      </c>
      <c r="S217">
        <v>318.66360000000003</v>
      </c>
      <c r="T217">
        <v>109.28</v>
      </c>
      <c r="U217">
        <v>92.525000000000006</v>
      </c>
      <c r="V217">
        <f t="shared" si="63"/>
        <v>520.46860000000004</v>
      </c>
      <c r="W217" s="152">
        <f t="shared" si="58"/>
        <v>-0.62865941642719814</v>
      </c>
    </row>
    <row r="218" spans="1:23" ht="16.2" customHeight="1" x14ac:dyDescent="0.3">
      <c r="A218" s="57" t="s">
        <v>121</v>
      </c>
      <c r="B218" s="157">
        <v>0</v>
      </c>
      <c r="C218" s="5">
        <v>283.22910000000002</v>
      </c>
      <c r="D218" s="50">
        <f>IFERROR((C218-B218)/B218,100%)</f>
        <v>1</v>
      </c>
      <c r="E218" s="49">
        <v>0</v>
      </c>
      <c r="F218" s="49">
        <v>12432569.436000001</v>
      </c>
      <c r="G218" s="48">
        <f t="shared" si="52"/>
        <v>1</v>
      </c>
      <c r="H218" s="207">
        <f t="shared" si="53"/>
        <v>7.7640447300109895E-3</v>
      </c>
      <c r="I218" s="206">
        <f>B218/$B$3</f>
        <v>0</v>
      </c>
      <c r="J218" s="205">
        <v>272.47983870967744</v>
      </c>
      <c r="K218" s="205">
        <v>163.48790322580649</v>
      </c>
      <c r="L218" s="205">
        <v>174.38709677419357</v>
      </c>
      <c r="M218" s="154">
        <v>610.35483870967744</v>
      </c>
      <c r="N218" s="45">
        <f t="shared" si="54"/>
        <v>295.0336997404176</v>
      </c>
      <c r="O218" s="45">
        <f t="shared" si="55"/>
        <v>190.99550035827033</v>
      </c>
      <c r="P218" s="45">
        <f t="shared" si="56"/>
        <v>209.62920771029673</v>
      </c>
      <c r="Q218" s="45">
        <f t="shared" si="57"/>
        <v>695.65840780898475</v>
      </c>
      <c r="R218" s="153">
        <f t="shared" si="62"/>
        <v>0.13976061741337809</v>
      </c>
      <c r="S218">
        <v>0</v>
      </c>
      <c r="T218">
        <v>77.709999999999994</v>
      </c>
      <c r="U218">
        <v>65.795000000000002</v>
      </c>
      <c r="V218">
        <f t="shared" si="63"/>
        <v>143.505</v>
      </c>
      <c r="W218" s="152">
        <f t="shared" si="58"/>
        <v>3.8476248758509097</v>
      </c>
    </row>
    <row r="219" spans="1:23" ht="16.2" customHeight="1" x14ac:dyDescent="0.3">
      <c r="A219" s="57" t="s">
        <v>120</v>
      </c>
      <c r="B219" s="157">
        <v>0</v>
      </c>
      <c r="C219" s="5">
        <v>126.44691885</v>
      </c>
      <c r="D219" s="50">
        <f>IFERROR((C219-B219)/B219,100%)</f>
        <v>1</v>
      </c>
      <c r="E219" s="49">
        <v>0</v>
      </c>
      <c r="F219" s="49">
        <v>6115312.7725726375</v>
      </c>
      <c r="G219" s="48">
        <f t="shared" si="52"/>
        <v>1</v>
      </c>
      <c r="H219" s="207">
        <f t="shared" si="53"/>
        <v>3.4662382287818224E-3</v>
      </c>
      <c r="I219" s="206">
        <f>B219/$B$3</f>
        <v>0</v>
      </c>
      <c r="J219" s="205">
        <v>95.110887096774221</v>
      </c>
      <c r="K219" s="205">
        <v>57.066532258064534</v>
      </c>
      <c r="L219" s="205">
        <v>60.870967741935502</v>
      </c>
      <c r="M219" s="154">
        <v>213.04838709677426</v>
      </c>
      <c r="N219" s="45">
        <f t="shared" si="54"/>
        <v>131.71705269370926</v>
      </c>
      <c r="O219" s="45">
        <f t="shared" si="55"/>
        <v>85.269460428032829</v>
      </c>
      <c r="P219" s="45">
        <f t="shared" si="56"/>
        <v>93.588432177109212</v>
      </c>
      <c r="Q219" s="45">
        <f t="shared" si="57"/>
        <v>310.57494529885128</v>
      </c>
      <c r="R219" s="153">
        <f t="shared" si="62"/>
        <v>0.45776717454226468</v>
      </c>
      <c r="S219">
        <v>0</v>
      </c>
      <c r="T219">
        <v>63.8</v>
      </c>
      <c r="U219">
        <v>35.4375</v>
      </c>
      <c r="V219">
        <f t="shared" si="63"/>
        <v>99.237499999999997</v>
      </c>
      <c r="W219" s="152">
        <f t="shared" si="58"/>
        <v>2.1296127502088553</v>
      </c>
    </row>
    <row r="220" spans="1:23" ht="16.2" customHeight="1" x14ac:dyDescent="0.3">
      <c r="A220" s="57" t="s">
        <v>119</v>
      </c>
      <c r="B220" s="157">
        <v>0</v>
      </c>
      <c r="C220" s="5">
        <v>158.73019574999998</v>
      </c>
      <c r="D220" s="50">
        <f>IFERROR((C220-B220)/B220,100%)</f>
        <v>1</v>
      </c>
      <c r="E220" s="49">
        <v>0</v>
      </c>
      <c r="F220" s="49">
        <v>9472094.7094720304</v>
      </c>
      <c r="G220" s="48">
        <f t="shared" si="52"/>
        <v>1</v>
      </c>
      <c r="H220" s="207">
        <f t="shared" si="53"/>
        <v>4.3512066373349347E-3</v>
      </c>
      <c r="I220" s="206">
        <f>B220/$B$3</f>
        <v>0</v>
      </c>
      <c r="J220" s="205">
        <v>142.66633064516128</v>
      </c>
      <c r="K220" s="205">
        <v>85.599798387096769</v>
      </c>
      <c r="L220" s="205">
        <v>91.306451612903231</v>
      </c>
      <c r="M220" s="154">
        <v>319.57258064516128</v>
      </c>
      <c r="N220" s="45">
        <f t="shared" si="54"/>
        <v>165.34585221872752</v>
      </c>
      <c r="O220" s="45">
        <f t="shared" si="55"/>
        <v>107.0396832784394</v>
      </c>
      <c r="P220" s="45">
        <f t="shared" si="56"/>
        <v>117.48257920804323</v>
      </c>
      <c r="Q220" s="45">
        <f t="shared" si="57"/>
        <v>389.86811470521013</v>
      </c>
      <c r="R220" s="153">
        <f t="shared" si="62"/>
        <v>0.21996735113548982</v>
      </c>
      <c r="S220">
        <v>0</v>
      </c>
      <c r="T220">
        <v>58</v>
      </c>
      <c r="U220">
        <v>32.215000000000003</v>
      </c>
      <c r="V220">
        <f t="shared" si="63"/>
        <v>90.215000000000003</v>
      </c>
      <c r="W220" s="152">
        <f t="shared" si="58"/>
        <v>3.3215442521222647</v>
      </c>
    </row>
    <row r="221" spans="1:23" ht="16.2" customHeight="1" x14ac:dyDescent="0.3">
      <c r="A221" s="57" t="s">
        <v>118</v>
      </c>
      <c r="B221" s="157">
        <v>640.42015800000013</v>
      </c>
      <c r="C221" s="5">
        <v>334.14308549999998</v>
      </c>
      <c r="D221" s="50">
        <f>IFERROR((C221-B221)/B221,100%)</f>
        <v>-0.47824396011594639</v>
      </c>
      <c r="E221" s="49">
        <v>15270782.1</v>
      </c>
      <c r="F221" s="49">
        <v>16271575.967955334</v>
      </c>
      <c r="G221" s="48">
        <f t="shared" si="52"/>
        <v>6.5536516820270424E-2</v>
      </c>
      <c r="H221" s="207">
        <f t="shared" si="53"/>
        <v>9.1597292158393552E-3</v>
      </c>
      <c r="I221" s="206">
        <f>B221/$B$3</f>
        <v>1.1602300554198591E-2</v>
      </c>
      <c r="J221" s="205">
        <v>237.77721774193549</v>
      </c>
      <c r="K221" s="205">
        <v>142.66633064516131</v>
      </c>
      <c r="L221" s="205">
        <v>152.17741935483872</v>
      </c>
      <c r="M221" s="154">
        <v>532.6209677419356</v>
      </c>
      <c r="N221" s="45">
        <f t="shared" si="54"/>
        <v>348.06971020189548</v>
      </c>
      <c r="O221" s="45">
        <f t="shared" si="55"/>
        <v>225.32933870964814</v>
      </c>
      <c r="P221" s="45">
        <f t="shared" si="56"/>
        <v>247.31268882766258</v>
      </c>
      <c r="Q221" s="45">
        <f t="shared" si="57"/>
        <v>820.71173773920611</v>
      </c>
      <c r="R221" s="153">
        <f t="shared" si="62"/>
        <v>0.54089265621411964</v>
      </c>
      <c r="S221">
        <v>242.27175</v>
      </c>
      <c r="T221">
        <v>71.53</v>
      </c>
      <c r="U221">
        <v>39.732500000000002</v>
      </c>
      <c r="V221">
        <f t="shared" si="63"/>
        <v>353.53424999999999</v>
      </c>
      <c r="W221" s="152">
        <f t="shared" si="58"/>
        <v>1.3214490186996199</v>
      </c>
    </row>
    <row r="222" spans="1:23" ht="16.2" customHeight="1" x14ac:dyDescent="0.3">
      <c r="A222" s="57" t="s">
        <v>117</v>
      </c>
      <c r="B222" s="157">
        <v>0</v>
      </c>
      <c r="C222" s="5">
        <v>245.57148000000001</v>
      </c>
      <c r="D222" s="50">
        <f>IFERROR((C222-B222)/B222,100%)</f>
        <v>1</v>
      </c>
      <c r="E222" s="49">
        <v>0</v>
      </c>
      <c r="F222" s="49">
        <v>12202062.107655503</v>
      </c>
      <c r="G222" s="48">
        <f t="shared" si="52"/>
        <v>1</v>
      </c>
      <c r="H222" s="207">
        <f t="shared" si="53"/>
        <v>6.7317516283990561E-3</v>
      </c>
      <c r="I222" s="206">
        <f>B222/$B$3</f>
        <v>0</v>
      </c>
      <c r="J222" s="205">
        <v>141.3810483870968</v>
      </c>
      <c r="K222" s="205">
        <v>84.828629032258078</v>
      </c>
      <c r="L222" s="205">
        <v>90.48387096774195</v>
      </c>
      <c r="M222" s="154">
        <f>SUBTOTAL(9,J222:L222)</f>
        <v>316.69354838709683</v>
      </c>
      <c r="N222" s="45">
        <f t="shared" si="54"/>
        <v>255.80656187916412</v>
      </c>
      <c r="O222" s="45">
        <f t="shared" si="55"/>
        <v>165.60109005861679</v>
      </c>
      <c r="P222" s="45">
        <f t="shared" si="56"/>
        <v>181.75729396677451</v>
      </c>
      <c r="Q222" s="45">
        <f t="shared" si="57"/>
        <v>603.16494590455545</v>
      </c>
      <c r="R222" s="153">
        <f t="shared" si="62"/>
        <v>0.90456972987432804</v>
      </c>
      <c r="S222">
        <v>0</v>
      </c>
      <c r="T222">
        <v>68.66</v>
      </c>
      <c r="U222">
        <v>82.997500000000002</v>
      </c>
      <c r="V222">
        <f t="shared" si="63"/>
        <v>151.6575</v>
      </c>
      <c r="W222" s="152">
        <f t="shared" si="58"/>
        <v>2.97715210856407</v>
      </c>
    </row>
    <row r="223" spans="1:23" ht="16.2" customHeight="1" thickBot="1" x14ac:dyDescent="0.35">
      <c r="A223" s="160" t="s">
        <v>116</v>
      </c>
      <c r="B223" s="157">
        <v>0</v>
      </c>
      <c r="C223" s="5">
        <v>255.28004250000001</v>
      </c>
      <c r="D223" s="50">
        <f>IFERROR((C223-B223)/B223,100%)</f>
        <v>1</v>
      </c>
      <c r="E223" s="49">
        <v>0</v>
      </c>
      <c r="F223" s="49">
        <v>14884928.592344498</v>
      </c>
      <c r="G223" s="48">
        <f t="shared" si="52"/>
        <v>1</v>
      </c>
      <c r="H223" s="207">
        <f t="shared" si="53"/>
        <v>6.9978885243398587E-3</v>
      </c>
      <c r="I223" s="206">
        <f>B223/$B$3</f>
        <v>0</v>
      </c>
      <c r="J223" s="205">
        <v>141.3810483870968</v>
      </c>
      <c r="K223" s="205">
        <v>84.828629032258078</v>
      </c>
      <c r="L223" s="205">
        <v>90.48387096774195</v>
      </c>
      <c r="M223" s="154">
        <v>316.69354838709683</v>
      </c>
      <c r="N223" s="45">
        <f t="shared" si="54"/>
        <v>265.91976392491461</v>
      </c>
      <c r="O223" s="45">
        <f t="shared" si="55"/>
        <v>172.14805769876051</v>
      </c>
      <c r="P223" s="45">
        <f t="shared" si="56"/>
        <v>188.94299015717618</v>
      </c>
      <c r="Q223" s="45">
        <f t="shared" si="57"/>
        <v>627.01081178085133</v>
      </c>
      <c r="R223" s="153">
        <f t="shared" si="62"/>
        <v>0.97986607234085943</v>
      </c>
      <c r="W223" s="152">
        <f t="shared" si="58"/>
        <v>1</v>
      </c>
    </row>
    <row r="224" spans="1:23" ht="16.2" thickBot="1" x14ac:dyDescent="0.35">
      <c r="A224" s="56" t="s">
        <v>115</v>
      </c>
      <c r="B224" s="42">
        <v>1755.5886060000003</v>
      </c>
      <c r="C224" s="40">
        <v>1786.3754601000001</v>
      </c>
      <c r="D224" s="41">
        <f>IFERROR((C224-B224)/B224,100%)</f>
        <v>1.7536485481154801E-2</v>
      </c>
      <c r="E224" s="40">
        <v>47682914.100000001</v>
      </c>
      <c r="F224" s="40">
        <v>84830053.68599999</v>
      </c>
      <c r="G224" s="39">
        <f t="shared" si="52"/>
        <v>0.77904507908420784</v>
      </c>
      <c r="H224" s="150">
        <f t="shared" si="53"/>
        <v>4.8969187759345216E-2</v>
      </c>
      <c r="I224" s="150">
        <f>B224/$B$3</f>
        <v>3.1805473956268773E-2</v>
      </c>
      <c r="J224" s="204">
        <v>1273.7479838709678</v>
      </c>
      <c r="K224" s="36">
        <v>764.2487903225807</v>
      </c>
      <c r="L224" s="36">
        <v>815.1987096774194</v>
      </c>
      <c r="M224" s="36">
        <v>2853.195483870968</v>
      </c>
      <c r="N224" s="36">
        <f t="shared" si="54"/>
        <v>1860.8291348551181</v>
      </c>
      <c r="O224" s="36">
        <f t="shared" si="55"/>
        <v>1204.6420188798922</v>
      </c>
      <c r="P224" s="36">
        <f t="shared" si="56"/>
        <v>1322.1680695023208</v>
      </c>
      <c r="Q224" s="148">
        <f t="shared" si="57"/>
        <v>4387.639223237331</v>
      </c>
      <c r="R224" s="41"/>
      <c r="S224" s="42">
        <f>SUM(S216:S223)</f>
        <v>560.93534999999997</v>
      </c>
      <c r="T224" s="42">
        <f>SUM(T216:T223)</f>
        <v>504.83999999999992</v>
      </c>
      <c r="U224" s="42">
        <f>SUM(U216:U223)</f>
        <v>395.99250000000006</v>
      </c>
      <c r="V224" s="147">
        <f>SUM(V216:V223)</f>
        <v>1461.76785</v>
      </c>
      <c r="W224" s="146">
        <f t="shared" si="58"/>
        <v>2.0015978414338029</v>
      </c>
    </row>
    <row r="225" spans="1:23" ht="16.2" customHeight="1" x14ac:dyDescent="0.3">
      <c r="A225" s="58" t="s">
        <v>114</v>
      </c>
      <c r="B225" s="157">
        <v>0</v>
      </c>
      <c r="C225" s="5">
        <v>29.587038600000003</v>
      </c>
      <c r="D225" s="50">
        <f>IFERROR((C225-B225)/B225,100%)</f>
        <v>1</v>
      </c>
      <c r="E225" s="49">
        <v>0</v>
      </c>
      <c r="F225" s="49">
        <v>1454970.681818181</v>
      </c>
      <c r="G225" s="48">
        <f t="shared" si="52"/>
        <v>1</v>
      </c>
      <c r="H225" s="207">
        <f t="shared" si="53"/>
        <v>8.1105751887416142E-4</v>
      </c>
      <c r="I225" s="206">
        <f>B225/$B$3</f>
        <v>0</v>
      </c>
      <c r="J225" s="205">
        <v>36</v>
      </c>
      <c r="K225" s="205">
        <v>21.6</v>
      </c>
      <c r="L225" s="205">
        <v>23.04</v>
      </c>
      <c r="M225" s="154">
        <v>80.64</v>
      </c>
      <c r="N225" s="45">
        <f t="shared" si="54"/>
        <v>30.820185717218134</v>
      </c>
      <c r="O225" s="45">
        <f t="shared" si="55"/>
        <v>19.952014964304372</v>
      </c>
      <c r="P225" s="45">
        <f t="shared" si="56"/>
        <v>21.89855300960236</v>
      </c>
      <c r="Q225" s="45">
        <f t="shared" si="57"/>
        <v>72.670753691124872</v>
      </c>
      <c r="R225" s="153">
        <f>Q225/M225-1</f>
        <v>-9.8824979028709459E-2</v>
      </c>
      <c r="S225">
        <v>0</v>
      </c>
      <c r="T225">
        <v>4.54</v>
      </c>
      <c r="U225">
        <v>5.9850000000000003</v>
      </c>
      <c r="V225">
        <f>SUM(S225:U225)</f>
        <v>10.525</v>
      </c>
      <c r="W225" s="152">
        <f t="shared" si="58"/>
        <v>5.9045846737410805</v>
      </c>
    </row>
    <row r="226" spans="1:23" ht="16.2" customHeight="1" x14ac:dyDescent="0.3">
      <c r="A226" s="57" t="s">
        <v>113</v>
      </c>
      <c r="B226" s="157">
        <v>350.49005400000004</v>
      </c>
      <c r="C226" s="5">
        <v>130.591587</v>
      </c>
      <c r="D226" s="50">
        <f>IFERROR((C226-B226)/B226,100%)</f>
        <v>-0.62740287346356483</v>
      </c>
      <c r="E226" s="49">
        <v>9087261.5999999996</v>
      </c>
      <c r="F226" s="49">
        <v>4364912.0454545468</v>
      </c>
      <c r="G226" s="48">
        <f t="shared" si="52"/>
        <v>-0.51966695385389294</v>
      </c>
      <c r="H226" s="207">
        <f t="shared" si="53"/>
        <v>3.5798543399358385E-3</v>
      </c>
      <c r="I226" s="206">
        <f>B226/$B$3</f>
        <v>6.3497235322272508E-3</v>
      </c>
      <c r="J226" s="205">
        <v>108</v>
      </c>
      <c r="K226" s="205">
        <v>64.8</v>
      </c>
      <c r="L226" s="205">
        <v>69.12</v>
      </c>
      <c r="M226" s="154">
        <v>241.92000000000002</v>
      </c>
      <c r="N226" s="45">
        <f t="shared" si="54"/>
        <v>136.03446491756188</v>
      </c>
      <c r="O226" s="45">
        <f t="shared" si="55"/>
        <v>88.064416762421629</v>
      </c>
      <c r="P226" s="45">
        <f t="shared" si="56"/>
        <v>96.656067178267634</v>
      </c>
      <c r="Q226" s="45">
        <f t="shared" si="57"/>
        <v>320.75494885825111</v>
      </c>
      <c r="R226" s="153">
        <f>Q226/M226-1</f>
        <v>0.325871977754014</v>
      </c>
      <c r="S226">
        <v>90.267499999999998</v>
      </c>
      <c r="T226">
        <v>25.73</v>
      </c>
      <c r="U226">
        <v>33.907499999999999</v>
      </c>
      <c r="V226">
        <f>SUM(S226:U226)</f>
        <v>149.905</v>
      </c>
      <c r="W226" s="152">
        <f t="shared" si="58"/>
        <v>1.1397214826606925</v>
      </c>
    </row>
    <row r="227" spans="1:23" ht="16.2" customHeight="1" x14ac:dyDescent="0.3">
      <c r="A227" s="57" t="s">
        <v>112</v>
      </c>
      <c r="B227" s="157">
        <v>0</v>
      </c>
      <c r="C227" s="5">
        <v>91.962863999999996</v>
      </c>
      <c r="D227" s="50">
        <f>IFERROR((C227-B227)/B227,100%)</f>
        <v>1</v>
      </c>
      <c r="E227" s="49">
        <v>0</v>
      </c>
      <c r="F227" s="49">
        <v>3394931.5909090913</v>
      </c>
      <c r="G227" s="48">
        <f t="shared" si="52"/>
        <v>1</v>
      </c>
      <c r="H227" s="207">
        <f t="shared" si="53"/>
        <v>2.5209407846719044E-3</v>
      </c>
      <c r="I227" s="206">
        <f>B227/$B$3</f>
        <v>0</v>
      </c>
      <c r="J227" s="205">
        <v>83.999999999999986</v>
      </c>
      <c r="K227" s="205">
        <v>50.4</v>
      </c>
      <c r="L227" s="205">
        <v>53.76</v>
      </c>
      <c r="M227" s="154">
        <v>188.15999999999997</v>
      </c>
      <c r="N227" s="45">
        <f t="shared" si="54"/>
        <v>95.795749817532368</v>
      </c>
      <c r="O227" s="45">
        <f t="shared" si="55"/>
        <v>62.015143302928848</v>
      </c>
      <c r="P227" s="45">
        <f t="shared" si="56"/>
        <v>68.065401186141415</v>
      </c>
      <c r="Q227" s="45">
        <f t="shared" si="57"/>
        <v>225.87629430660263</v>
      </c>
      <c r="R227" s="153">
        <f>Q227/M227-1</f>
        <v>0.20044799270090707</v>
      </c>
      <c r="S227">
        <v>0</v>
      </c>
      <c r="T227">
        <v>36.33</v>
      </c>
      <c r="U227">
        <v>47.87</v>
      </c>
      <c r="V227">
        <f>SUM(S227:U227)</f>
        <v>84.199999999999989</v>
      </c>
      <c r="W227" s="152">
        <f t="shared" si="58"/>
        <v>1.6826163219311481</v>
      </c>
    </row>
    <row r="228" spans="1:23" ht="16.2" customHeight="1" thickBot="1" x14ac:dyDescent="0.35">
      <c r="A228" s="59" t="s">
        <v>111</v>
      </c>
      <c r="B228" s="157">
        <v>0</v>
      </c>
      <c r="C228" s="5">
        <v>37.992414600000004</v>
      </c>
      <c r="D228" s="50">
        <f>IFERROR((C228-B228)/B228,100%)</f>
        <v>1</v>
      </c>
      <c r="E228" s="49">
        <v>0</v>
      </c>
      <c r="F228" s="49">
        <v>1454970.681818181</v>
      </c>
      <c r="G228" s="48">
        <f t="shared" si="52"/>
        <v>1</v>
      </c>
      <c r="H228" s="207">
        <f t="shared" si="53"/>
        <v>1.0414706905311729E-3</v>
      </c>
      <c r="I228" s="206">
        <f>B228/$B$3</f>
        <v>0</v>
      </c>
      <c r="J228" s="205">
        <v>36</v>
      </c>
      <c r="K228" s="205">
        <v>21.6</v>
      </c>
      <c r="L228" s="205">
        <v>23.04</v>
      </c>
      <c r="M228" s="154">
        <v>80.64</v>
      </c>
      <c r="N228" s="45">
        <f t="shared" si="54"/>
        <v>39.575886240184573</v>
      </c>
      <c r="O228" s="45">
        <f t="shared" si="55"/>
        <v>25.620178987066854</v>
      </c>
      <c r="P228" s="45">
        <f t="shared" si="56"/>
        <v>28.119708644341667</v>
      </c>
      <c r="Q228" s="45">
        <f t="shared" si="57"/>
        <v>93.315773871593095</v>
      </c>
      <c r="R228" s="153">
        <f>Q228/M228-1</f>
        <v>0.15718965614574776</v>
      </c>
      <c r="S228">
        <v>0</v>
      </c>
      <c r="T228">
        <v>9.08</v>
      </c>
      <c r="U228">
        <v>11.967499999999999</v>
      </c>
      <c r="V228">
        <f>SUM(S228:U228)</f>
        <v>21.047499999999999</v>
      </c>
      <c r="W228" s="152">
        <f t="shared" si="58"/>
        <v>3.4335799440120249</v>
      </c>
    </row>
    <row r="229" spans="1:23" ht="16.2" thickBot="1" x14ac:dyDescent="0.35">
      <c r="A229" s="56" t="s">
        <v>110</v>
      </c>
      <c r="B229" s="42">
        <v>350.49005400000004</v>
      </c>
      <c r="C229" s="40">
        <v>290.13390420000002</v>
      </c>
      <c r="D229" s="41">
        <f>IFERROR((C229-B229)/B229,100%)</f>
        <v>-0.17220502867679097</v>
      </c>
      <c r="E229" s="40">
        <v>9087261.5999999996</v>
      </c>
      <c r="F229" s="40">
        <v>10669785</v>
      </c>
      <c r="G229" s="39">
        <f t="shared" si="52"/>
        <v>0.17414744613492808</v>
      </c>
      <c r="H229" s="150">
        <f t="shared" si="53"/>
        <v>7.9533233340130776E-3</v>
      </c>
      <c r="I229" s="150">
        <f>B229/$B$3</f>
        <v>6.3497235322272508E-3</v>
      </c>
      <c r="J229" s="204">
        <v>264</v>
      </c>
      <c r="K229" s="36">
        <v>158.4</v>
      </c>
      <c r="L229" s="36">
        <v>168.95999999999998</v>
      </c>
      <c r="M229" s="36">
        <v>591.3599999999999</v>
      </c>
      <c r="N229" s="36">
        <f t="shared" si="54"/>
        <v>302.22628669249696</v>
      </c>
      <c r="O229" s="36">
        <f t="shared" si="55"/>
        <v>195.6517540167217</v>
      </c>
      <c r="P229" s="36">
        <f t="shared" si="56"/>
        <v>214.7397300183531</v>
      </c>
      <c r="Q229" s="148">
        <f t="shared" si="57"/>
        <v>712.61777072757172</v>
      </c>
      <c r="R229" s="41"/>
      <c r="S229" s="42">
        <f>SUM(S225:S228)</f>
        <v>90.267499999999998</v>
      </c>
      <c r="T229" s="42">
        <f>SUM(T225:T228)</f>
        <v>75.679999999999993</v>
      </c>
      <c r="U229" s="42">
        <f>SUM(U225:U228)</f>
        <v>99.72999999999999</v>
      </c>
      <c r="V229" s="147">
        <f>SUM(V225:V228)</f>
        <v>265.67750000000001</v>
      </c>
      <c r="W229" s="146">
        <f t="shared" si="58"/>
        <v>1.6822661713075879</v>
      </c>
    </row>
    <row r="230" spans="1:23" ht="16.2" customHeight="1" thickBot="1" x14ac:dyDescent="0.35">
      <c r="A230" s="65" t="s">
        <v>109</v>
      </c>
      <c r="B230" s="34">
        <v>3821.3490630000001</v>
      </c>
      <c r="C230" s="32">
        <v>2942.8473060000001</v>
      </c>
      <c r="D230" s="33">
        <f>IFERROR((C230-B230)/B230,100%)</f>
        <v>-0.22989309338580044</v>
      </c>
      <c r="E230" s="32">
        <v>112014385.5</v>
      </c>
      <c r="F230" s="32">
        <v>134806271.92551348</v>
      </c>
      <c r="G230" s="31">
        <f t="shared" si="52"/>
        <v>0.20347285148936051</v>
      </c>
      <c r="H230" s="144">
        <f t="shared" si="53"/>
        <v>8.0671082587828499E-2</v>
      </c>
      <c r="I230" s="144">
        <f>B230/$B$3</f>
        <v>6.9230238613805714E-2</v>
      </c>
      <c r="J230" s="203">
        <v>2437.7479838709678</v>
      </c>
      <c r="K230" s="202">
        <v>1462.6487903225807</v>
      </c>
      <c r="L230" s="202">
        <v>1560.1587096774192</v>
      </c>
      <c r="M230" s="202">
        <v>5460.5554838709677</v>
      </c>
      <c r="N230" s="28">
        <f t="shared" si="54"/>
        <v>3065.5011383374831</v>
      </c>
      <c r="O230" s="28">
        <f t="shared" si="55"/>
        <v>1984.5086316605812</v>
      </c>
      <c r="P230" s="28">
        <f t="shared" si="56"/>
        <v>2178.1192298713695</v>
      </c>
      <c r="Q230" s="143">
        <f t="shared" si="57"/>
        <v>7228.1289998694338</v>
      </c>
      <c r="R230" s="142"/>
      <c r="S230" s="34">
        <f>S229+S224+S215</f>
        <v>1311.1035999999999</v>
      </c>
      <c r="T230" s="34">
        <f>T229+T224+T215</f>
        <v>1042.6599999999999</v>
      </c>
      <c r="U230" s="34">
        <f>U229+U224+U215</f>
        <v>741.98500000000013</v>
      </c>
      <c r="V230" s="141">
        <f>V229+V224+V215</f>
        <v>3095.7485999999999</v>
      </c>
      <c r="W230" s="140">
        <f t="shared" si="58"/>
        <v>1.334856583596431</v>
      </c>
    </row>
    <row r="231" spans="1:23" ht="16.2" customHeight="1" x14ac:dyDescent="0.3">
      <c r="A231" s="58" t="s">
        <v>108</v>
      </c>
      <c r="B231" s="157">
        <v>565.28813100000002</v>
      </c>
      <c r="C231" s="5">
        <v>103.34712255000001</v>
      </c>
      <c r="D231" s="50">
        <f>IFERROR((C231-B231)/B231,100%)</f>
        <v>-0.81717797193587283</v>
      </c>
      <c r="E231" s="49">
        <v>27198300</v>
      </c>
      <c r="F231" s="49">
        <v>8006382.6459497828</v>
      </c>
      <c r="G231" s="48">
        <f t="shared" si="52"/>
        <v>-0.70562929867124857</v>
      </c>
      <c r="H231" s="207">
        <f t="shared" si="53"/>
        <v>2.8330128584814463E-3</v>
      </c>
      <c r="I231" s="206">
        <f>B231/$B$3</f>
        <v>1.0241156081135074E-2</v>
      </c>
      <c r="J231" s="205">
        <v>135.25423728813561</v>
      </c>
      <c r="K231" s="205">
        <v>81.152542372881371</v>
      </c>
      <c r="L231" s="205">
        <v>86.562711864406793</v>
      </c>
      <c r="M231" s="154">
        <v>302.96949152542379</v>
      </c>
      <c r="N231" s="45">
        <f t="shared" si="54"/>
        <v>107.65448862229496</v>
      </c>
      <c r="O231" s="45">
        <f t="shared" si="55"/>
        <v>69.692116318643585</v>
      </c>
      <c r="P231" s="45">
        <f t="shared" si="56"/>
        <v>76.49134717899905</v>
      </c>
      <c r="Q231" s="45">
        <f t="shared" si="57"/>
        <v>253.8379521199376</v>
      </c>
      <c r="R231" s="153">
        <f t="shared" ref="R231:R236" si="64">Q231/M231-1</f>
        <v>-0.1621666233062391</v>
      </c>
      <c r="S231">
        <v>271.79050000000001</v>
      </c>
      <c r="T231">
        <v>117.5</v>
      </c>
      <c r="U231">
        <v>90</v>
      </c>
      <c r="V231">
        <f>SUM(S231:U231)</f>
        <v>479.29050000000001</v>
      </c>
      <c r="W231" s="152">
        <f t="shared" si="58"/>
        <v>-0.4703881004945068</v>
      </c>
    </row>
    <row r="232" spans="1:23" ht="16.2" customHeight="1" x14ac:dyDescent="0.3">
      <c r="A232" s="57" t="s">
        <v>107</v>
      </c>
      <c r="B232" s="157">
        <v>0</v>
      </c>
      <c r="C232" s="5">
        <v>71.149455299999985</v>
      </c>
      <c r="D232" s="50">
        <f>IFERROR((C232-B232)/B232,100%)</f>
        <v>1</v>
      </c>
      <c r="E232" s="49">
        <v>0</v>
      </c>
      <c r="F232" s="49">
        <v>5486929.2296397388</v>
      </c>
      <c r="G232" s="48">
        <f t="shared" si="52"/>
        <v>1</v>
      </c>
      <c r="H232" s="207">
        <f t="shared" si="53"/>
        <v>1.9503912326279938E-3</v>
      </c>
      <c r="I232" s="206">
        <f>B232/$B$3</f>
        <v>0</v>
      </c>
      <c r="J232" s="205">
        <v>96.610169491525411</v>
      </c>
      <c r="K232" s="205">
        <v>57.966101694915253</v>
      </c>
      <c r="L232" s="205">
        <v>61.83050847457627</v>
      </c>
      <c r="M232" s="154">
        <v>216.40677966101694</v>
      </c>
      <c r="N232" s="45">
        <f t="shared" si="54"/>
        <v>74.114866839863765</v>
      </c>
      <c r="O232" s="45">
        <f t="shared" si="55"/>
        <v>47.979624322648647</v>
      </c>
      <c r="P232" s="45">
        <f t="shared" si="56"/>
        <v>52.660563280955834</v>
      </c>
      <c r="Q232" s="45">
        <f t="shared" si="57"/>
        <v>174.75505444346825</v>
      </c>
      <c r="R232" s="153">
        <f t="shared" si="64"/>
        <v>-0.19246959491191828</v>
      </c>
      <c r="S232">
        <v>0</v>
      </c>
      <c r="T232">
        <v>19.88</v>
      </c>
      <c r="U232">
        <v>15.23</v>
      </c>
      <c r="V232">
        <f>SUM(S232:U232)</f>
        <v>35.11</v>
      </c>
      <c r="W232" s="152">
        <f t="shared" si="58"/>
        <v>3.9773584290364075</v>
      </c>
    </row>
    <row r="233" spans="1:23" ht="16.2" customHeight="1" x14ac:dyDescent="0.3">
      <c r="A233" s="57" t="s">
        <v>106</v>
      </c>
      <c r="B233" s="157">
        <v>0</v>
      </c>
      <c r="C233" s="5">
        <v>114.4987557</v>
      </c>
      <c r="D233" s="50">
        <f>IFERROR((C233-B233)/B233,100%)</f>
        <v>1</v>
      </c>
      <c r="E233" s="49">
        <v>0</v>
      </c>
      <c r="F233" s="49">
        <v>8871852.9744104818</v>
      </c>
      <c r="G233" s="48">
        <f t="shared" si="52"/>
        <v>1</v>
      </c>
      <c r="H233" s="207">
        <f t="shared" si="53"/>
        <v>3.1387080663159285E-3</v>
      </c>
      <c r="I233" s="206">
        <f>B233/$B$3</f>
        <v>0</v>
      </c>
      <c r="J233" s="205">
        <v>154.57627118644069</v>
      </c>
      <c r="K233" s="205">
        <v>92.74576271186443</v>
      </c>
      <c r="L233" s="205">
        <v>98.928813559322052</v>
      </c>
      <c r="M233" s="154">
        <v>346.25084745762717</v>
      </c>
      <c r="N233" s="45">
        <f t="shared" si="54"/>
        <v>119.27090652000528</v>
      </c>
      <c r="O233" s="45">
        <f t="shared" si="55"/>
        <v>77.212218431371838</v>
      </c>
      <c r="P233" s="45">
        <f t="shared" si="56"/>
        <v>84.745117790530074</v>
      </c>
      <c r="Q233" s="45">
        <f t="shared" si="57"/>
        <v>281.2282427419072</v>
      </c>
      <c r="R233" s="153">
        <f t="shared" si="64"/>
        <v>-0.1877904565235099</v>
      </c>
      <c r="S233">
        <v>0</v>
      </c>
      <c r="T233">
        <v>43.38</v>
      </c>
      <c r="U233">
        <v>33.229999999999997</v>
      </c>
      <c r="V233">
        <f>SUM(S233:U233)</f>
        <v>76.61</v>
      </c>
      <c r="W233" s="152">
        <f t="shared" si="58"/>
        <v>2.6709077501880589</v>
      </c>
    </row>
    <row r="234" spans="1:23" ht="16.2" customHeight="1" x14ac:dyDescent="0.3">
      <c r="A234" s="57" t="s">
        <v>105</v>
      </c>
      <c r="B234" s="157">
        <v>168.52338</v>
      </c>
      <c r="C234" s="5">
        <v>41.14477500000001</v>
      </c>
      <c r="D234" s="50">
        <f>IFERROR((C234-B234)/B234,100%)</f>
        <v>-0.75585123559710221</v>
      </c>
      <c r="E234" s="49">
        <v>4966910.4101999998</v>
      </c>
      <c r="F234" s="49">
        <v>1946847</v>
      </c>
      <c r="G234" s="48">
        <f t="shared" si="52"/>
        <v>-0.60803661849789492</v>
      </c>
      <c r="H234" s="207">
        <f t="shared" si="53"/>
        <v>1.1278850708004156E-3</v>
      </c>
      <c r="I234" s="206">
        <f>B234/$B$3</f>
        <v>3.0530876967951709E-3</v>
      </c>
      <c r="J234" s="205">
        <v>66.101694915254228</v>
      </c>
      <c r="K234" s="205">
        <v>39.66101694915254</v>
      </c>
      <c r="L234" s="205">
        <v>42.305084745762713</v>
      </c>
      <c r="M234" s="154">
        <v>148.06779661016947</v>
      </c>
      <c r="N234" s="45">
        <f t="shared" si="54"/>
        <v>42.859632690415793</v>
      </c>
      <c r="O234" s="45">
        <f t="shared" si="55"/>
        <v>27.745972741690224</v>
      </c>
      <c r="P234" s="45">
        <f t="shared" si="56"/>
        <v>30.452896911611219</v>
      </c>
      <c r="Q234" s="45">
        <f t="shared" si="57"/>
        <v>101.05850234371724</v>
      </c>
      <c r="R234" s="153">
        <f t="shared" si="64"/>
        <v>-0.31748493151564583</v>
      </c>
      <c r="S234">
        <v>67.828999999999994</v>
      </c>
      <c r="T234">
        <v>52.01</v>
      </c>
      <c r="U234">
        <v>40.4925</v>
      </c>
      <c r="V234">
        <f>SUM(S234:U234)</f>
        <v>160.33150000000001</v>
      </c>
      <c r="W234" s="152">
        <f t="shared" si="58"/>
        <v>-0.36969028329606324</v>
      </c>
    </row>
    <row r="235" spans="1:23" ht="16.2" customHeight="1" x14ac:dyDescent="0.3">
      <c r="A235" s="166" t="s">
        <v>104</v>
      </c>
      <c r="B235" s="157">
        <v>0</v>
      </c>
      <c r="C235" s="5">
        <v>54.374775000000007</v>
      </c>
      <c r="D235" s="50">
        <f>IFERROR((C235-B235)/B235,100%)</f>
        <v>1</v>
      </c>
      <c r="E235" s="49">
        <v>0</v>
      </c>
      <c r="F235" s="49">
        <v>1946847</v>
      </c>
      <c r="G235" s="48">
        <f t="shared" si="52"/>
        <v>1</v>
      </c>
      <c r="H235" s="207">
        <f t="shared" si="53"/>
        <v>1.4905537082322521E-3</v>
      </c>
      <c r="I235" s="206">
        <f>B235/$B$3</f>
        <v>0</v>
      </c>
      <c r="J235" s="205">
        <v>66.101694915254228</v>
      </c>
      <c r="K235" s="205">
        <v>39.66101694915254</v>
      </c>
      <c r="L235" s="205">
        <v>42.305084745762713</v>
      </c>
      <c r="M235" s="154">
        <v>148.06779661016947</v>
      </c>
      <c r="N235" s="45">
        <f t="shared" si="54"/>
        <v>56.641040912825581</v>
      </c>
      <c r="O235" s="45">
        <f t="shared" si="55"/>
        <v>36.667621222513404</v>
      </c>
      <c r="P235" s="45">
        <f t="shared" si="56"/>
        <v>40.244950122270808</v>
      </c>
      <c r="Q235" s="45">
        <f t="shared" si="57"/>
        <v>133.55361225760979</v>
      </c>
      <c r="R235" s="153">
        <f t="shared" si="64"/>
        <v>-9.8023909890226801E-2</v>
      </c>
      <c r="W235" s="152">
        <f t="shared" si="58"/>
        <v>1</v>
      </c>
    </row>
    <row r="236" spans="1:23" ht="16.2" customHeight="1" x14ac:dyDescent="0.3">
      <c r="A236" s="57" t="s">
        <v>103</v>
      </c>
      <c r="B236" s="157">
        <v>0</v>
      </c>
      <c r="C236" s="5">
        <v>108.5786457</v>
      </c>
      <c r="D236" s="50">
        <f>IFERROR((C236-B236)/B236,100%)</f>
        <v>1</v>
      </c>
      <c r="E236" s="49">
        <v>0</v>
      </c>
      <c r="F236" s="49">
        <v>6610518.4740000023</v>
      </c>
      <c r="G236" s="48">
        <f t="shared" si="52"/>
        <v>1</v>
      </c>
      <c r="H236" s="207">
        <f t="shared" si="53"/>
        <v>2.9764224860327391E-3</v>
      </c>
      <c r="I236" s="206">
        <f>B236/$B$3</f>
        <v>0</v>
      </c>
      <c r="J236" s="205">
        <v>95.338983050847446</v>
      </c>
      <c r="K236" s="205">
        <v>57.20338983050847</v>
      </c>
      <c r="L236" s="205">
        <v>61.016949152542367</v>
      </c>
      <c r="M236" s="154">
        <v>213.55932203389827</v>
      </c>
      <c r="N236" s="45">
        <f t="shared" si="54"/>
        <v>113.10405446924409</v>
      </c>
      <c r="O236" s="45">
        <f t="shared" si="55"/>
        <v>73.21999315640538</v>
      </c>
      <c r="P236" s="45">
        <f t="shared" si="56"/>
        <v>80.363407122883956</v>
      </c>
      <c r="Q236" s="45">
        <f t="shared" si="57"/>
        <v>266.68745474853347</v>
      </c>
      <c r="R236" s="153">
        <f t="shared" si="64"/>
        <v>0.24877458969551403</v>
      </c>
      <c r="S236">
        <v>0</v>
      </c>
      <c r="T236">
        <v>28.2</v>
      </c>
      <c r="U236">
        <v>16.774999999999999</v>
      </c>
      <c r="V236">
        <f>SUM(S236:U236)</f>
        <v>44.974999999999994</v>
      </c>
      <c r="W236" s="152">
        <f t="shared" si="58"/>
        <v>4.9296821511625017</v>
      </c>
    </row>
    <row r="237" spans="1:23" ht="16.2" customHeight="1" x14ac:dyDescent="0.3">
      <c r="A237" s="57" t="s">
        <v>102</v>
      </c>
      <c r="B237" s="157">
        <v>701.16748199999995</v>
      </c>
      <c r="C237" s="5">
        <v>115.2577356</v>
      </c>
      <c r="D237" s="50">
        <f>IFERROR((C237-B237)/B237,100%)</f>
        <v>-0.83562024971374804</v>
      </c>
      <c r="E237" s="49">
        <v>21299074.920000002</v>
      </c>
      <c r="F237" s="49">
        <v>6183508.3379999986</v>
      </c>
      <c r="G237" s="48">
        <f t="shared" si="52"/>
        <v>-0.70968183542123531</v>
      </c>
      <c r="H237" s="207">
        <f t="shared" si="53"/>
        <v>3.1595136752479882E-3</v>
      </c>
      <c r="I237" s="206">
        <f>B237/$B$3</f>
        <v>1.2702841663198598E-2</v>
      </c>
      <c r="J237" s="205">
        <v>95.338983050847446</v>
      </c>
      <c r="K237" s="205">
        <v>57.20338983050847</v>
      </c>
      <c r="L237" s="205">
        <v>61.016949152542367</v>
      </c>
      <c r="M237" s="154">
        <f>SUBTOTAL(9,J237:L237)</f>
        <v>213.55932203389827</v>
      </c>
      <c r="N237" s="45">
        <f t="shared" si="54"/>
        <v>120.06151965942355</v>
      </c>
      <c r="O237" s="45">
        <f t="shared" si="55"/>
        <v>77.724036411100514</v>
      </c>
      <c r="P237" s="45">
        <f t="shared" si="56"/>
        <v>85.306869231695686</v>
      </c>
      <c r="Q237" s="45">
        <f t="shared" si="57"/>
        <v>283.09242530221979</v>
      </c>
      <c r="R237" s="153">
        <f>M237/Q237-1</f>
        <v>-0.24561979429188319</v>
      </c>
      <c r="S237">
        <v>252.364</v>
      </c>
      <c r="T237">
        <v>45.65</v>
      </c>
      <c r="U237">
        <v>27.16</v>
      </c>
      <c r="V237">
        <f>SUM(S237:U237)</f>
        <v>325.17400000000004</v>
      </c>
      <c r="W237" s="152">
        <f t="shared" si="58"/>
        <v>-0.12941248284850645</v>
      </c>
    </row>
    <row r="238" spans="1:23" ht="16.2" customHeight="1" x14ac:dyDescent="0.3">
      <c r="A238" s="57" t="s">
        <v>101</v>
      </c>
      <c r="B238" s="157">
        <v>0</v>
      </c>
      <c r="C238" s="5">
        <v>75.010345200000003</v>
      </c>
      <c r="D238" s="50">
        <f>IFERROR((C238-B238)/B238,100%)</f>
        <v>1</v>
      </c>
      <c r="E238" s="49">
        <v>0</v>
      </c>
      <c r="F238" s="49">
        <v>4475467.7939999998</v>
      </c>
      <c r="G238" s="48">
        <f t="shared" si="52"/>
        <v>1</v>
      </c>
      <c r="H238" s="207">
        <f t="shared" si="53"/>
        <v>2.0562282454252233E-3</v>
      </c>
      <c r="I238" s="206">
        <f>B238/$B$3</f>
        <v>0</v>
      </c>
      <c r="J238" s="205">
        <v>95.338983050847446</v>
      </c>
      <c r="K238" s="205">
        <v>57.20338983050847</v>
      </c>
      <c r="L238" s="205">
        <v>61.016949152542367</v>
      </c>
      <c r="M238" s="154">
        <v>213.55932203389827</v>
      </c>
      <c r="N238" s="45">
        <f t="shared" si="54"/>
        <v>78.136673326158487</v>
      </c>
      <c r="O238" s="45">
        <f t="shared" si="55"/>
        <v>50.583214837460496</v>
      </c>
      <c r="P238" s="45">
        <f t="shared" si="56"/>
        <v>55.518162626481029</v>
      </c>
      <c r="Q238" s="45">
        <f t="shared" si="57"/>
        <v>184.2380507901</v>
      </c>
      <c r="R238" s="153">
        <f>Q238/M238-1</f>
        <v>-0.13729801614159509</v>
      </c>
      <c r="S238">
        <v>0</v>
      </c>
      <c r="T238">
        <v>28.2</v>
      </c>
      <c r="U238">
        <v>16.774999999999999</v>
      </c>
      <c r="V238">
        <f>SUM(S238:U238)</f>
        <v>44.974999999999994</v>
      </c>
      <c r="W238" s="152">
        <f t="shared" si="58"/>
        <v>3.0964547146214572</v>
      </c>
    </row>
    <row r="239" spans="1:23" ht="16.2" customHeight="1" thickBot="1" x14ac:dyDescent="0.35">
      <c r="A239" s="59" t="s">
        <v>100</v>
      </c>
      <c r="B239" s="157">
        <v>0</v>
      </c>
      <c r="C239" s="5">
        <v>75.010345200000003</v>
      </c>
      <c r="D239" s="50">
        <f>IFERROR((C239-B239)/B239,100%)</f>
        <v>1</v>
      </c>
      <c r="E239" s="49">
        <v>0</v>
      </c>
      <c r="F239" s="49">
        <v>4475467.7939999998</v>
      </c>
      <c r="G239" s="48">
        <f t="shared" si="52"/>
        <v>1</v>
      </c>
      <c r="H239" s="207">
        <f t="shared" si="53"/>
        <v>2.0562282454252233E-3</v>
      </c>
      <c r="I239" s="206">
        <f>B239/$B$3</f>
        <v>0</v>
      </c>
      <c r="J239" s="205">
        <v>95.338983050847446</v>
      </c>
      <c r="K239" s="205">
        <v>57.20338983050847</v>
      </c>
      <c r="L239" s="205">
        <v>61.016949152542367</v>
      </c>
      <c r="M239" s="154">
        <v>213.55932203389827</v>
      </c>
      <c r="N239" s="45">
        <f t="shared" si="54"/>
        <v>78.136673326158487</v>
      </c>
      <c r="O239" s="45">
        <f t="shared" si="55"/>
        <v>50.583214837460496</v>
      </c>
      <c r="P239" s="45">
        <f t="shared" si="56"/>
        <v>55.518162626481029</v>
      </c>
      <c r="Q239" s="45">
        <f t="shared" si="57"/>
        <v>184.2380507901</v>
      </c>
      <c r="R239" s="153">
        <f>Q239/M239-1</f>
        <v>-0.13729801614159509</v>
      </c>
      <c r="S239">
        <v>0</v>
      </c>
      <c r="T239">
        <v>32.22</v>
      </c>
      <c r="U239">
        <v>19.172499999999999</v>
      </c>
      <c r="V239">
        <f>SUM(S239:U239)</f>
        <v>51.392499999999998</v>
      </c>
      <c r="W239" s="152">
        <f t="shared" si="58"/>
        <v>2.5849209668745439</v>
      </c>
    </row>
    <row r="240" spans="1:23" ht="16.2" thickBot="1" x14ac:dyDescent="0.35">
      <c r="A240" s="56" t="s">
        <v>99</v>
      </c>
      <c r="B240" s="42">
        <v>1434.9789929999999</v>
      </c>
      <c r="C240" s="40">
        <v>758.37195524999993</v>
      </c>
      <c r="D240" s="41">
        <f>IFERROR((C240-B240)/B240,100%)</f>
        <v>-0.47151006464245854</v>
      </c>
      <c r="E240" s="40">
        <v>53464285.330200002</v>
      </c>
      <c r="F240" s="40">
        <v>48003821.25</v>
      </c>
      <c r="G240" s="39">
        <f t="shared" si="52"/>
        <v>-0.10213292942149527</v>
      </c>
      <c r="H240" s="150">
        <f t="shared" si="53"/>
        <v>2.0788943588589209E-2</v>
      </c>
      <c r="I240" s="150">
        <f>B240/$B$3</f>
        <v>2.5997085441128841E-2</v>
      </c>
      <c r="J240" s="204">
        <v>900</v>
      </c>
      <c r="K240" s="36">
        <v>540</v>
      </c>
      <c r="L240" s="36">
        <v>575.99999999999989</v>
      </c>
      <c r="M240" s="36">
        <v>2016</v>
      </c>
      <c r="N240" s="36">
        <f t="shared" si="54"/>
        <v>789.97985636638998</v>
      </c>
      <c r="O240" s="36">
        <f t="shared" si="55"/>
        <v>511.40801227929455</v>
      </c>
      <c r="P240" s="36">
        <f t="shared" si="56"/>
        <v>561.30147689190869</v>
      </c>
      <c r="Q240" s="148">
        <f t="shared" si="57"/>
        <v>1862.6893455375935</v>
      </c>
      <c r="R240" s="41"/>
      <c r="S240" s="42">
        <f>SUM(S231:S239)</f>
        <v>591.98350000000005</v>
      </c>
      <c r="T240" s="42">
        <f>SUM(T231:T239)</f>
        <v>367.03999999999996</v>
      </c>
      <c r="U240" s="42">
        <f>SUM(U231:U239)</f>
        <v>258.83500000000004</v>
      </c>
      <c r="V240" s="147">
        <f>SUM(V231:V239)</f>
        <v>1217.8584999999998</v>
      </c>
      <c r="W240" s="146">
        <f t="shared" si="58"/>
        <v>0.52947928313313386</v>
      </c>
    </row>
    <row r="241" spans="1:23" ht="16.2" customHeight="1" x14ac:dyDescent="0.3">
      <c r="A241" s="64" t="s">
        <v>98</v>
      </c>
      <c r="B241" s="157">
        <v>0</v>
      </c>
      <c r="C241" s="5">
        <v>154.2748095</v>
      </c>
      <c r="D241" s="50">
        <f>IFERROR((C241-B241)/B241,100%)</f>
        <v>1</v>
      </c>
      <c r="E241" s="49">
        <v>0</v>
      </c>
      <c r="F241" s="49">
        <v>8316734.887884534</v>
      </c>
      <c r="G241" s="48">
        <f t="shared" si="52"/>
        <v>1</v>
      </c>
      <c r="H241" s="207">
        <f t="shared" si="53"/>
        <v>4.229072936615356E-3</v>
      </c>
      <c r="I241" s="206">
        <f>B241/$B$3</f>
        <v>0</v>
      </c>
      <c r="J241" s="205">
        <v>159.57446808510639</v>
      </c>
      <c r="K241" s="205">
        <v>95.744680851063833</v>
      </c>
      <c r="L241" s="205">
        <v>102.12765957446808</v>
      </c>
      <c r="M241" s="154">
        <v>357.44680851063833</v>
      </c>
      <c r="N241" s="45">
        <f t="shared" si="54"/>
        <v>160.70477159138352</v>
      </c>
      <c r="O241" s="45">
        <f t="shared" si="55"/>
        <v>104.03519424073775</v>
      </c>
      <c r="P241" s="45">
        <f t="shared" si="56"/>
        <v>114.18496928861461</v>
      </c>
      <c r="Q241" s="45">
        <f t="shared" si="57"/>
        <v>378.92493512073588</v>
      </c>
      <c r="R241" s="153">
        <f>Q241/M241-1</f>
        <v>6.008761611158242E-2</v>
      </c>
      <c r="S241">
        <v>0</v>
      </c>
      <c r="T241">
        <v>55.25</v>
      </c>
      <c r="U241">
        <v>47.922499999999999</v>
      </c>
      <c r="V241">
        <f t="shared" ref="V241:V246" si="65">SUM(S241:U241)</f>
        <v>103.1725</v>
      </c>
      <c r="W241" s="152">
        <f t="shared" si="58"/>
        <v>2.6727319307057198</v>
      </c>
    </row>
    <row r="242" spans="1:23" ht="16.2" customHeight="1" x14ac:dyDescent="0.3">
      <c r="A242" s="55" t="s">
        <v>97</v>
      </c>
      <c r="B242" s="157">
        <v>0</v>
      </c>
      <c r="C242" s="5">
        <v>195.69836685000001</v>
      </c>
      <c r="D242" s="50">
        <f>IFERROR((C242-B242)/B242,100%)</f>
        <v>1</v>
      </c>
      <c r="E242" s="49">
        <v>0</v>
      </c>
      <c r="F242" s="49">
        <v>9564245.1538418271</v>
      </c>
      <c r="G242" s="48">
        <f t="shared" si="52"/>
        <v>1</v>
      </c>
      <c r="H242" s="207">
        <f t="shared" si="53"/>
        <v>5.3646001551870904E-3</v>
      </c>
      <c r="I242" s="206">
        <f>B242/$B$3</f>
        <v>0</v>
      </c>
      <c r="J242" s="205">
        <v>183.51063829787236</v>
      </c>
      <c r="K242" s="205">
        <v>110.10638297872342</v>
      </c>
      <c r="L242" s="205">
        <v>117.44680851063831</v>
      </c>
      <c r="M242" s="154">
        <v>411.06382978723411</v>
      </c>
      <c r="N242" s="45">
        <f t="shared" si="54"/>
        <v>203.85480589710943</v>
      </c>
      <c r="O242" s="45">
        <f t="shared" si="55"/>
        <v>131.96916381760244</v>
      </c>
      <c r="P242" s="45">
        <f t="shared" si="56"/>
        <v>144.84420419005144</v>
      </c>
      <c r="Q242" s="45">
        <f t="shared" si="57"/>
        <v>480.66817390476331</v>
      </c>
      <c r="R242" s="153">
        <f>Q242/M242-1</f>
        <v>0.16932733817411338</v>
      </c>
      <c r="S242">
        <v>0</v>
      </c>
      <c r="T242">
        <v>78.930000000000007</v>
      </c>
      <c r="U242">
        <v>68.459999999999994</v>
      </c>
      <c r="V242">
        <f t="shared" si="65"/>
        <v>147.38999999999999</v>
      </c>
      <c r="W242" s="152">
        <f t="shared" si="58"/>
        <v>2.2611993615900898</v>
      </c>
    </row>
    <row r="243" spans="1:23" ht="16.2" customHeight="1" x14ac:dyDescent="0.3">
      <c r="A243" s="55" t="s">
        <v>96</v>
      </c>
      <c r="B243" s="157">
        <v>0</v>
      </c>
      <c r="C243" s="5">
        <v>79.196286750000013</v>
      </c>
      <c r="D243" s="50">
        <f>IFERROR((C243-B243)/B243,100%)</f>
        <v>1</v>
      </c>
      <c r="E243" s="49">
        <v>0</v>
      </c>
      <c r="F243" s="49">
        <v>4158367.7716881814</v>
      </c>
      <c r="G243" s="48">
        <f t="shared" si="52"/>
        <v>1</v>
      </c>
      <c r="H243" s="207">
        <f t="shared" si="53"/>
        <v>2.1709757675951263E-3</v>
      </c>
      <c r="I243" s="206">
        <f>B243/$B$3</f>
        <v>0</v>
      </c>
      <c r="J243" s="205">
        <v>79.787234042553195</v>
      </c>
      <c r="K243" s="205">
        <v>47.872340425531917</v>
      </c>
      <c r="L243" s="205">
        <v>51.063829787234042</v>
      </c>
      <c r="M243" s="154">
        <v>178.72340425531917</v>
      </c>
      <c r="N243" s="45">
        <f t="shared" si="54"/>
        <v>82.497079168614803</v>
      </c>
      <c r="O243" s="45">
        <f t="shared" si="55"/>
        <v>53.406003882840103</v>
      </c>
      <c r="P243" s="45">
        <f t="shared" si="56"/>
        <v>58.616345725068406</v>
      </c>
      <c r="Q243" s="45">
        <f t="shared" si="57"/>
        <v>194.51942877652331</v>
      </c>
      <c r="R243" s="153">
        <f>Q243/M243-1</f>
        <v>8.8382518154356493E-2</v>
      </c>
      <c r="S243">
        <v>0</v>
      </c>
      <c r="T243">
        <v>21.05</v>
      </c>
      <c r="U243">
        <v>18.254999999999999</v>
      </c>
      <c r="V243">
        <f t="shared" si="65"/>
        <v>39.305</v>
      </c>
      <c r="W243" s="152">
        <f t="shared" si="58"/>
        <v>3.9489741451856841</v>
      </c>
    </row>
    <row r="244" spans="1:23" ht="16.2" customHeight="1" x14ac:dyDescent="0.3">
      <c r="A244" s="55" t="s">
        <v>95</v>
      </c>
      <c r="B244" s="157">
        <v>1268.6131680000003</v>
      </c>
      <c r="C244" s="5">
        <v>64.180582200000003</v>
      </c>
      <c r="D244" s="50">
        <f>IFERROR((C244-B244)/B244,100%)</f>
        <v>-0.94940886330134633</v>
      </c>
      <c r="E244" s="49">
        <v>37712378.399999999</v>
      </c>
      <c r="F244" s="49">
        <v>3326693.8240554594</v>
      </c>
      <c r="G244" s="48">
        <f t="shared" si="52"/>
        <v>-0.9117877480764921</v>
      </c>
      <c r="H244" s="207">
        <f t="shared" si="53"/>
        <v>1.7593563337910797E-3</v>
      </c>
      <c r="I244" s="206">
        <f>B244/$B$3</f>
        <v>2.298308552328553E-2</v>
      </c>
      <c r="J244" s="205">
        <v>63.829787234042563</v>
      </c>
      <c r="K244" s="205">
        <v>38.297872340425535</v>
      </c>
      <c r="L244" s="205">
        <v>40.851063829787236</v>
      </c>
      <c r="M244" s="154">
        <v>142.97872340425533</v>
      </c>
      <c r="N244" s="45">
        <f t="shared" si="54"/>
        <v>66.855540684061026</v>
      </c>
      <c r="O244" s="45">
        <f t="shared" si="55"/>
        <v>43.280165811260559</v>
      </c>
      <c r="P244" s="45">
        <f t="shared" si="56"/>
        <v>47.50262101235915</v>
      </c>
      <c r="Q244" s="45">
        <f t="shared" si="57"/>
        <v>157.63832750768074</v>
      </c>
      <c r="R244" s="153">
        <f>M244/Q244-1</f>
        <v>-9.2995176586805228E-2</v>
      </c>
      <c r="S244">
        <v>509.33135000000004</v>
      </c>
      <c r="T244">
        <v>5.26</v>
      </c>
      <c r="U244">
        <v>4.5650000000000004</v>
      </c>
      <c r="V244">
        <f t="shared" si="65"/>
        <v>519.15635000000009</v>
      </c>
      <c r="W244" s="152">
        <f t="shared" si="58"/>
        <v>-0.6963567381817044</v>
      </c>
    </row>
    <row r="245" spans="1:23" ht="16.2" customHeight="1" x14ac:dyDescent="0.3">
      <c r="A245" s="55" t="s">
        <v>94</v>
      </c>
      <c r="B245" s="157">
        <v>0</v>
      </c>
      <c r="C245" s="5">
        <v>79.196286750000013</v>
      </c>
      <c r="D245" s="50">
        <f>IFERROR((C245-B245)/B245,100%)</f>
        <v>1</v>
      </c>
      <c r="E245" s="49">
        <v>0</v>
      </c>
      <c r="F245" s="49">
        <v>4158367.7716881814</v>
      </c>
      <c r="G245" s="48">
        <f t="shared" si="52"/>
        <v>1</v>
      </c>
      <c r="H245" s="207">
        <f t="shared" si="53"/>
        <v>2.1709757675951263E-3</v>
      </c>
      <c r="I245" s="206">
        <f>B245/$B$3</f>
        <v>0</v>
      </c>
      <c r="J245" s="205">
        <v>79.787234042553195</v>
      </c>
      <c r="K245" s="205">
        <v>47.872340425531917</v>
      </c>
      <c r="L245" s="205">
        <v>51.063829787234042</v>
      </c>
      <c r="M245" s="154">
        <v>178.72340425531917</v>
      </c>
      <c r="N245" s="45">
        <f t="shared" si="54"/>
        <v>82.497079168614803</v>
      </c>
      <c r="O245" s="45">
        <f t="shared" si="55"/>
        <v>53.406003882840103</v>
      </c>
      <c r="P245" s="45">
        <f t="shared" si="56"/>
        <v>58.616345725068406</v>
      </c>
      <c r="Q245" s="45">
        <f t="shared" si="57"/>
        <v>194.51942877652331</v>
      </c>
      <c r="R245" s="153">
        <f>Q245/M245-1</f>
        <v>8.8382518154356493E-2</v>
      </c>
      <c r="S245">
        <v>0</v>
      </c>
      <c r="T245">
        <v>21.05</v>
      </c>
      <c r="U245">
        <v>18.254999999999999</v>
      </c>
      <c r="V245">
        <f t="shared" si="65"/>
        <v>39.305</v>
      </c>
      <c r="W245" s="152">
        <f t="shared" si="58"/>
        <v>3.9489741451856841</v>
      </c>
    </row>
    <row r="246" spans="1:23" ht="16.2" customHeight="1" x14ac:dyDescent="0.3">
      <c r="A246" s="55" t="s">
        <v>93</v>
      </c>
      <c r="B246" s="157">
        <v>0</v>
      </c>
      <c r="C246" s="5">
        <v>106.8119913</v>
      </c>
      <c r="D246" s="50">
        <f>IFERROR((C246-B246)/B246,100%)</f>
        <v>1</v>
      </c>
      <c r="E246" s="49">
        <v>0</v>
      </c>
      <c r="F246" s="49">
        <v>4990041.0638290904</v>
      </c>
      <c r="G246" s="48">
        <f t="shared" si="52"/>
        <v>1</v>
      </c>
      <c r="H246" s="207">
        <f t="shared" si="53"/>
        <v>2.9279939037152067E-3</v>
      </c>
      <c r="I246" s="206">
        <f>B246/$B$3</f>
        <v>0</v>
      </c>
      <c r="J246" s="205">
        <v>95.744680851063805</v>
      </c>
      <c r="K246" s="205">
        <v>57.446808510638284</v>
      </c>
      <c r="L246" s="205">
        <v>61.27659574468084</v>
      </c>
      <c r="M246" s="154">
        <v>214.46808510638292</v>
      </c>
      <c r="N246" s="45">
        <f t="shared" si="54"/>
        <v>111.26376834117785</v>
      </c>
      <c r="O246" s="45">
        <f t="shared" si="55"/>
        <v>72.028650031394079</v>
      </c>
      <c r="P246" s="45">
        <f t="shared" si="56"/>
        <v>79.055835400310585</v>
      </c>
      <c r="Q246" s="45">
        <f t="shared" si="57"/>
        <v>262.34825377288252</v>
      </c>
      <c r="R246" s="153">
        <f>Q246/M246-1</f>
        <v>0.22325078644102003</v>
      </c>
      <c r="S246">
        <v>0</v>
      </c>
      <c r="T246">
        <v>73.66</v>
      </c>
      <c r="U246">
        <v>63.897500000000001</v>
      </c>
      <c r="V246">
        <f t="shared" si="65"/>
        <v>137.5575</v>
      </c>
      <c r="W246" s="152">
        <f t="shared" si="58"/>
        <v>0.90718974808994424</v>
      </c>
    </row>
    <row r="247" spans="1:23" ht="16.2" customHeight="1" x14ac:dyDescent="0.3">
      <c r="A247" s="166" t="s">
        <v>92</v>
      </c>
      <c r="B247" s="157">
        <v>0</v>
      </c>
      <c r="C247" s="5">
        <v>65.387646450000005</v>
      </c>
      <c r="D247" s="50">
        <f>IFERROR((C247-B247)/B247,100%)</f>
        <v>1</v>
      </c>
      <c r="E247" s="49">
        <v>0</v>
      </c>
      <c r="F247" s="49">
        <v>2495020.5319145452</v>
      </c>
      <c r="G247" s="48">
        <f t="shared" si="52"/>
        <v>1</v>
      </c>
      <c r="H247" s="207">
        <f t="shared" si="53"/>
        <v>1.7924450977245781E-3</v>
      </c>
      <c r="I247" s="206">
        <f>B247/$B$3</f>
        <v>0</v>
      </c>
      <c r="J247" s="205">
        <v>47.872340425531902</v>
      </c>
      <c r="K247" s="205">
        <v>28.723404255319142</v>
      </c>
      <c r="L247" s="205">
        <v>30.63829787234042</v>
      </c>
      <c r="M247" s="154">
        <v>107.23404255319146</v>
      </c>
      <c r="N247" s="45">
        <f t="shared" si="54"/>
        <v>68.11291371353397</v>
      </c>
      <c r="O247" s="45">
        <f t="shared" si="55"/>
        <v>44.09414940402462</v>
      </c>
      <c r="P247" s="45">
        <f t="shared" si="56"/>
        <v>48.396017638563613</v>
      </c>
      <c r="Q247" s="45">
        <f t="shared" si="57"/>
        <v>160.60308075612221</v>
      </c>
      <c r="R247" s="153">
        <f>Q247/M247-1</f>
        <v>0.49768745943209258</v>
      </c>
      <c r="W247" s="152">
        <f t="shared" si="58"/>
        <v>1</v>
      </c>
    </row>
    <row r="248" spans="1:23" ht="16.2" customHeight="1" thickBot="1" x14ac:dyDescent="0.35">
      <c r="A248" s="54" t="s">
        <v>91</v>
      </c>
      <c r="B248" s="157">
        <v>0</v>
      </c>
      <c r="C248" s="5">
        <v>50.139262949999996</v>
      </c>
      <c r="D248" s="50">
        <f>IFERROR((C248-B248)/B248,100%)</f>
        <v>1</v>
      </c>
      <c r="E248" s="49">
        <v>0</v>
      </c>
      <c r="F248" s="49">
        <v>2079183.5580981825</v>
      </c>
      <c r="G248" s="48">
        <f t="shared" si="52"/>
        <v>1</v>
      </c>
      <c r="H248" s="207">
        <f t="shared" si="53"/>
        <v>1.3744473300009875E-3</v>
      </c>
      <c r="I248" s="206">
        <f>B248/$B$3</f>
        <v>0</v>
      </c>
      <c r="J248" s="205">
        <v>39.893617021276597</v>
      </c>
      <c r="K248" s="205">
        <v>23.936170212765958</v>
      </c>
      <c r="L248" s="205">
        <v>25.531914893617021</v>
      </c>
      <c r="M248" s="154">
        <v>89.361702127659584</v>
      </c>
      <c r="N248" s="45">
        <f t="shared" si="54"/>
        <v>52.228998540037523</v>
      </c>
      <c r="O248" s="45">
        <f t="shared" si="55"/>
        <v>33.811404318024294</v>
      </c>
      <c r="P248" s="45">
        <f t="shared" si="56"/>
        <v>37.110077910026661</v>
      </c>
      <c r="Q248" s="45">
        <f t="shared" si="57"/>
        <v>123.15048076808847</v>
      </c>
      <c r="R248" s="153">
        <f>Q248/M248-1</f>
        <v>0.37811252288098984</v>
      </c>
      <c r="S248">
        <v>0</v>
      </c>
      <c r="T248">
        <v>7.89</v>
      </c>
      <c r="U248">
        <v>6.8449999999999998</v>
      </c>
      <c r="V248">
        <f>SUM(S248:U248)</f>
        <v>14.734999999999999</v>
      </c>
      <c r="W248" s="152">
        <f t="shared" si="58"/>
        <v>7.3576844769656242</v>
      </c>
    </row>
    <row r="249" spans="1:23" ht="16.2" thickBot="1" x14ac:dyDescent="0.35">
      <c r="A249" s="56" t="s">
        <v>90</v>
      </c>
      <c r="B249" s="42">
        <v>1268.6131680000003</v>
      </c>
      <c r="C249" s="40">
        <v>794.88523275000011</v>
      </c>
      <c r="D249" s="41">
        <f>IFERROR((C249-B249)/B249,100%)</f>
        <v>-0.37342189660292102</v>
      </c>
      <c r="E249" s="40">
        <v>37712378.399999999</v>
      </c>
      <c r="F249" s="40">
        <v>39088654.563000008</v>
      </c>
      <c r="G249" s="39">
        <f t="shared" si="52"/>
        <v>3.6494016590584752E-2</v>
      </c>
      <c r="H249" s="150">
        <f t="shared" si="53"/>
        <v>2.1789867292224551E-2</v>
      </c>
      <c r="I249" s="150">
        <f>B249/$B$3</f>
        <v>2.298308552328553E-2</v>
      </c>
      <c r="J249" s="204">
        <v>750</v>
      </c>
      <c r="K249" s="36">
        <v>450.00000000000006</v>
      </c>
      <c r="L249" s="36">
        <v>480</v>
      </c>
      <c r="M249" s="36">
        <v>1680</v>
      </c>
      <c r="N249" s="36">
        <f t="shared" si="54"/>
        <v>828.01495710453298</v>
      </c>
      <c r="O249" s="36">
        <f t="shared" si="55"/>
        <v>536.030735388724</v>
      </c>
      <c r="P249" s="36">
        <f t="shared" si="56"/>
        <v>588.32641689006289</v>
      </c>
      <c r="Q249" s="148">
        <f t="shared" si="57"/>
        <v>1952.3721093833196</v>
      </c>
      <c r="R249" s="41"/>
      <c r="S249" s="42">
        <f>SUM(S241:S248)</f>
        <v>509.33135000000004</v>
      </c>
      <c r="T249" s="42">
        <f>SUM(T241:T248)</f>
        <v>263.09000000000003</v>
      </c>
      <c r="U249" s="42">
        <f>SUM(U241:U248)</f>
        <v>228.2</v>
      </c>
      <c r="V249" s="147">
        <f>SUM(V241:V248)</f>
        <v>1000.62135</v>
      </c>
      <c r="W249" s="146">
        <f t="shared" si="58"/>
        <v>0.95115975626876204</v>
      </c>
    </row>
    <row r="250" spans="1:23" ht="16.2" customHeight="1" thickBot="1" x14ac:dyDescent="0.35">
      <c r="A250" s="35" t="s">
        <v>89</v>
      </c>
      <c r="B250" s="34">
        <v>2703.5921610000005</v>
      </c>
      <c r="C250" s="32">
        <v>1553.257188</v>
      </c>
      <c r="D250" s="33">
        <f>IFERROR((C250-B250)/B250,100%)</f>
        <v>-0.42548391343704606</v>
      </c>
      <c r="E250" s="32">
        <v>91176663.730199993</v>
      </c>
      <c r="F250" s="32">
        <v>87092475.813000008</v>
      </c>
      <c r="G250" s="31">
        <f t="shared" si="52"/>
        <v>-4.4794224202866932E-2</v>
      </c>
      <c r="H250" s="144">
        <f t="shared" si="53"/>
        <v>4.2578810880813757E-2</v>
      </c>
      <c r="I250" s="144">
        <f>B250/$B$3</f>
        <v>4.8980170964414378E-2</v>
      </c>
      <c r="J250" s="203">
        <v>1650</v>
      </c>
      <c r="K250" s="202">
        <v>990</v>
      </c>
      <c r="L250" s="202">
        <v>1056</v>
      </c>
      <c r="M250" s="202">
        <v>3696</v>
      </c>
      <c r="N250" s="28">
        <f t="shared" si="54"/>
        <v>1617.9948134709227</v>
      </c>
      <c r="O250" s="28">
        <f t="shared" si="55"/>
        <v>1047.4387476680183</v>
      </c>
      <c r="P250" s="28">
        <f t="shared" si="56"/>
        <v>1149.6278937819714</v>
      </c>
      <c r="Q250" s="143">
        <f t="shared" si="57"/>
        <v>3815.0614549209122</v>
      </c>
      <c r="R250" s="142"/>
      <c r="S250" s="34">
        <f>S249+S240</f>
        <v>1101.3148500000002</v>
      </c>
      <c r="T250" s="34">
        <f>T249+T240</f>
        <v>630.13</v>
      </c>
      <c r="U250" s="34">
        <f>U249+U240</f>
        <v>487.03500000000003</v>
      </c>
      <c r="V250" s="141">
        <f>V249+V240</f>
        <v>2218.4798499999997</v>
      </c>
      <c r="W250" s="140">
        <f t="shared" si="58"/>
        <v>0.71967370130538377</v>
      </c>
    </row>
    <row r="251" spans="1:23" ht="16.2" customHeight="1" x14ac:dyDescent="0.3">
      <c r="A251" s="58" t="s">
        <v>88</v>
      </c>
      <c r="B251" s="157">
        <v>0</v>
      </c>
      <c r="C251" s="5">
        <v>46.780387500000003</v>
      </c>
      <c r="D251" s="50">
        <f>IFERROR((C251-B251)/B251,100%)</f>
        <v>1</v>
      </c>
      <c r="E251" s="49">
        <v>0</v>
      </c>
      <c r="F251" s="49">
        <v>3429367.6825997033</v>
      </c>
      <c r="G251" s="48">
        <f t="shared" si="52"/>
        <v>1</v>
      </c>
      <c r="H251" s="207">
        <f t="shared" si="53"/>
        <v>1.2823718362175603E-3</v>
      </c>
      <c r="I251" s="206">
        <f>B251/$B$3</f>
        <v>0</v>
      </c>
      <c r="J251" s="205">
        <v>56.817730518270238</v>
      </c>
      <c r="K251" s="205">
        <v>34.090638310962142</v>
      </c>
      <c r="L251" s="205">
        <v>36.363347531692952</v>
      </c>
      <c r="M251" s="154">
        <v>127.27171636092534</v>
      </c>
      <c r="N251" s="45">
        <f t="shared" si="54"/>
        <v>48.73012977626729</v>
      </c>
      <c r="O251" s="45">
        <f t="shared" si="55"/>
        <v>31.546347170951982</v>
      </c>
      <c r="P251" s="45">
        <f t="shared" si="56"/>
        <v>34.624039577874129</v>
      </c>
      <c r="Q251" s="45">
        <f t="shared" si="57"/>
        <v>114.90051652509339</v>
      </c>
      <c r="R251" s="153">
        <f t="shared" ref="R251:R256" si="66">Q251/M251-1</f>
        <v>-9.7203056496455997E-2</v>
      </c>
      <c r="S251">
        <v>0</v>
      </c>
      <c r="T251">
        <v>38.06</v>
      </c>
      <c r="U251">
        <v>20.504999999999999</v>
      </c>
      <c r="V251">
        <f>SUM(S251:U251)</f>
        <v>58.564999999999998</v>
      </c>
      <c r="W251" s="152">
        <f t="shared" si="58"/>
        <v>0.96193146973607779</v>
      </c>
    </row>
    <row r="252" spans="1:23" ht="16.2" customHeight="1" x14ac:dyDescent="0.3">
      <c r="A252" s="166" t="s">
        <v>87</v>
      </c>
      <c r="B252" s="157">
        <v>0</v>
      </c>
      <c r="C252" s="5">
        <v>47.787806850000003</v>
      </c>
      <c r="D252" s="50">
        <f>IFERROR((C252-B252)/B252,100%)</f>
        <v>1</v>
      </c>
      <c r="E252" s="49">
        <v>0</v>
      </c>
      <c r="F252" s="49">
        <v>3507858.3102326086</v>
      </c>
      <c r="G252" s="48">
        <f t="shared" si="52"/>
        <v>1</v>
      </c>
      <c r="H252" s="207">
        <f t="shared" si="53"/>
        <v>1.3099878152793112E-3</v>
      </c>
      <c r="I252" s="206">
        <f>B252/$B$3</f>
        <v>0</v>
      </c>
      <c r="J252" s="205">
        <v>55.681375907904844</v>
      </c>
      <c r="K252" s="205">
        <v>33.408825544742903</v>
      </c>
      <c r="L252" s="205">
        <v>35.636080581059097</v>
      </c>
      <c r="M252" s="154">
        <v>124.72628203370684</v>
      </c>
      <c r="N252" s="45">
        <f t="shared" si="54"/>
        <v>49.779536980613827</v>
      </c>
      <c r="O252" s="45">
        <f t="shared" si="55"/>
        <v>32.225700255871054</v>
      </c>
      <c r="P252" s="45">
        <f t="shared" si="56"/>
        <v>35.369671012541403</v>
      </c>
      <c r="Q252" s="45">
        <f t="shared" si="57"/>
        <v>117.37490824902628</v>
      </c>
      <c r="R252" s="153">
        <f t="shared" si="66"/>
        <v>-5.8940053890918387E-2</v>
      </c>
      <c r="W252" s="152">
        <f t="shared" si="58"/>
        <v>1</v>
      </c>
    </row>
    <row r="253" spans="1:23" ht="16.2" customHeight="1" x14ac:dyDescent="0.3">
      <c r="A253" s="57" t="s">
        <v>86</v>
      </c>
      <c r="B253" s="157">
        <v>509.88973799999997</v>
      </c>
      <c r="C253" s="5">
        <v>97.047725250000013</v>
      </c>
      <c r="D253" s="50">
        <f>IFERROR((C253-B253)/B253,100%)</f>
        <v>-0.80966919312661279</v>
      </c>
      <c r="E253" s="49">
        <v>13349194.92</v>
      </c>
      <c r="F253" s="49">
        <v>3852193.981588359</v>
      </c>
      <c r="G253" s="48">
        <f t="shared" si="52"/>
        <v>-0.71142874123315614</v>
      </c>
      <c r="H253" s="207">
        <f t="shared" si="53"/>
        <v>2.6603300288946898E-3</v>
      </c>
      <c r="I253" s="206">
        <f>B253/$B$3</f>
        <v>9.2375199560435651E-3</v>
      </c>
      <c r="J253" s="205">
        <v>81.818460334698685</v>
      </c>
      <c r="K253" s="205">
        <v>49.091076200819209</v>
      </c>
      <c r="L253" s="205">
        <v>52.363814614207158</v>
      </c>
      <c r="M253" s="154">
        <v>183.27335114972504</v>
      </c>
      <c r="N253" s="45">
        <f t="shared" si="54"/>
        <v>101.09254109799821</v>
      </c>
      <c r="O253" s="45">
        <f t="shared" si="55"/>
        <v>65.444118710809363</v>
      </c>
      <c r="P253" s="45">
        <f t="shared" si="56"/>
        <v>71.828910780156619</v>
      </c>
      <c r="Q253" s="45">
        <f t="shared" si="57"/>
        <v>238.3655705889642</v>
      </c>
      <c r="R253" s="153">
        <f t="shared" si="66"/>
        <v>0.3006013645389809</v>
      </c>
      <c r="S253">
        <v>141.01900000000001</v>
      </c>
      <c r="T253">
        <v>39.65</v>
      </c>
      <c r="U253">
        <v>21.357500000000002</v>
      </c>
      <c r="V253">
        <f>SUM(S253:U253)</f>
        <v>202.0265</v>
      </c>
      <c r="W253" s="152">
        <f t="shared" si="58"/>
        <v>0.17987279188108593</v>
      </c>
    </row>
    <row r="254" spans="1:23" ht="16.2" customHeight="1" x14ac:dyDescent="0.3">
      <c r="A254" s="57" t="s">
        <v>85</v>
      </c>
      <c r="B254" s="157">
        <v>0</v>
      </c>
      <c r="C254" s="5">
        <v>39.464114549999998</v>
      </c>
      <c r="D254" s="50">
        <f>IFERROR((C254-B254)/B254,100%)</f>
        <v>1</v>
      </c>
      <c r="E254" s="49">
        <v>0</v>
      </c>
      <c r="F254" s="49">
        <v>2886421.0078025959</v>
      </c>
      <c r="G254" s="48">
        <f t="shared" si="52"/>
        <v>1</v>
      </c>
      <c r="H254" s="207">
        <f t="shared" si="53"/>
        <v>1.0818138058429642E-3</v>
      </c>
      <c r="I254" s="206">
        <f>B254/$B$3</f>
        <v>0</v>
      </c>
      <c r="J254" s="205">
        <v>52.841088966159553</v>
      </c>
      <c r="K254" s="205">
        <v>31.704653379695731</v>
      </c>
      <c r="L254" s="205">
        <v>33.818296938342115</v>
      </c>
      <c r="M254" s="154">
        <v>118.3640392841974</v>
      </c>
      <c r="N254" s="45">
        <f t="shared" si="54"/>
        <v>41.108924622032639</v>
      </c>
      <c r="O254" s="45">
        <f t="shared" si="55"/>
        <v>26.612619623736919</v>
      </c>
      <c r="P254" s="45">
        <f t="shared" si="56"/>
        <v>29.208972757760034</v>
      </c>
      <c r="Q254" s="45">
        <f t="shared" si="57"/>
        <v>96.930517003529602</v>
      </c>
      <c r="R254" s="153">
        <f t="shared" si="66"/>
        <v>-0.18108136905673644</v>
      </c>
      <c r="S254">
        <v>0</v>
      </c>
      <c r="T254">
        <v>34.89</v>
      </c>
      <c r="U254">
        <v>18.795000000000002</v>
      </c>
      <c r="V254">
        <f>SUM(S254:U254)</f>
        <v>53.685000000000002</v>
      </c>
      <c r="W254" s="152">
        <f t="shared" si="58"/>
        <v>0.80554190190052333</v>
      </c>
    </row>
    <row r="255" spans="1:23" ht="16.2" customHeight="1" x14ac:dyDescent="0.3">
      <c r="A255" s="57" t="s">
        <v>84</v>
      </c>
      <c r="B255" s="157">
        <v>0</v>
      </c>
      <c r="C255" s="5">
        <v>39.464114549999998</v>
      </c>
      <c r="D255" s="50">
        <f>IFERROR((C255-B255)/B255,100%)</f>
        <v>1</v>
      </c>
      <c r="E255" s="49">
        <v>0</v>
      </c>
      <c r="F255" s="49">
        <v>2886421.0078025959</v>
      </c>
      <c r="G255" s="48">
        <f t="shared" si="52"/>
        <v>1</v>
      </c>
      <c r="H255" s="207">
        <f t="shared" si="53"/>
        <v>1.0818138058429642E-3</v>
      </c>
      <c r="I255" s="206">
        <f>B255/$B$3</f>
        <v>0</v>
      </c>
      <c r="J255" s="205">
        <v>52.841088966159553</v>
      </c>
      <c r="K255" s="205">
        <v>31.704653379695731</v>
      </c>
      <c r="L255" s="205">
        <v>33.818296938342115</v>
      </c>
      <c r="M255" s="154">
        <v>118.3640392841974</v>
      </c>
      <c r="N255" s="45">
        <f t="shared" si="54"/>
        <v>41.108924622032639</v>
      </c>
      <c r="O255" s="45">
        <f t="shared" si="55"/>
        <v>26.612619623736919</v>
      </c>
      <c r="P255" s="45">
        <f t="shared" si="56"/>
        <v>29.208972757760034</v>
      </c>
      <c r="Q255" s="45">
        <f t="shared" si="57"/>
        <v>96.930517003529602</v>
      </c>
      <c r="R255" s="153">
        <f t="shared" si="66"/>
        <v>-0.18108136905673644</v>
      </c>
      <c r="S255">
        <v>0</v>
      </c>
      <c r="T255">
        <v>15.86</v>
      </c>
      <c r="U255">
        <v>8.5425000000000004</v>
      </c>
      <c r="V255">
        <f>SUM(S255:U255)</f>
        <v>24.4025</v>
      </c>
      <c r="W255" s="152">
        <f t="shared" si="58"/>
        <v>2.9721551891621596</v>
      </c>
    </row>
    <row r="256" spans="1:23" ht="16.2" customHeight="1" thickBot="1" x14ac:dyDescent="0.35">
      <c r="A256" s="59" t="s">
        <v>83</v>
      </c>
      <c r="B256" s="157">
        <v>0</v>
      </c>
      <c r="C256" s="5">
        <v>49.613204550000006</v>
      </c>
      <c r="D256" s="50">
        <f>IFERROR((C256-B256)/B256,100%)</f>
        <v>1</v>
      </c>
      <c r="E256" s="49">
        <v>0</v>
      </c>
      <c r="F256" s="49">
        <v>3531179.5389741389</v>
      </c>
      <c r="G256" s="48">
        <f t="shared" si="52"/>
        <v>1</v>
      </c>
      <c r="H256" s="207">
        <f t="shared" si="53"/>
        <v>1.3600267039134918E-3</v>
      </c>
      <c r="I256" s="206">
        <f>B256/$B$3</f>
        <v>0</v>
      </c>
      <c r="J256" s="205">
        <v>75.000255306807119</v>
      </c>
      <c r="K256" s="205">
        <v>45.000153184084276</v>
      </c>
      <c r="L256" s="205">
        <v>48.000163396356562</v>
      </c>
      <c r="M256" s="154">
        <v>168.00057188724796</v>
      </c>
      <c r="N256" s="45">
        <f t="shared" si="54"/>
        <v>51.681014748712691</v>
      </c>
      <c r="O256" s="45">
        <f t="shared" si="55"/>
        <v>33.456656916271896</v>
      </c>
      <c r="P256" s="45">
        <f t="shared" si="56"/>
        <v>36.720721005664281</v>
      </c>
      <c r="Q256" s="45">
        <f t="shared" si="57"/>
        <v>121.85839267064887</v>
      </c>
      <c r="R256" s="153">
        <f t="shared" si="66"/>
        <v>-0.27465489372004637</v>
      </c>
      <c r="S256">
        <v>0</v>
      </c>
      <c r="T256">
        <v>30.13</v>
      </c>
      <c r="U256">
        <v>16.232500000000002</v>
      </c>
      <c r="V256">
        <f>SUM(S256:U256)</f>
        <v>46.362499999999997</v>
      </c>
      <c r="W256" s="152">
        <f t="shared" si="58"/>
        <v>1.6283826944329765</v>
      </c>
    </row>
    <row r="257" spans="1:23" ht="16.2" thickBot="1" x14ac:dyDescent="0.35">
      <c r="A257" s="56" t="s">
        <v>82</v>
      </c>
      <c r="B257" s="42">
        <v>509.88973799999997</v>
      </c>
      <c r="C257" s="40">
        <v>320.15735325000003</v>
      </c>
      <c r="D257" s="41">
        <f>IFERROR((C257-B257)/B257,100%)</f>
        <v>-0.37210473286677509</v>
      </c>
      <c r="E257" s="40">
        <v>13349194.92</v>
      </c>
      <c r="F257" s="40">
        <v>20093441.529000003</v>
      </c>
      <c r="G257" s="39">
        <f t="shared" si="52"/>
        <v>0.50521747936241856</v>
      </c>
      <c r="H257" s="150">
        <f t="shared" si="53"/>
        <v>8.7763439959909813E-3</v>
      </c>
      <c r="I257" s="150">
        <f>B257/$B$3</f>
        <v>9.2375199560435651E-3</v>
      </c>
      <c r="J257" s="204">
        <v>375</v>
      </c>
      <c r="K257" s="36">
        <v>225</v>
      </c>
      <c r="L257" s="36">
        <v>240</v>
      </c>
      <c r="M257" s="36">
        <v>840</v>
      </c>
      <c r="N257" s="36">
        <f t="shared" si="54"/>
        <v>333.50107184765727</v>
      </c>
      <c r="O257" s="36">
        <f t="shared" si="55"/>
        <v>215.89806230137813</v>
      </c>
      <c r="P257" s="36">
        <f t="shared" si="56"/>
        <v>236.96128789175648</v>
      </c>
      <c r="Q257" s="148">
        <f t="shared" si="57"/>
        <v>786.36042204079183</v>
      </c>
      <c r="R257" s="41"/>
      <c r="S257" s="42">
        <f>SUM(S251:S256)</f>
        <v>141.01900000000001</v>
      </c>
      <c r="T257" s="42">
        <f>SUM(T251:T256)</f>
        <v>158.59</v>
      </c>
      <c r="U257" s="42">
        <f>SUM(U251:U256)</f>
        <v>85.432500000000005</v>
      </c>
      <c r="V257" s="147">
        <f>SUM(V251:V256)</f>
        <v>385.04149999999998</v>
      </c>
      <c r="W257" s="146">
        <f t="shared" si="58"/>
        <v>1.0422744614302404</v>
      </c>
    </row>
    <row r="258" spans="1:23" ht="16.2" customHeight="1" x14ac:dyDescent="0.3">
      <c r="A258" s="58" t="s">
        <v>81</v>
      </c>
      <c r="B258" s="157">
        <v>0</v>
      </c>
      <c r="C258" s="5">
        <v>123.54555255</v>
      </c>
      <c r="D258" s="50">
        <f>IFERROR((C258-B258)/B258,100%)</f>
        <v>1</v>
      </c>
      <c r="E258" s="49">
        <v>0</v>
      </c>
      <c r="F258" s="49">
        <v>7479826.1411501793</v>
      </c>
      <c r="G258" s="48">
        <f t="shared" si="52"/>
        <v>1</v>
      </c>
      <c r="H258" s="207">
        <f t="shared" si="53"/>
        <v>3.3867042482291659E-3</v>
      </c>
      <c r="I258" s="206">
        <f>B258/$B$3</f>
        <v>0</v>
      </c>
      <c r="J258" s="205">
        <v>180.87218516389822</v>
      </c>
      <c r="K258" s="205">
        <v>108.52331109833894</v>
      </c>
      <c r="L258" s="205">
        <v>115.75819850489486</v>
      </c>
      <c r="M258" s="154">
        <v>405.15369476713204</v>
      </c>
      <c r="N258" s="45">
        <f t="shared" si="54"/>
        <v>128.6947614327083</v>
      </c>
      <c r="O258" s="45">
        <f t="shared" si="55"/>
        <v>83.312924506437483</v>
      </c>
      <c r="P258" s="45">
        <f t="shared" si="56"/>
        <v>91.441014702187474</v>
      </c>
      <c r="Q258" s="45">
        <f t="shared" si="57"/>
        <v>303.44870064133329</v>
      </c>
      <c r="R258" s="153">
        <f>Q258/M258-1</f>
        <v>-0.25102817878596706</v>
      </c>
      <c r="S258">
        <v>0</v>
      </c>
      <c r="T258">
        <v>115.2</v>
      </c>
      <c r="U258">
        <v>57.844999999999999</v>
      </c>
      <c r="V258">
        <f>SUM(S258:U258)</f>
        <v>173.04500000000002</v>
      </c>
      <c r="W258" s="152">
        <f t="shared" si="58"/>
        <v>0.75358259782908066</v>
      </c>
    </row>
    <row r="259" spans="1:23" ht="16.2" customHeight="1" x14ac:dyDescent="0.3">
      <c r="A259" s="57" t="s">
        <v>80</v>
      </c>
      <c r="B259" s="157">
        <v>0</v>
      </c>
      <c r="C259" s="5">
        <v>169.92598349999997</v>
      </c>
      <c r="D259" s="50">
        <f>IFERROR((C259-B259)/B259,100%)</f>
        <v>1</v>
      </c>
      <c r="E259" s="49">
        <v>91800</v>
      </c>
      <c r="F259" s="49">
        <v>8089617.7763976837</v>
      </c>
      <c r="G259" s="48">
        <f t="shared" si="52"/>
        <v>87.122197999974773</v>
      </c>
      <c r="H259" s="207">
        <f t="shared" si="53"/>
        <v>4.6581122373552334E-3</v>
      </c>
      <c r="I259" s="206">
        <f>B259/$B$3</f>
        <v>0</v>
      </c>
      <c r="J259" s="205">
        <v>168.81403948630495</v>
      </c>
      <c r="K259" s="205">
        <v>101.28842369178297</v>
      </c>
      <c r="L259" s="205">
        <v>108.04098527123517</v>
      </c>
      <c r="M259" s="154">
        <v>378.1434484493231</v>
      </c>
      <c r="N259" s="45">
        <f t="shared" si="54"/>
        <v>177.00826501949888</v>
      </c>
      <c r="O259" s="45">
        <f t="shared" si="55"/>
        <v>114.58956103893874</v>
      </c>
      <c r="P259" s="45">
        <f t="shared" si="56"/>
        <v>125.76903040859131</v>
      </c>
      <c r="Q259" s="45">
        <f t="shared" si="57"/>
        <v>417.36685646702892</v>
      </c>
      <c r="R259" s="153">
        <f>Q259/M259-1</f>
        <v>0.1037262662583518</v>
      </c>
      <c r="S259">
        <v>0</v>
      </c>
      <c r="T259">
        <v>111.23</v>
      </c>
      <c r="U259">
        <v>55.85</v>
      </c>
      <c r="V259">
        <f>SUM(S259:U259)</f>
        <v>167.08</v>
      </c>
      <c r="W259" s="152">
        <f t="shared" si="58"/>
        <v>1.4980060837145612</v>
      </c>
    </row>
    <row r="260" spans="1:23" ht="16.2" customHeight="1" x14ac:dyDescent="0.3">
      <c r="A260" s="57" t="s">
        <v>79</v>
      </c>
      <c r="B260" s="157">
        <v>0</v>
      </c>
      <c r="C260" s="5">
        <v>25.318661550000002</v>
      </c>
      <c r="D260" s="50">
        <f>IFERROR((C260-B260)/B260,100%)</f>
        <v>1</v>
      </c>
      <c r="E260" s="49">
        <v>0</v>
      </c>
      <c r="F260" s="49">
        <v>1589672.9813973701</v>
      </c>
      <c r="G260" s="48">
        <f t="shared" si="52"/>
        <v>1</v>
      </c>
      <c r="H260" s="207">
        <f t="shared" si="53"/>
        <v>6.940502256943562E-4</v>
      </c>
      <c r="I260" s="206">
        <f>B260/$B$3</f>
        <v>0</v>
      </c>
      <c r="J260" s="205">
        <v>31.35117876174235</v>
      </c>
      <c r="K260" s="205">
        <v>18.810707257045411</v>
      </c>
      <c r="L260" s="205">
        <v>20.064754407515103</v>
      </c>
      <c r="M260" s="154">
        <v>70.226640426302865</v>
      </c>
      <c r="N260" s="45">
        <f t="shared" si="54"/>
        <v>26.373908576385535</v>
      </c>
      <c r="O260" s="45">
        <f t="shared" si="55"/>
        <v>17.073635552081164</v>
      </c>
      <c r="P260" s="45">
        <f t="shared" si="56"/>
        <v>18.739356093747617</v>
      </c>
      <c r="Q260" s="45">
        <f t="shared" si="57"/>
        <v>62.186900222214319</v>
      </c>
      <c r="R260" s="153">
        <f>Q260/M260-1</f>
        <v>-0.11448276829539639</v>
      </c>
      <c r="S260">
        <v>0</v>
      </c>
      <c r="T260">
        <v>11.92</v>
      </c>
      <c r="U260">
        <v>5.9850000000000003</v>
      </c>
      <c r="V260">
        <f>SUM(S260:U260)</f>
        <v>17.905000000000001</v>
      </c>
      <c r="W260" s="152">
        <f t="shared" si="58"/>
        <v>2.4731583480711707</v>
      </c>
    </row>
    <row r="261" spans="1:23" ht="16.2" customHeight="1" x14ac:dyDescent="0.3">
      <c r="A261" s="57" t="s">
        <v>78</v>
      </c>
      <c r="B261" s="157">
        <v>1022.253435</v>
      </c>
      <c r="C261" s="5">
        <v>200.3466066</v>
      </c>
      <c r="D261" s="50">
        <f>IFERROR((C261-B261)/B261,100%)</f>
        <v>-0.80401473867387885</v>
      </c>
      <c r="E261" s="49">
        <v>19149480</v>
      </c>
      <c r="F261" s="49">
        <v>11309590.849618679</v>
      </c>
      <c r="G261" s="48">
        <f t="shared" ref="G261:G324" si="67">IFERROR((F261-E261)/E261,100%)</f>
        <v>-0.40940480631230303</v>
      </c>
      <c r="H261" s="207">
        <f t="shared" ref="H261:H324" si="68">C261/$C$3</f>
        <v>5.4920204708778682E-3</v>
      </c>
      <c r="I261" s="206">
        <f>B261/$B$3</f>
        <v>1.8519859887720633E-2</v>
      </c>
      <c r="J261" s="205">
        <v>231.52218491971485</v>
      </c>
      <c r="K261" s="205">
        <v>138.91331095182889</v>
      </c>
      <c r="L261" s="205">
        <v>148.17419834861749</v>
      </c>
      <c r="M261" s="154">
        <v>518.60969422016115</v>
      </c>
      <c r="N261" s="45">
        <f t="shared" ref="N261:N324" si="69">$N$3*H261</f>
        <v>208.69677789335898</v>
      </c>
      <c r="O261" s="45">
        <f t="shared" ref="O261:O324" si="70">$O$3*H261</f>
        <v>135.10370358359555</v>
      </c>
      <c r="P261" s="45">
        <f t="shared" ref="P261:P324" si="71">$P$3*H261</f>
        <v>148.28455271370245</v>
      </c>
      <c r="Q261" s="45">
        <f t="shared" ref="Q261:Q324" si="72">SUM(N261:P261)</f>
        <v>492.08503419065698</v>
      </c>
      <c r="R261" s="153">
        <f>Q261/M261-1</f>
        <v>-5.1145708082818597E-2</v>
      </c>
      <c r="S261">
        <v>238.989</v>
      </c>
      <c r="T261">
        <v>158.9</v>
      </c>
      <c r="U261">
        <v>79.784999999999997</v>
      </c>
      <c r="V261">
        <f>SUM(S261:U261)</f>
        <v>477.67399999999998</v>
      </c>
      <c r="W261" s="152">
        <f t="shared" ref="W261:W324" si="73">IFERROR((Q261-V261)/V261,100%)</f>
        <v>3.0169182728507323E-2</v>
      </c>
    </row>
    <row r="262" spans="1:23" ht="16.2" customHeight="1" thickBot="1" x14ac:dyDescent="0.35">
      <c r="A262" s="59" t="s">
        <v>77</v>
      </c>
      <c r="B262" s="157">
        <v>573.42564000000004</v>
      </c>
      <c r="C262" s="5">
        <v>320.51197500000001</v>
      </c>
      <c r="D262" s="50">
        <f>IFERROR((C262-B262)/B262,100%)</f>
        <v>-0.44105747521160726</v>
      </c>
      <c r="E262" s="49">
        <v>16190460</v>
      </c>
      <c r="F262" s="49">
        <v>16111652.550000001</v>
      </c>
      <c r="G262" s="48">
        <f t="shared" si="67"/>
        <v>-4.8675238381120272E-3</v>
      </c>
      <c r="H262" s="207">
        <f t="shared" si="68"/>
        <v>8.7860650985515393E-3</v>
      </c>
      <c r="I262" s="206">
        <f>B262/$B$3</f>
        <v>1.0388580899047343E-2</v>
      </c>
      <c r="J262" s="205">
        <v>326.44041166833966</v>
      </c>
      <c r="K262" s="205">
        <v>195.8642470010038</v>
      </c>
      <c r="L262" s="205">
        <v>208.92186346773738</v>
      </c>
      <c r="M262" s="154">
        <v>731.22652213708079</v>
      </c>
      <c r="N262" s="45">
        <f t="shared" si="69"/>
        <v>333.87047374495847</v>
      </c>
      <c r="O262" s="45">
        <f t="shared" si="70"/>
        <v>216.13720142436787</v>
      </c>
      <c r="P262" s="45">
        <f t="shared" si="71"/>
        <v>237.22375766089155</v>
      </c>
      <c r="Q262" s="45">
        <f t="shared" si="72"/>
        <v>787.23143283021795</v>
      </c>
      <c r="R262" s="153">
        <f>Q262/M262-1</f>
        <v>7.6590371106148192E-2</v>
      </c>
      <c r="S262">
        <v>160.30450000000002</v>
      </c>
      <c r="T262">
        <v>160.27000000000001</v>
      </c>
      <c r="U262">
        <v>120.565</v>
      </c>
      <c r="V262">
        <f>SUM(S262:U262)</f>
        <v>441.13950000000006</v>
      </c>
      <c r="W262" s="152">
        <f t="shared" si="73"/>
        <v>0.78454079226688578</v>
      </c>
    </row>
    <row r="263" spans="1:23" ht="16.2" thickBot="1" x14ac:dyDescent="0.35">
      <c r="A263" s="56" t="s">
        <v>76</v>
      </c>
      <c r="B263" s="42">
        <v>1595.679075</v>
      </c>
      <c r="C263" s="40">
        <v>839.64877919999992</v>
      </c>
      <c r="D263" s="41">
        <f>IFERROR((C263-B263)/B263,100%)</f>
        <v>-0.473798464644277</v>
      </c>
      <c r="E263" s="40">
        <v>35431740</v>
      </c>
      <c r="F263" s="40">
        <v>44580360.298563913</v>
      </c>
      <c r="G263" s="39">
        <f t="shared" si="67"/>
        <v>0.25820409323854582</v>
      </c>
      <c r="H263" s="150">
        <f t="shared" si="68"/>
        <v>2.3016952280708162E-2</v>
      </c>
      <c r="I263" s="150">
        <f>B263/$B$3</f>
        <v>2.8908440786767978E-2</v>
      </c>
      <c r="J263" s="204">
        <v>939</v>
      </c>
      <c r="K263" s="36">
        <v>563.4</v>
      </c>
      <c r="L263" s="36">
        <v>600.96</v>
      </c>
      <c r="M263" s="36">
        <v>2103.36</v>
      </c>
      <c r="N263" s="36">
        <f t="shared" si="69"/>
        <v>874.64418666691017</v>
      </c>
      <c r="O263" s="36">
        <f t="shared" si="70"/>
        <v>566.21702610542081</v>
      </c>
      <c r="P263" s="36">
        <f t="shared" si="71"/>
        <v>621.45771157912031</v>
      </c>
      <c r="Q263" s="148">
        <f t="shared" si="72"/>
        <v>2062.3189243514512</v>
      </c>
      <c r="R263" s="41"/>
      <c r="S263" s="42">
        <f>SUM(S258:S262)</f>
        <v>399.29349999999999</v>
      </c>
      <c r="T263" s="42">
        <f>SUM(T258:T262)</f>
        <v>557.52</v>
      </c>
      <c r="U263" s="42">
        <f>SUM(U258:U262)</f>
        <v>320.02999999999997</v>
      </c>
      <c r="V263" s="147">
        <f>SUM(V258:V262)</f>
        <v>1276.8434999999999</v>
      </c>
      <c r="W263" s="146">
        <f t="shared" si="73"/>
        <v>0.61516969335039984</v>
      </c>
    </row>
    <row r="264" spans="1:23" ht="16.2" customHeight="1" x14ac:dyDescent="0.3">
      <c r="A264" s="63" t="s">
        <v>75</v>
      </c>
      <c r="B264" s="157">
        <v>797.28687600000001</v>
      </c>
      <c r="C264" s="5">
        <v>161.39933250000001</v>
      </c>
      <c r="D264" s="50">
        <f>IFERROR((C264-B264)/B264,100%)</f>
        <v>-0.79756429290578212</v>
      </c>
      <c r="E264" s="49">
        <v>20680919.219999999</v>
      </c>
      <c r="F264" s="49">
        <v>9385640.25</v>
      </c>
      <c r="G264" s="48">
        <f t="shared" si="67"/>
        <v>-0.54616909673321568</v>
      </c>
      <c r="H264" s="207">
        <f t="shared" si="68"/>
        <v>4.4243746031884315E-3</v>
      </c>
      <c r="I264" s="206">
        <f>B264/$B$3</f>
        <v>1.4444207990202055E-2</v>
      </c>
      <c r="J264" s="205">
        <v>202.29226376374416</v>
      </c>
      <c r="K264" s="205">
        <v>121.37535825824649</v>
      </c>
      <c r="L264" s="205">
        <v>129.46704880879625</v>
      </c>
      <c r="M264" s="154">
        <v>453.13467083078694</v>
      </c>
      <c r="N264" s="45">
        <f t="shared" si="69"/>
        <v>168.1262349211604</v>
      </c>
      <c r="O264" s="45">
        <f t="shared" si="70"/>
        <v>108.83961523843541</v>
      </c>
      <c r="P264" s="45">
        <f t="shared" si="71"/>
        <v>119.45811428608765</v>
      </c>
      <c r="Q264" s="45">
        <f t="shared" si="72"/>
        <v>396.42396444568345</v>
      </c>
      <c r="R264" s="153">
        <f t="shared" ref="R264:R269" si="74">Q264/M264-1</f>
        <v>-0.12515199130785748</v>
      </c>
      <c r="S264">
        <v>314.06975</v>
      </c>
      <c r="T264">
        <v>86.49</v>
      </c>
      <c r="U264">
        <v>74.817499999999995</v>
      </c>
      <c r="V264">
        <f>SUM(S264:U264)</f>
        <v>475.37725</v>
      </c>
      <c r="W264" s="152">
        <f t="shared" si="73"/>
        <v>-0.16608553639097484</v>
      </c>
    </row>
    <row r="265" spans="1:23" ht="16.2" customHeight="1" x14ac:dyDescent="0.3">
      <c r="A265" s="62" t="s">
        <v>74</v>
      </c>
      <c r="B265" s="157">
        <v>0</v>
      </c>
      <c r="C265" s="5">
        <v>387.11154510000006</v>
      </c>
      <c r="D265" s="50">
        <f>IFERROR((C265-B265)/B265,100%)</f>
        <v>1</v>
      </c>
      <c r="E265" s="49">
        <v>0</v>
      </c>
      <c r="F265" s="49">
        <v>25069960.819857974</v>
      </c>
      <c r="G265" s="48">
        <f t="shared" si="67"/>
        <v>1</v>
      </c>
      <c r="H265" s="207">
        <f t="shared" si="68"/>
        <v>1.0611732168975811E-2</v>
      </c>
      <c r="I265" s="206">
        <f>B265/$B$3</f>
        <v>0</v>
      </c>
      <c r="J265" s="205">
        <v>160.20652892501317</v>
      </c>
      <c r="K265" s="205">
        <v>96.123917355007904</v>
      </c>
      <c r="L265" s="205">
        <v>102.53217851200844</v>
      </c>
      <c r="M265" s="154">
        <v>358.86262479202952</v>
      </c>
      <c r="N265" s="45">
        <f t="shared" si="69"/>
        <v>403.24582242108085</v>
      </c>
      <c r="O265" s="45">
        <f t="shared" si="70"/>
        <v>261.04861135680494</v>
      </c>
      <c r="P265" s="45">
        <f t="shared" si="71"/>
        <v>286.5167685623469</v>
      </c>
      <c r="Q265" s="45">
        <f t="shared" si="72"/>
        <v>950.81120234023274</v>
      </c>
      <c r="R265" s="153">
        <f t="shared" si="74"/>
        <v>1.6495130355000143</v>
      </c>
      <c r="S265">
        <v>0</v>
      </c>
      <c r="T265">
        <v>155.16999999999999</v>
      </c>
      <c r="U265">
        <v>134.23249999999999</v>
      </c>
      <c r="V265">
        <f>SUM(S265:U265)</f>
        <v>289.40249999999997</v>
      </c>
      <c r="W265" s="152">
        <f t="shared" si="73"/>
        <v>2.2854284338947757</v>
      </c>
    </row>
    <row r="266" spans="1:23" ht="16.2" customHeight="1" x14ac:dyDescent="0.3">
      <c r="A266" s="62" t="s">
        <v>73</v>
      </c>
      <c r="B266" s="157">
        <v>0</v>
      </c>
      <c r="C266" s="5">
        <v>116.61378750000002</v>
      </c>
      <c r="D266" s="50">
        <f>IFERROR((C266-B266)/B266,100%)</f>
        <v>1</v>
      </c>
      <c r="E266" s="49">
        <v>0</v>
      </c>
      <c r="F266" s="49">
        <v>9266292.8801420331</v>
      </c>
      <c r="G266" s="48">
        <f t="shared" si="67"/>
        <v>1</v>
      </c>
      <c r="H266" s="207">
        <f t="shared" si="68"/>
        <v>3.1966865773537978E-3</v>
      </c>
      <c r="I266" s="206">
        <f>B266/$B$3</f>
        <v>0</v>
      </c>
      <c r="J266" s="205">
        <v>54.550722812695042</v>
      </c>
      <c r="K266" s="205">
        <v>32.730433687617023</v>
      </c>
      <c r="L266" s="205">
        <v>34.912462600124826</v>
      </c>
      <c r="M266" s="154">
        <v>122.19361910043689</v>
      </c>
      <c r="N266" s="45">
        <f t="shared" si="69"/>
        <v>121.47408993944431</v>
      </c>
      <c r="O266" s="45">
        <f t="shared" si="70"/>
        <v>78.638489802903422</v>
      </c>
      <c r="P266" s="45">
        <f t="shared" si="71"/>
        <v>86.310537588552535</v>
      </c>
      <c r="Q266" s="45">
        <f t="shared" si="72"/>
        <v>286.42311733090025</v>
      </c>
      <c r="R266" s="153">
        <f t="shared" si="74"/>
        <v>1.3440104273814422</v>
      </c>
      <c r="S266">
        <v>0</v>
      </c>
      <c r="T266">
        <v>12.72</v>
      </c>
      <c r="U266">
        <v>11.0025</v>
      </c>
      <c r="V266">
        <f>SUM(S266:U266)</f>
        <v>23.7225</v>
      </c>
      <c r="W266" s="152">
        <f t="shared" si="73"/>
        <v>11.073901036185067</v>
      </c>
    </row>
    <row r="267" spans="1:23" ht="16.2" customHeight="1" x14ac:dyDescent="0.3">
      <c r="A267" s="169" t="s">
        <v>72</v>
      </c>
      <c r="B267" s="157">
        <v>0</v>
      </c>
      <c r="C267" s="5">
        <v>55.390416899999991</v>
      </c>
      <c r="D267" s="50">
        <f>IFERROR((C267-B267)/B267,100%)</f>
        <v>1</v>
      </c>
      <c r="E267" s="49">
        <v>0</v>
      </c>
      <c r="F267" s="49">
        <v>3395662.1458142912</v>
      </c>
      <c r="G267" s="48">
        <f t="shared" si="67"/>
        <v>1</v>
      </c>
      <c r="H267" s="207">
        <f t="shared" si="68"/>
        <v>1.518395088730489E-3</v>
      </c>
      <c r="I267" s="206">
        <f>B267/$B$3</f>
        <v>0</v>
      </c>
      <c r="J267" s="205">
        <v>160.20652892501317</v>
      </c>
      <c r="K267" s="205">
        <v>96.123917355007904</v>
      </c>
      <c r="L267" s="205">
        <v>102.53217851200844</v>
      </c>
      <c r="M267" s="154">
        <v>358.86262479202952</v>
      </c>
      <c r="N267" s="45">
        <f t="shared" si="69"/>
        <v>57.699013371758582</v>
      </c>
      <c r="O267" s="45">
        <f t="shared" si="70"/>
        <v>37.352519182770031</v>
      </c>
      <c r="P267" s="45">
        <f t="shared" si="71"/>
        <v>40.9966673957232</v>
      </c>
      <c r="Q267" s="45">
        <f t="shared" si="72"/>
        <v>136.04819995025181</v>
      </c>
      <c r="R267" s="153">
        <f t="shared" si="74"/>
        <v>-0.62089058444273659</v>
      </c>
      <c r="W267" s="152">
        <f t="shared" si="73"/>
        <v>1</v>
      </c>
    </row>
    <row r="268" spans="1:23" ht="16.2" customHeight="1" x14ac:dyDescent="0.3">
      <c r="A268" s="62" t="s">
        <v>71</v>
      </c>
      <c r="B268" s="157">
        <v>199.01882999999998</v>
      </c>
      <c r="C268" s="5">
        <v>86.616006749999997</v>
      </c>
      <c r="D268" s="50">
        <f>IFERROR((C268-B268)/B268,100%)</f>
        <v>-0.56478486608528444</v>
      </c>
      <c r="E268" s="49">
        <v>4539000</v>
      </c>
      <c r="F268" s="49">
        <v>4264686.8897060119</v>
      </c>
      <c r="G268" s="48">
        <f t="shared" si="67"/>
        <v>-6.0434701540865422E-2</v>
      </c>
      <c r="H268" s="207">
        <f t="shared" si="68"/>
        <v>2.3743695500989615E-3</v>
      </c>
      <c r="I268" s="206">
        <f>B268/$B$3</f>
        <v>3.6055646480836639E-3</v>
      </c>
      <c r="J268" s="205">
        <v>118.19323276083925</v>
      </c>
      <c r="K268" s="205">
        <v>70.915939656503554</v>
      </c>
      <c r="L268" s="205">
        <v>75.643668966937128</v>
      </c>
      <c r="M268" s="154">
        <v>264.75284138427992</v>
      </c>
      <c r="N268" s="45">
        <f t="shared" si="69"/>
        <v>90.226042903760529</v>
      </c>
      <c r="O268" s="45">
        <f t="shared" si="70"/>
        <v>58.409490932434451</v>
      </c>
      <c r="P268" s="45">
        <f t="shared" si="71"/>
        <v>64.107977852671965</v>
      </c>
      <c r="Q268" s="45">
        <f t="shared" si="72"/>
        <v>212.74351168886693</v>
      </c>
      <c r="R268" s="153">
        <f t="shared" si="74"/>
        <v>-0.19644484049152533</v>
      </c>
      <c r="S268">
        <v>15.063499999999999</v>
      </c>
      <c r="T268">
        <v>51.41</v>
      </c>
      <c r="U268">
        <v>28.79</v>
      </c>
      <c r="V268">
        <f>SUM(S268:U268)</f>
        <v>95.263499999999993</v>
      </c>
      <c r="W268" s="152">
        <f t="shared" si="73"/>
        <v>1.2332111636551979</v>
      </c>
    </row>
    <row r="269" spans="1:23" ht="16.2" customHeight="1" thickBot="1" x14ac:dyDescent="0.35">
      <c r="A269" s="61" t="s">
        <v>70</v>
      </c>
      <c r="B269" s="157">
        <v>0</v>
      </c>
      <c r="C269" s="5">
        <v>48.542859750000005</v>
      </c>
      <c r="D269" s="50">
        <f>IFERROR((C269-B269)/B269,100%)</f>
        <v>1</v>
      </c>
      <c r="E269" s="49">
        <v>0</v>
      </c>
      <c r="F269" s="49">
        <v>2718968.1644796976</v>
      </c>
      <c r="G269" s="48">
        <f t="shared" si="67"/>
        <v>1</v>
      </c>
      <c r="H269" s="207">
        <f t="shared" si="68"/>
        <v>1.3306857749491492E-3</v>
      </c>
      <c r="I269" s="206">
        <f>B269/$B$3</f>
        <v>0</v>
      </c>
      <c r="J269" s="205">
        <v>54.550722812695042</v>
      </c>
      <c r="K269" s="205">
        <v>32.730433687617023</v>
      </c>
      <c r="L269" s="205">
        <v>34.912462600124826</v>
      </c>
      <c r="M269" s="154">
        <v>122.19361910043689</v>
      </c>
      <c r="N269" s="45">
        <f t="shared" si="69"/>
        <v>50.566059448067669</v>
      </c>
      <c r="O269" s="45">
        <f t="shared" si="70"/>
        <v>32.734870063749071</v>
      </c>
      <c r="P269" s="45">
        <f t="shared" si="71"/>
        <v>35.928515923627032</v>
      </c>
      <c r="Q269" s="45">
        <f t="shared" si="72"/>
        <v>119.22944543544378</v>
      </c>
      <c r="R269" s="153">
        <f t="shared" si="74"/>
        <v>-2.4258006979535618E-2</v>
      </c>
      <c r="S269">
        <v>0</v>
      </c>
      <c r="T269">
        <v>19.02</v>
      </c>
      <c r="U269">
        <v>10.647500000000001</v>
      </c>
      <c r="V269">
        <f>SUM(S269:U269)</f>
        <v>29.6675</v>
      </c>
      <c r="W269" s="152">
        <f t="shared" si="73"/>
        <v>3.018857181610981</v>
      </c>
    </row>
    <row r="270" spans="1:23" ht="16.2" thickBot="1" x14ac:dyDescent="0.35">
      <c r="A270" s="56" t="s">
        <v>69</v>
      </c>
      <c r="B270" s="42">
        <v>996.30570599999999</v>
      </c>
      <c r="C270" s="40">
        <v>855.67394850000017</v>
      </c>
      <c r="D270" s="41">
        <f>IFERROR((C270-B270)/B270,100%)</f>
        <v>-0.14115321898999525</v>
      </c>
      <c r="E270" s="40">
        <v>25219919.219999999</v>
      </c>
      <c r="F270" s="40">
        <v>54101211.149999999</v>
      </c>
      <c r="G270" s="39">
        <f t="shared" si="67"/>
        <v>1.1451778127463805</v>
      </c>
      <c r="H270" s="150">
        <f t="shared" si="68"/>
        <v>2.3456243763296643E-2</v>
      </c>
      <c r="I270" s="150">
        <f>B270/$B$3</f>
        <v>1.8049772638285718E-2</v>
      </c>
      <c r="J270" s="204">
        <v>750</v>
      </c>
      <c r="K270" s="36">
        <v>449.99999999999989</v>
      </c>
      <c r="L270" s="36">
        <v>479.99999999999989</v>
      </c>
      <c r="M270" s="36">
        <v>1680</v>
      </c>
      <c r="N270" s="36">
        <f t="shared" si="69"/>
        <v>891.33726300527246</v>
      </c>
      <c r="O270" s="36">
        <f t="shared" si="70"/>
        <v>577.02359657709746</v>
      </c>
      <c r="P270" s="36">
        <f t="shared" si="71"/>
        <v>633.31858160900936</v>
      </c>
      <c r="Q270" s="148">
        <f t="shared" si="72"/>
        <v>2101.6794411913793</v>
      </c>
      <c r="R270" s="41"/>
      <c r="S270" s="42">
        <f>SUM(S264:S269)</f>
        <v>329.13324999999998</v>
      </c>
      <c r="T270" s="42">
        <f>SUM(T264:T269)</f>
        <v>324.80999999999995</v>
      </c>
      <c r="U270" s="42">
        <f>SUM(U264:U269)</f>
        <v>259.48999999999995</v>
      </c>
      <c r="V270" s="147">
        <f>SUM(V264:V269)</f>
        <v>913.43324999999993</v>
      </c>
      <c r="W270" s="146">
        <f t="shared" si="73"/>
        <v>1.3008571684809802</v>
      </c>
    </row>
    <row r="271" spans="1:23" ht="16.2" customHeight="1" x14ac:dyDescent="0.3">
      <c r="A271" s="58" t="s">
        <v>68</v>
      </c>
      <c r="B271" s="157">
        <v>0</v>
      </c>
      <c r="C271" s="5">
        <v>29.9302311</v>
      </c>
      <c r="D271" s="50">
        <f>IFERROR((C271-B271)/B271,100%)</f>
        <v>1</v>
      </c>
      <c r="E271" s="49">
        <v>0</v>
      </c>
      <c r="F271" s="49">
        <v>1987093.9038461538</v>
      </c>
      <c r="G271" s="48">
        <f t="shared" si="67"/>
        <v>1</v>
      </c>
      <c r="H271" s="207">
        <f t="shared" si="68"/>
        <v>8.2046531602849432E-4</v>
      </c>
      <c r="I271" s="206">
        <f>B271/$B$3</f>
        <v>0</v>
      </c>
      <c r="J271" s="205">
        <v>27</v>
      </c>
      <c r="K271" s="205">
        <v>16.2</v>
      </c>
      <c r="L271" s="205">
        <v>17.28</v>
      </c>
      <c r="M271" s="154">
        <v>60.480000000000004</v>
      </c>
      <c r="N271" s="45">
        <f t="shared" si="69"/>
        <v>31.177682009082783</v>
      </c>
      <c r="O271" s="45">
        <f t="shared" si="70"/>
        <v>20.183446774300961</v>
      </c>
      <c r="P271" s="45">
        <f t="shared" si="71"/>
        <v>22.152563532769346</v>
      </c>
      <c r="Q271" s="45">
        <f t="shared" si="72"/>
        <v>73.513692316153097</v>
      </c>
      <c r="R271" s="153">
        <f t="shared" ref="R271:R276" si="75">Q271/M271-1</f>
        <v>0.21550417189406579</v>
      </c>
      <c r="S271">
        <v>0</v>
      </c>
      <c r="T271">
        <v>12.64</v>
      </c>
      <c r="U271">
        <v>9.1549999999999994</v>
      </c>
      <c r="V271">
        <f>SUM(S271:U271)</f>
        <v>21.795000000000002</v>
      </c>
      <c r="W271" s="152">
        <f t="shared" si="73"/>
        <v>2.3729613359097543</v>
      </c>
    </row>
    <row r="272" spans="1:23" ht="16.2" customHeight="1" x14ac:dyDescent="0.3">
      <c r="A272" s="57" t="s">
        <v>67</v>
      </c>
      <c r="B272" s="157">
        <v>0</v>
      </c>
      <c r="C272" s="5">
        <v>25.451491800000003</v>
      </c>
      <c r="D272" s="50">
        <f>IFERROR((C272-B272)/B272,100%)</f>
        <v>1</v>
      </c>
      <c r="E272" s="49">
        <v>0</v>
      </c>
      <c r="F272" s="49">
        <v>2803289.0307692308</v>
      </c>
      <c r="G272" s="48">
        <f t="shared" si="67"/>
        <v>1</v>
      </c>
      <c r="H272" s="207">
        <f t="shared" si="68"/>
        <v>6.9769144759739704E-4</v>
      </c>
      <c r="I272" s="206">
        <f>B272/$B$3</f>
        <v>0</v>
      </c>
      <c r="J272" s="205">
        <v>36</v>
      </c>
      <c r="K272" s="205">
        <v>21.6</v>
      </c>
      <c r="L272" s="205">
        <v>23.04</v>
      </c>
      <c r="M272" s="154">
        <v>80.64</v>
      </c>
      <c r="N272" s="45">
        <f t="shared" si="69"/>
        <v>26.512275008701089</v>
      </c>
      <c r="O272" s="45">
        <f t="shared" si="70"/>
        <v>17.163209610895969</v>
      </c>
      <c r="P272" s="45">
        <f t="shared" si="71"/>
        <v>18.837669085129718</v>
      </c>
      <c r="Q272" s="45">
        <f t="shared" si="72"/>
        <v>62.513153704726776</v>
      </c>
      <c r="R272" s="153">
        <f t="shared" si="75"/>
        <v>-0.22478728044733665</v>
      </c>
      <c r="S272">
        <v>0</v>
      </c>
      <c r="T272">
        <v>21.06</v>
      </c>
      <c r="U272">
        <v>15.2575</v>
      </c>
      <c r="V272">
        <f>SUM(S272:U272)</f>
        <v>36.317499999999995</v>
      </c>
      <c r="W272" s="152">
        <f t="shared" si="73"/>
        <v>0.72129562069874809</v>
      </c>
    </row>
    <row r="273" spans="1:23" ht="16.2" customHeight="1" x14ac:dyDescent="0.3">
      <c r="A273" s="57" t="s">
        <v>66</v>
      </c>
      <c r="B273" s="157">
        <v>325.31834099999998</v>
      </c>
      <c r="C273" s="5">
        <v>29.284607099999999</v>
      </c>
      <c r="D273" s="50">
        <f>IFERROR((C273-B273)/B273,100%)</f>
        <v>-0.90998169051894917</v>
      </c>
      <c r="E273" s="49">
        <v>9642669.9600000009</v>
      </c>
      <c r="F273" s="49">
        <v>3496154.5465000002</v>
      </c>
      <c r="G273" s="48">
        <f t="shared" si="67"/>
        <v>-0.63742878673615833</v>
      </c>
      <c r="H273" s="207">
        <f t="shared" si="68"/>
        <v>8.0276708652182065E-4</v>
      </c>
      <c r="I273" s="206">
        <f>B273/$B$3</f>
        <v>5.8936951326807943E-3</v>
      </c>
      <c r="J273" s="205">
        <v>54</v>
      </c>
      <c r="K273" s="205">
        <v>32.4</v>
      </c>
      <c r="L273" s="205">
        <v>34.56</v>
      </c>
      <c r="M273" s="154">
        <v>120.96000000000001</v>
      </c>
      <c r="N273" s="45">
        <f t="shared" si="69"/>
        <v>30.505149287829184</v>
      </c>
      <c r="O273" s="45">
        <f t="shared" si="70"/>
        <v>19.748070328436789</v>
      </c>
      <c r="P273" s="45">
        <f t="shared" si="71"/>
        <v>21.674711336089157</v>
      </c>
      <c r="Q273" s="45">
        <f t="shared" si="72"/>
        <v>71.927930952355126</v>
      </c>
      <c r="R273" s="153">
        <f t="shared" si="75"/>
        <v>-0.40535771368754037</v>
      </c>
      <c r="S273">
        <v>40.573999999999998</v>
      </c>
      <c r="T273">
        <v>18.95</v>
      </c>
      <c r="U273">
        <v>13.7325</v>
      </c>
      <c r="V273">
        <f>SUM(S273:U273)</f>
        <v>73.256500000000003</v>
      </c>
      <c r="W273" s="152">
        <f t="shared" si="73"/>
        <v>-1.8135852076537597E-2</v>
      </c>
    </row>
    <row r="274" spans="1:23" ht="16.2" customHeight="1" x14ac:dyDescent="0.3">
      <c r="A274" s="57" t="s">
        <v>65</v>
      </c>
      <c r="B274" s="157">
        <v>65.496750000000006</v>
      </c>
      <c r="C274" s="5">
        <v>27.588750000000001</v>
      </c>
      <c r="D274" s="50">
        <f>IFERROR((C274-B274)/B274,100%)</f>
        <v>-0.57877680953635102</v>
      </c>
      <c r="E274" s="49">
        <v>2142000</v>
      </c>
      <c r="F274" s="49">
        <v>2363030.25</v>
      </c>
      <c r="G274" s="48">
        <f t="shared" si="67"/>
        <v>0.10318872549019607</v>
      </c>
      <c r="H274" s="207">
        <f t="shared" si="68"/>
        <v>7.5627924194615127E-4</v>
      </c>
      <c r="I274" s="206">
        <f>B274/$B$3</f>
        <v>1.1865850400405518E-3</v>
      </c>
      <c r="J274" s="205">
        <v>36</v>
      </c>
      <c r="K274" s="205">
        <v>21.6</v>
      </c>
      <c r="L274" s="205">
        <v>23.04</v>
      </c>
      <c r="M274" s="154">
        <v>80.64</v>
      </c>
      <c r="N274" s="45">
        <f t="shared" si="69"/>
        <v>28.738611193953748</v>
      </c>
      <c r="O274" s="45">
        <f t="shared" si="70"/>
        <v>18.60446935187532</v>
      </c>
      <c r="P274" s="45">
        <f t="shared" si="71"/>
        <v>20.419539532546086</v>
      </c>
      <c r="Q274" s="45">
        <f t="shared" si="72"/>
        <v>67.76262007837515</v>
      </c>
      <c r="R274" s="153">
        <f t="shared" si="75"/>
        <v>-0.15968973117094309</v>
      </c>
      <c r="S274">
        <v>25.53</v>
      </c>
      <c r="T274">
        <v>25.9</v>
      </c>
      <c r="U274">
        <v>13.125</v>
      </c>
      <c r="V274">
        <f>SUM(S274:U274)</f>
        <v>64.555000000000007</v>
      </c>
      <c r="W274" s="152">
        <f t="shared" si="73"/>
        <v>4.9688174089925534E-2</v>
      </c>
    </row>
    <row r="275" spans="1:23" ht="16.2" customHeight="1" x14ac:dyDescent="0.3">
      <c r="A275" s="166" t="s">
        <v>64</v>
      </c>
      <c r="B275" s="157">
        <v>0</v>
      </c>
      <c r="C275" s="5">
        <v>13.545000000000002</v>
      </c>
      <c r="D275" s="50">
        <f>IFERROR((C275-B275)/B275,100%)</f>
        <v>1</v>
      </c>
      <c r="E275" s="49">
        <v>0</v>
      </c>
      <c r="F275" s="49">
        <v>738150</v>
      </c>
      <c r="G275" s="48">
        <f t="shared" si="67"/>
        <v>1</v>
      </c>
      <c r="H275" s="207">
        <f t="shared" si="68"/>
        <v>3.7130360498973753E-4</v>
      </c>
      <c r="I275" s="206">
        <f>B275/$B$3</f>
        <v>0</v>
      </c>
      <c r="J275" s="205">
        <v>36</v>
      </c>
      <c r="K275" s="205">
        <v>21.6</v>
      </c>
      <c r="L275" s="205">
        <v>23.04</v>
      </c>
      <c r="M275" s="154">
        <v>80.64</v>
      </c>
      <c r="N275" s="45">
        <f t="shared" si="69"/>
        <v>14.109536989610026</v>
      </c>
      <c r="O275" s="45">
        <f t="shared" si="70"/>
        <v>9.134068682747543</v>
      </c>
      <c r="P275" s="45">
        <f t="shared" si="71"/>
        <v>10.025197334722913</v>
      </c>
      <c r="Q275" s="45">
        <f t="shared" si="72"/>
        <v>33.268803007080479</v>
      </c>
      <c r="R275" s="153">
        <f t="shared" si="75"/>
        <v>-0.58744043890029163</v>
      </c>
      <c r="W275" s="152">
        <f t="shared" si="73"/>
        <v>1</v>
      </c>
    </row>
    <row r="276" spans="1:23" ht="16.2" customHeight="1" thickBot="1" x14ac:dyDescent="0.35">
      <c r="A276" s="59" t="s">
        <v>63</v>
      </c>
      <c r="B276" s="157">
        <v>67.434749999999994</v>
      </c>
      <c r="C276" s="5">
        <v>28.56</v>
      </c>
      <c r="D276" s="50">
        <f>IFERROR((C276-B276)/B276,100%)</f>
        <v>-0.57647948572508978</v>
      </c>
      <c r="E276" s="49">
        <v>2322948</v>
      </c>
      <c r="F276" s="49">
        <v>1105597.5</v>
      </c>
      <c r="G276" s="48">
        <f t="shared" si="67"/>
        <v>-0.52405413293797365</v>
      </c>
      <c r="H276" s="207">
        <f t="shared" si="68"/>
        <v>7.8290372524967894E-4</v>
      </c>
      <c r="I276" s="206">
        <f>B276/$B$3</f>
        <v>1.221695206691547E-3</v>
      </c>
      <c r="J276" s="205">
        <v>36</v>
      </c>
      <c r="K276" s="205">
        <v>21.6</v>
      </c>
      <c r="L276" s="205">
        <v>23.04</v>
      </c>
      <c r="M276" s="154">
        <v>80.64</v>
      </c>
      <c r="N276" s="45">
        <f t="shared" si="69"/>
        <v>29.750341559487801</v>
      </c>
      <c r="O276" s="45">
        <f t="shared" si="70"/>
        <v>19.2594316411421</v>
      </c>
      <c r="P276" s="45">
        <f t="shared" si="71"/>
        <v>21.13840058174133</v>
      </c>
      <c r="Q276" s="45">
        <f t="shared" si="72"/>
        <v>70.148173782371231</v>
      </c>
      <c r="R276" s="153">
        <f t="shared" si="75"/>
        <v>-0.13010697194480125</v>
      </c>
      <c r="S276">
        <v>39.187200000000004</v>
      </c>
      <c r="T276">
        <v>66.62</v>
      </c>
      <c r="U276">
        <v>12.012499999999999</v>
      </c>
      <c r="V276">
        <f>SUM(S276:U276)</f>
        <v>117.81970000000001</v>
      </c>
      <c r="W276" s="152">
        <f t="shared" si="73"/>
        <v>-0.40461422171019595</v>
      </c>
    </row>
    <row r="277" spans="1:23" ht="16.2" thickBot="1" x14ac:dyDescent="0.35">
      <c r="A277" s="56" t="s">
        <v>62</v>
      </c>
      <c r="B277" s="42">
        <v>458.249841</v>
      </c>
      <c r="C277" s="40">
        <v>154.36008000000001</v>
      </c>
      <c r="D277" s="41">
        <f>IFERROR((C277-B277)/B277,100%)</f>
        <v>-0.66315300914637965</v>
      </c>
      <c r="E277" s="40">
        <v>14107617.960000001</v>
      </c>
      <c r="F277" s="40">
        <v>12493315.231115386</v>
      </c>
      <c r="G277" s="39">
        <f t="shared" si="67"/>
        <v>-0.11442773212754444</v>
      </c>
      <c r="H277" s="150">
        <f t="shared" si="68"/>
        <v>4.23141042233328E-3</v>
      </c>
      <c r="I277" s="150">
        <f>B277/$B$3</f>
        <v>8.3019753794128931E-3</v>
      </c>
      <c r="J277" s="204">
        <v>225</v>
      </c>
      <c r="K277" s="36">
        <v>134.99999999999997</v>
      </c>
      <c r="L277" s="36">
        <v>143.99999999999997</v>
      </c>
      <c r="M277" s="36">
        <v>504</v>
      </c>
      <c r="N277" s="36">
        <f t="shared" si="69"/>
        <v>160.79359604866465</v>
      </c>
      <c r="O277" s="36">
        <f t="shared" si="70"/>
        <v>104.09269638939868</v>
      </c>
      <c r="P277" s="36">
        <f t="shared" si="71"/>
        <v>114.24808140299857</v>
      </c>
      <c r="Q277" s="148">
        <f t="shared" si="72"/>
        <v>379.13437384106192</v>
      </c>
      <c r="R277" s="41"/>
      <c r="S277" s="42">
        <f>SUM(S271:S276)</f>
        <v>105.2912</v>
      </c>
      <c r="T277" s="42">
        <f>SUM(T271:T276)</f>
        <v>145.17000000000002</v>
      </c>
      <c r="U277" s="42">
        <f>SUM(U271:U276)</f>
        <v>63.282499999999999</v>
      </c>
      <c r="V277" s="147">
        <f>SUM(V271:V276)</f>
        <v>313.74369999999999</v>
      </c>
      <c r="W277" s="146">
        <f t="shared" si="73"/>
        <v>0.20842067535080999</v>
      </c>
    </row>
    <row r="278" spans="1:23" ht="16.2" customHeight="1" thickBot="1" x14ac:dyDescent="0.35">
      <c r="A278" s="35" t="s">
        <v>61</v>
      </c>
      <c r="B278" s="34">
        <v>3560.1243599999998</v>
      </c>
      <c r="C278" s="32">
        <v>2169.8401609500002</v>
      </c>
      <c r="D278" s="33">
        <f>IFERROR((C278-B278)/B278,100%)</f>
        <v>-0.3905156276759949</v>
      </c>
      <c r="E278" s="32">
        <v>88108472.100000009</v>
      </c>
      <c r="F278" s="32">
        <v>131268328.2086793</v>
      </c>
      <c r="G278" s="31">
        <f t="shared" si="67"/>
        <v>0.4898491039510296</v>
      </c>
      <c r="H278" s="144">
        <f t="shared" si="68"/>
        <v>5.9480950462329069E-2</v>
      </c>
      <c r="I278" s="144">
        <f>B278/$B$3</f>
        <v>6.4497708760510156E-2</v>
      </c>
      <c r="J278" s="203">
        <v>2289</v>
      </c>
      <c r="K278" s="202">
        <v>1373.3999999999999</v>
      </c>
      <c r="L278" s="202">
        <v>1464.96</v>
      </c>
      <c r="M278" s="202">
        <v>5127.3599999999997</v>
      </c>
      <c r="N278" s="28">
        <f t="shared" si="69"/>
        <v>2260.2761175685046</v>
      </c>
      <c r="O278" s="28">
        <f t="shared" si="70"/>
        <v>1463.2313813732951</v>
      </c>
      <c r="P278" s="28">
        <f t="shared" si="71"/>
        <v>1605.9856624828849</v>
      </c>
      <c r="Q278" s="143">
        <f t="shared" si="72"/>
        <v>5329.4931614246852</v>
      </c>
      <c r="R278" s="142"/>
      <c r="S278" s="34">
        <f>S277+S270+S263+S257</f>
        <v>974.73694999999998</v>
      </c>
      <c r="T278" s="34">
        <f>T277+T270+T263+T257</f>
        <v>1186.0899999999999</v>
      </c>
      <c r="U278" s="34">
        <f>U277+U270+U263+U257</f>
        <v>728.2349999999999</v>
      </c>
      <c r="V278" s="141">
        <f>V277+V270+V263+V257</f>
        <v>2889.0619499999998</v>
      </c>
      <c r="W278" s="140">
        <f t="shared" si="73"/>
        <v>0.84471404686378759</v>
      </c>
    </row>
    <row r="279" spans="1:23" ht="15" customHeight="1" thickBot="1" x14ac:dyDescent="0.35">
      <c r="A279" s="60" t="s">
        <v>60</v>
      </c>
      <c r="B279" s="26">
        <v>10085.065584</v>
      </c>
      <c r="C279" s="24">
        <v>6665.9446549500008</v>
      </c>
      <c r="D279" s="25">
        <f>IFERROR((C279-B279)/B279,100%)</f>
        <v>-0.3390281303152306</v>
      </c>
      <c r="E279" s="24">
        <v>291299521.33020002</v>
      </c>
      <c r="F279" s="24">
        <v>353167075.94719279</v>
      </c>
      <c r="G279" s="23">
        <f t="shared" si="67"/>
        <v>0.21238467655037219</v>
      </c>
      <c r="H279" s="138">
        <f t="shared" si="68"/>
        <v>0.18273084393097133</v>
      </c>
      <c r="I279" s="138">
        <f>B279/$B$3</f>
        <v>0.18270811833873024</v>
      </c>
      <c r="J279" s="201">
        <v>6376.7479838709678</v>
      </c>
      <c r="K279" s="200">
        <v>3826.0487903225803</v>
      </c>
      <c r="L279" s="200">
        <v>4081.1187096774192</v>
      </c>
      <c r="M279" s="200">
        <v>14283.915483870967</v>
      </c>
      <c r="N279" s="20">
        <f t="shared" si="69"/>
        <v>6943.7720693769106</v>
      </c>
      <c r="O279" s="20">
        <f t="shared" si="70"/>
        <v>4495.178760701895</v>
      </c>
      <c r="P279" s="20">
        <f t="shared" si="71"/>
        <v>4933.7327861362255</v>
      </c>
      <c r="Q279" s="137">
        <f t="shared" si="72"/>
        <v>16372.683616215032</v>
      </c>
      <c r="R279" s="136"/>
      <c r="S279" s="26">
        <f>S278+S250+S230</f>
        <v>3387.1554000000001</v>
      </c>
      <c r="T279" s="26">
        <f>T278+T250+T230</f>
        <v>2858.8799999999997</v>
      </c>
      <c r="U279" s="26">
        <f>U278+U250+U230</f>
        <v>1957.2550000000001</v>
      </c>
      <c r="V279" s="135">
        <f>V278+V250+V230</f>
        <v>8203.290399999998</v>
      </c>
      <c r="W279" s="134">
        <f t="shared" si="73"/>
        <v>0.99586785519808441</v>
      </c>
    </row>
    <row r="280" spans="1:23" ht="16.2" customHeight="1" x14ac:dyDescent="0.3">
      <c r="A280" s="57" t="s">
        <v>59</v>
      </c>
      <c r="B280" s="157">
        <v>426.72663900000003</v>
      </c>
      <c r="C280" s="5">
        <v>162.71351249999998</v>
      </c>
      <c r="D280" s="50">
        <f>IFERROR((C280-B280)/B280,100%)</f>
        <v>-0.61869380153696019</v>
      </c>
      <c r="E280" s="49">
        <v>10107588</v>
      </c>
      <c r="F280" s="49">
        <v>9202742.668421058</v>
      </c>
      <c r="G280" s="48">
        <f t="shared" si="67"/>
        <v>-8.9521390422615366E-2</v>
      </c>
      <c r="H280" s="207">
        <f t="shared" si="68"/>
        <v>4.4603996878399927E-3</v>
      </c>
      <c r="I280" s="206">
        <f>B280/$B$3</f>
        <v>7.7308789523783256E-3</v>
      </c>
      <c r="J280" s="205">
        <v>188.12168789339083</v>
      </c>
      <c r="K280" s="205">
        <v>112.87301273603451</v>
      </c>
      <c r="L280" s="205">
        <v>120.39788025177013</v>
      </c>
      <c r="M280" s="154">
        <v>421.39258088119544</v>
      </c>
      <c r="N280" s="45">
        <f t="shared" si="69"/>
        <v>169.49518813791971</v>
      </c>
      <c r="O280" s="45">
        <f t="shared" si="70"/>
        <v>109.72583232086382</v>
      </c>
      <c r="P280" s="45">
        <f t="shared" si="71"/>
        <v>120.4307915716798</v>
      </c>
      <c r="Q280" s="45">
        <f t="shared" si="72"/>
        <v>399.65181203046336</v>
      </c>
      <c r="R280" s="153">
        <f t="shared" ref="R280:R287" si="76">Q280/M280-1</f>
        <v>-5.1592671150661573E-2</v>
      </c>
      <c r="S280">
        <v>121.1125</v>
      </c>
      <c r="T280">
        <v>77.36</v>
      </c>
      <c r="U280">
        <v>91.392499999999998</v>
      </c>
      <c r="V280">
        <f t="shared" ref="V280:V286" si="77">SUM(S280:U280)</f>
        <v>289.86500000000001</v>
      </c>
      <c r="W280" s="152">
        <f t="shared" si="73"/>
        <v>0.37875152926522121</v>
      </c>
    </row>
    <row r="281" spans="1:23" ht="16.2" customHeight="1" x14ac:dyDescent="0.3">
      <c r="A281" s="57" t="s">
        <v>58</v>
      </c>
      <c r="B281" s="157">
        <v>0</v>
      </c>
      <c r="C281" s="5">
        <v>37.826596500000001</v>
      </c>
      <c r="D281" s="50">
        <f>IFERROR((C281-B281)/B281,100%)</f>
        <v>1</v>
      </c>
      <c r="E281" s="49">
        <v>0</v>
      </c>
      <c r="F281" s="49">
        <v>2616644.3171052583</v>
      </c>
      <c r="G281" s="48">
        <f t="shared" si="67"/>
        <v>1</v>
      </c>
      <c r="H281" s="207">
        <f t="shared" si="68"/>
        <v>1.0369251860422432E-3</v>
      </c>
      <c r="I281" s="206">
        <f>B281/$B$3</f>
        <v>0</v>
      </c>
      <c r="J281" s="205">
        <v>47.030421973347707</v>
      </c>
      <c r="K281" s="205">
        <v>28.218253184008628</v>
      </c>
      <c r="L281" s="205">
        <v>30.099470062942533</v>
      </c>
      <c r="M281" s="154">
        <v>105.34814522029886</v>
      </c>
      <c r="N281" s="45">
        <f t="shared" si="69"/>
        <v>39.403157069605243</v>
      </c>
      <c r="O281" s="45">
        <f t="shared" si="70"/>
        <v>25.508359576639183</v>
      </c>
      <c r="P281" s="45">
        <f t="shared" si="71"/>
        <v>27.996980023140566</v>
      </c>
      <c r="Q281" s="45">
        <f t="shared" si="72"/>
        <v>92.908496669384988</v>
      </c>
      <c r="R281" s="153">
        <f t="shared" si="76"/>
        <v>-0.11808132478175759</v>
      </c>
      <c r="S281">
        <v>0</v>
      </c>
      <c r="T281">
        <v>19.600000000000001</v>
      </c>
      <c r="U281">
        <v>23.1525</v>
      </c>
      <c r="V281">
        <f t="shared" si="77"/>
        <v>42.752499999999998</v>
      </c>
      <c r="W281" s="152">
        <f t="shared" si="73"/>
        <v>1.1731710816767438</v>
      </c>
    </row>
    <row r="282" spans="1:23" ht="16.2" customHeight="1" x14ac:dyDescent="0.3">
      <c r="A282" s="57" t="s">
        <v>57</v>
      </c>
      <c r="B282" s="157">
        <v>0</v>
      </c>
      <c r="C282" s="5">
        <v>11.945240999999999</v>
      </c>
      <c r="D282" s="50">
        <f>IFERROR((C282-B282)/B282,100%)</f>
        <v>1</v>
      </c>
      <c r="E282" s="49">
        <v>0</v>
      </c>
      <c r="F282" s="49">
        <v>837326.39147368341</v>
      </c>
      <c r="G282" s="48">
        <f t="shared" si="67"/>
        <v>1</v>
      </c>
      <c r="H282" s="207">
        <f t="shared" si="68"/>
        <v>3.2745005875018209E-4</v>
      </c>
      <c r="I282" s="206">
        <f>B282/$B$3</f>
        <v>0</v>
      </c>
      <c r="J282" s="205">
        <v>15.049735031471267</v>
      </c>
      <c r="K282" s="205">
        <v>9.0298410188827596</v>
      </c>
      <c r="L282" s="205">
        <v>9.6318304201416112</v>
      </c>
      <c r="M282" s="154">
        <v>33.711406470495639</v>
      </c>
      <c r="N282" s="45">
        <f t="shared" si="69"/>
        <v>12.44310223250692</v>
      </c>
      <c r="O282" s="45">
        <f t="shared" si="70"/>
        <v>8.0552714452544798</v>
      </c>
      <c r="P282" s="45">
        <f t="shared" si="71"/>
        <v>8.8411515862549166</v>
      </c>
      <c r="Q282" s="45">
        <f t="shared" si="72"/>
        <v>29.339525264016316</v>
      </c>
      <c r="R282" s="153">
        <f t="shared" si="76"/>
        <v>-0.12968551787673444</v>
      </c>
      <c r="S282">
        <v>0</v>
      </c>
      <c r="T282">
        <v>6.19</v>
      </c>
      <c r="U282">
        <v>7.3125</v>
      </c>
      <c r="V282">
        <f t="shared" si="77"/>
        <v>13.502500000000001</v>
      </c>
      <c r="W282" s="152">
        <f t="shared" si="73"/>
        <v>1.1728957795975792</v>
      </c>
    </row>
    <row r="283" spans="1:23" ht="16.2" customHeight="1" x14ac:dyDescent="0.3">
      <c r="A283" s="57" t="s">
        <v>56</v>
      </c>
      <c r="B283" s="157">
        <v>69.541049999999998</v>
      </c>
      <c r="C283" s="5">
        <v>125.238225</v>
      </c>
      <c r="D283" s="50">
        <f>IFERROR((C283-B283)/B283,100%)</f>
        <v>0.80092513702338408</v>
      </c>
      <c r="E283" s="49">
        <v>2229689.4</v>
      </c>
      <c r="F283" s="49">
        <v>4469329.1160000004</v>
      </c>
      <c r="G283" s="48">
        <f t="shared" si="67"/>
        <v>1.0044626466807443</v>
      </c>
      <c r="H283" s="207">
        <f t="shared" si="68"/>
        <v>3.4331047932828246E-3</v>
      </c>
      <c r="I283" s="206">
        <f>B283/$B$3</f>
        <v>1.2598544141306555E-3</v>
      </c>
      <c r="J283" s="205">
        <v>54.589493432336702</v>
      </c>
      <c r="K283" s="205">
        <v>32.753696059402017</v>
      </c>
      <c r="L283" s="205">
        <v>34.937275796695488</v>
      </c>
      <c r="M283" s="154">
        <v>122.2804652884342</v>
      </c>
      <c r="N283" s="45">
        <f t="shared" si="69"/>
        <v>130.45798214474735</v>
      </c>
      <c r="O283" s="45">
        <f t="shared" si="70"/>
        <v>84.454377914757487</v>
      </c>
      <c r="P283" s="45">
        <f t="shared" si="71"/>
        <v>92.69382941863627</v>
      </c>
      <c r="Q283" s="45">
        <f t="shared" si="72"/>
        <v>307.60618947814112</v>
      </c>
      <c r="R283" s="153">
        <f t="shared" si="76"/>
        <v>1.515579154467249</v>
      </c>
      <c r="S283">
        <v>67.523750000000007</v>
      </c>
      <c r="T283">
        <v>27.88</v>
      </c>
      <c r="U283">
        <v>27.015000000000001</v>
      </c>
      <c r="V283">
        <f t="shared" si="77"/>
        <v>122.41875</v>
      </c>
      <c r="W283" s="152">
        <f t="shared" si="73"/>
        <v>1.5127375461531924</v>
      </c>
    </row>
    <row r="284" spans="1:23" ht="16.2" customHeight="1" x14ac:dyDescent="0.3">
      <c r="A284" s="57" t="s">
        <v>55</v>
      </c>
      <c r="B284" s="157">
        <v>283.67220000000003</v>
      </c>
      <c r="C284" s="5">
        <v>190.08291750000001</v>
      </c>
      <c r="D284" s="50">
        <f>IFERROR((C284-B284)/B284,100%)</f>
        <v>-0.32992052975229863</v>
      </c>
      <c r="E284" s="49">
        <v>8510074.1999999993</v>
      </c>
      <c r="F284" s="49">
        <v>10420375.35</v>
      </c>
      <c r="G284" s="48">
        <f t="shared" si="67"/>
        <v>0.22447526368218981</v>
      </c>
      <c r="H284" s="207">
        <f t="shared" si="68"/>
        <v>5.2106661140433261E-3</v>
      </c>
      <c r="I284" s="206">
        <f>B284/$B$3</f>
        <v>5.1392044459517673E-3</v>
      </c>
      <c r="J284" s="205">
        <v>222.90709818204152</v>
      </c>
      <c r="K284" s="205">
        <v>133.7442589092249</v>
      </c>
      <c r="L284" s="205">
        <v>142.66054283650658</v>
      </c>
      <c r="M284" s="154">
        <v>499.31189992777297</v>
      </c>
      <c r="N284" s="45">
        <f t="shared" si="69"/>
        <v>198.0053123336464</v>
      </c>
      <c r="O284" s="45">
        <f t="shared" si="70"/>
        <v>128.18238640546582</v>
      </c>
      <c r="P284" s="45">
        <f t="shared" si="71"/>
        <v>140.68798507916981</v>
      </c>
      <c r="Q284" s="45">
        <f t="shared" si="72"/>
        <v>466.87568381828203</v>
      </c>
      <c r="R284" s="153">
        <f t="shared" si="76"/>
        <v>-6.4961832702531086E-2</v>
      </c>
      <c r="S284">
        <v>91.924999999999997</v>
      </c>
      <c r="T284">
        <v>120.99</v>
      </c>
      <c r="U284">
        <v>92.567499999999995</v>
      </c>
      <c r="V284">
        <f t="shared" si="77"/>
        <v>305.48249999999996</v>
      </c>
      <c r="W284" s="152">
        <f t="shared" si="73"/>
        <v>0.52832219134739988</v>
      </c>
    </row>
    <row r="285" spans="1:23" ht="16.2" customHeight="1" x14ac:dyDescent="0.3">
      <c r="A285" s="57" t="s">
        <v>54</v>
      </c>
      <c r="B285" s="157">
        <v>0</v>
      </c>
      <c r="C285" s="5">
        <v>107.8961415</v>
      </c>
      <c r="D285" s="50">
        <f>IFERROR((C285-B285)/B285,100%)</f>
        <v>1</v>
      </c>
      <c r="E285" s="49">
        <v>0</v>
      </c>
      <c r="F285" s="49">
        <v>4637209.260970558</v>
      </c>
      <c r="G285" s="48">
        <f t="shared" si="67"/>
        <v>1</v>
      </c>
      <c r="H285" s="207">
        <f t="shared" si="68"/>
        <v>2.9577132745243866E-3</v>
      </c>
      <c r="I285" s="206">
        <f>B285/$B$3</f>
        <v>0</v>
      </c>
      <c r="J285" s="205">
        <v>85.978452155930256</v>
      </c>
      <c r="K285" s="205">
        <v>51.587071293558161</v>
      </c>
      <c r="L285" s="205">
        <v>55.026209379795368</v>
      </c>
      <c r="M285" s="154">
        <v>192.59173282928379</v>
      </c>
      <c r="N285" s="45">
        <f t="shared" si="69"/>
        <v>112.39310443192669</v>
      </c>
      <c r="O285" s="45">
        <f t="shared" si="70"/>
        <v>72.759746553299905</v>
      </c>
      <c r="P285" s="45">
        <f t="shared" si="71"/>
        <v>79.858258412158435</v>
      </c>
      <c r="Q285" s="45">
        <f t="shared" si="72"/>
        <v>265.01110939738504</v>
      </c>
      <c r="R285" s="153">
        <f t="shared" si="76"/>
        <v>0.37602536466243275</v>
      </c>
      <c r="S285">
        <v>0</v>
      </c>
      <c r="T285">
        <v>98.4</v>
      </c>
      <c r="U285">
        <v>58.02</v>
      </c>
      <c r="V285">
        <f t="shared" si="77"/>
        <v>156.42000000000002</v>
      </c>
      <c r="W285" s="152">
        <f t="shared" si="73"/>
        <v>0.69422778031827781</v>
      </c>
    </row>
    <row r="286" spans="1:23" ht="16.2" customHeight="1" x14ac:dyDescent="0.3">
      <c r="A286" s="57" t="s">
        <v>53</v>
      </c>
      <c r="B286" s="157">
        <v>0</v>
      </c>
      <c r="C286" s="5">
        <v>123.10474050000001</v>
      </c>
      <c r="D286" s="50">
        <f>IFERROR((C286-B286)/B286,100%)</f>
        <v>1</v>
      </c>
      <c r="E286" s="49">
        <v>0</v>
      </c>
      <c r="F286" s="49">
        <v>6801238.693885481</v>
      </c>
      <c r="G286" s="48">
        <f t="shared" si="67"/>
        <v>1</v>
      </c>
      <c r="H286" s="207">
        <f t="shared" si="68"/>
        <v>3.3746204458454145E-3</v>
      </c>
      <c r="I286" s="206">
        <f>B286/$B$3</f>
        <v>0</v>
      </c>
      <c r="J286" s="205">
        <v>126.10172982869774</v>
      </c>
      <c r="K286" s="205">
        <v>75.661037897218648</v>
      </c>
      <c r="L286" s="205">
        <v>80.705107090366553</v>
      </c>
      <c r="M286" s="154">
        <v>282.46787481628292</v>
      </c>
      <c r="N286" s="45">
        <f t="shared" si="69"/>
        <v>128.23557694212576</v>
      </c>
      <c r="O286" s="45">
        <f t="shared" si="70"/>
        <v>83.015662967797198</v>
      </c>
      <c r="P286" s="45">
        <f t="shared" si="71"/>
        <v>91.114752037826193</v>
      </c>
      <c r="Q286" s="45">
        <f t="shared" si="72"/>
        <v>302.36599194774914</v>
      </c>
      <c r="R286" s="153">
        <f t="shared" si="76"/>
        <v>7.0443823547750251E-2</v>
      </c>
      <c r="S286">
        <v>0</v>
      </c>
      <c r="T286">
        <v>147.6</v>
      </c>
      <c r="U286">
        <v>87.03</v>
      </c>
      <c r="V286">
        <f t="shared" si="77"/>
        <v>234.63</v>
      </c>
      <c r="W286" s="152">
        <f t="shared" si="73"/>
        <v>0.28869280120934726</v>
      </c>
    </row>
    <row r="287" spans="1:23" ht="16.2" customHeight="1" x14ac:dyDescent="0.3">
      <c r="A287" s="166" t="s">
        <v>52</v>
      </c>
      <c r="B287" s="157">
        <v>0</v>
      </c>
      <c r="C287" s="5">
        <v>120.50820600000002</v>
      </c>
      <c r="D287" s="50">
        <f>IFERROR((C287-B287)/B287,100%)</f>
        <v>1</v>
      </c>
      <c r="E287" s="49">
        <v>0</v>
      </c>
      <c r="F287" s="49">
        <v>7110386.1768677365</v>
      </c>
      <c r="G287" s="48">
        <f t="shared" si="67"/>
        <v>1</v>
      </c>
      <c r="H287" s="207">
        <f t="shared" si="68"/>
        <v>3.3034426960978896E-3</v>
      </c>
      <c r="I287" s="206">
        <f>B287/$B$3</f>
        <v>0</v>
      </c>
      <c r="J287" s="205">
        <v>131.83362663909313</v>
      </c>
      <c r="K287" s="205">
        <v>79.10017598345587</v>
      </c>
      <c r="L287" s="205">
        <v>84.373521049019601</v>
      </c>
      <c r="M287" s="154">
        <v>295.30732367156861</v>
      </c>
      <c r="N287" s="45">
        <f t="shared" si="69"/>
        <v>125.5308224517198</v>
      </c>
      <c r="O287" s="45">
        <f t="shared" si="70"/>
        <v>81.264690324008086</v>
      </c>
      <c r="P287" s="45">
        <f t="shared" si="71"/>
        <v>89.19295279464302</v>
      </c>
      <c r="Q287" s="45">
        <f t="shared" si="72"/>
        <v>295.98846557037092</v>
      </c>
      <c r="R287" s="153">
        <f t="shared" si="76"/>
        <v>2.3065526798782265E-3</v>
      </c>
      <c r="W287" s="152">
        <f t="shared" si="73"/>
        <v>1</v>
      </c>
    </row>
    <row r="288" spans="1:23" ht="16.2" customHeight="1" thickBot="1" x14ac:dyDescent="0.35">
      <c r="A288" s="59" t="s">
        <v>51</v>
      </c>
      <c r="B288" s="157">
        <v>709.23578400000008</v>
      </c>
      <c r="C288" s="5">
        <v>142.89254699999998</v>
      </c>
      <c r="D288" s="50">
        <f>IFERROR((C288-B288)/B288,100%)</f>
        <v>-0.79852603291657942</v>
      </c>
      <c r="E288" s="49">
        <v>14136486</v>
      </c>
      <c r="F288" s="49">
        <v>7679618.7287887819</v>
      </c>
      <c r="G288" s="48">
        <f t="shared" si="67"/>
        <v>-0.45675193051591589</v>
      </c>
      <c r="H288" s="207">
        <f t="shared" si="68"/>
        <v>3.9170555797169056E-3</v>
      </c>
      <c r="I288" s="206">
        <f>B288/$B$3</f>
        <v>1.2849012678580726E-2</v>
      </c>
      <c r="J288" s="205">
        <v>142.38775486369093</v>
      </c>
      <c r="K288" s="205">
        <v>85.432652918214572</v>
      </c>
      <c r="L288" s="205">
        <v>91.128163112762209</v>
      </c>
      <c r="M288" s="154">
        <v>318.94857089466768</v>
      </c>
      <c r="N288" s="45">
        <f t="shared" si="69"/>
        <v>148.8481120292424</v>
      </c>
      <c r="O288" s="45">
        <f t="shared" si="70"/>
        <v>96.359567261035878</v>
      </c>
      <c r="P288" s="45">
        <f t="shared" si="71"/>
        <v>105.76050065235646</v>
      </c>
      <c r="Q288" s="45">
        <f t="shared" si="72"/>
        <v>350.96817994263472</v>
      </c>
      <c r="R288" s="153">
        <f>M288/Q288-1</f>
        <v>-9.1232228098856671E-2</v>
      </c>
      <c r="S288">
        <v>225.5043</v>
      </c>
      <c r="T288">
        <v>82</v>
      </c>
      <c r="U288">
        <v>48.35</v>
      </c>
      <c r="V288">
        <f>SUM(S288:U288)</f>
        <v>355.85430000000002</v>
      </c>
      <c r="W288" s="152">
        <f t="shared" si="73"/>
        <v>-1.3730675890006958E-2</v>
      </c>
    </row>
    <row r="289" spans="1:23" ht="16.2" thickBot="1" x14ac:dyDescent="0.35">
      <c r="A289" s="56" t="s">
        <v>50</v>
      </c>
      <c r="B289" s="42">
        <v>1489.1756730000002</v>
      </c>
      <c r="C289" s="40">
        <v>1022.2081275</v>
      </c>
      <c r="D289" s="41">
        <f>IFERROR((C289-B289)/B289,100%)</f>
        <v>-0.31357451908899137</v>
      </c>
      <c r="E289" s="40">
        <v>34983837.600000001</v>
      </c>
      <c r="F289" s="40">
        <v>53774870.703512564</v>
      </c>
      <c r="G289" s="39">
        <f t="shared" si="67"/>
        <v>0.53713469969665539</v>
      </c>
      <c r="H289" s="150">
        <f t="shared" si="68"/>
        <v>2.8021377836143165E-2</v>
      </c>
      <c r="I289" s="150">
        <f>B289/$B$3</f>
        <v>2.6978950491041476E-2</v>
      </c>
      <c r="J289" s="204">
        <v>1014.0000000000002</v>
      </c>
      <c r="K289" s="36">
        <v>608.4</v>
      </c>
      <c r="L289" s="36">
        <v>648.96</v>
      </c>
      <c r="M289" s="36">
        <v>2271.36</v>
      </c>
      <c r="N289" s="36">
        <f t="shared" si="69"/>
        <v>1064.8123577734402</v>
      </c>
      <c r="O289" s="36">
        <f t="shared" si="70"/>
        <v>689.32589476912187</v>
      </c>
      <c r="P289" s="36">
        <f t="shared" si="71"/>
        <v>756.5772015758655</v>
      </c>
      <c r="Q289" s="148">
        <f t="shared" si="72"/>
        <v>2510.7154541184273</v>
      </c>
      <c r="R289" s="41"/>
      <c r="S289" s="42">
        <f>SUM(S280:S288)</f>
        <v>506.06555000000003</v>
      </c>
      <c r="T289" s="42">
        <f>SUM(T280:T288)</f>
        <v>580.02</v>
      </c>
      <c r="U289" s="42">
        <f>SUM(U280:U288)</f>
        <v>434.84000000000003</v>
      </c>
      <c r="V289" s="147">
        <f>SUM(V280:V288)</f>
        <v>1520.9255499999999</v>
      </c>
      <c r="W289" s="146">
        <f t="shared" si="73"/>
        <v>0.65078129834719878</v>
      </c>
    </row>
    <row r="290" spans="1:23" ht="16.2" customHeight="1" x14ac:dyDescent="0.3">
      <c r="A290" s="58" t="s">
        <v>49</v>
      </c>
      <c r="B290" s="157">
        <v>325.07349000000005</v>
      </c>
      <c r="C290" s="5">
        <v>241.95990000000003</v>
      </c>
      <c r="D290" s="50">
        <f>IFERROR((C290-B290)/B290,100%)</f>
        <v>-0.25567630876328917</v>
      </c>
      <c r="E290" s="49">
        <v>6517800</v>
      </c>
      <c r="F290" s="49">
        <v>11711332.5</v>
      </c>
      <c r="G290" s="48">
        <f t="shared" si="67"/>
        <v>0.7968229310503544</v>
      </c>
      <c r="H290" s="207">
        <f t="shared" si="68"/>
        <v>6.6327488470252043E-3</v>
      </c>
      <c r="I290" s="206">
        <f>B290/$B$3</f>
        <v>5.889259240309969E-3</v>
      </c>
      <c r="J290" s="205">
        <v>156</v>
      </c>
      <c r="K290" s="205">
        <v>93.6</v>
      </c>
      <c r="L290" s="205">
        <v>99.839999999999989</v>
      </c>
      <c r="M290" s="154">
        <v>349.44</v>
      </c>
      <c r="N290" s="45">
        <f t="shared" si="69"/>
        <v>252.04445618695777</v>
      </c>
      <c r="O290" s="45">
        <f t="shared" si="70"/>
        <v>163.16562163682002</v>
      </c>
      <c r="P290" s="45">
        <f t="shared" si="71"/>
        <v>179.08421886968051</v>
      </c>
      <c r="Q290" s="45">
        <f t="shared" si="72"/>
        <v>594.29429669345836</v>
      </c>
      <c r="R290" s="153">
        <f t="shared" ref="R290:R296" si="78">Q290/M290-1</f>
        <v>0.70070483257056537</v>
      </c>
      <c r="S290">
        <v>81.064099999999996</v>
      </c>
      <c r="T290">
        <v>109.75</v>
      </c>
      <c r="U290">
        <v>81.197500000000005</v>
      </c>
      <c r="V290">
        <f t="shared" ref="V290:V296" si="79">SUM(S290:U290)</f>
        <v>272.01159999999999</v>
      </c>
      <c r="W290" s="152">
        <f t="shared" si="73"/>
        <v>1.1848123267296631</v>
      </c>
    </row>
    <row r="291" spans="1:23" ht="16.2" customHeight="1" x14ac:dyDescent="0.3">
      <c r="A291" s="57" t="s">
        <v>48</v>
      </c>
      <c r="B291" s="157">
        <v>0</v>
      </c>
      <c r="C291" s="5">
        <v>210.79086000000001</v>
      </c>
      <c r="D291" s="50">
        <f>IFERROR((C291-B291)/B291,100%)</f>
        <v>1</v>
      </c>
      <c r="E291" s="49">
        <v>0</v>
      </c>
      <c r="F291" s="49">
        <v>13312579.44645771</v>
      </c>
      <c r="G291" s="48">
        <f t="shared" si="67"/>
        <v>1</v>
      </c>
      <c r="H291" s="207">
        <f t="shared" si="68"/>
        <v>5.778324563815951E-3</v>
      </c>
      <c r="I291" s="206">
        <f>B291/$B$3</f>
        <v>0</v>
      </c>
      <c r="J291" s="205">
        <v>245.9315857654797</v>
      </c>
      <c r="K291" s="205">
        <v>147.55895145928781</v>
      </c>
      <c r="L291" s="205">
        <v>157.39621488990701</v>
      </c>
      <c r="M291" s="154">
        <v>550.88675211467455</v>
      </c>
      <c r="N291" s="45">
        <f t="shared" si="69"/>
        <v>219.57633342500614</v>
      </c>
      <c r="O291" s="45">
        <f t="shared" si="70"/>
        <v>142.1467842698724</v>
      </c>
      <c r="P291" s="45">
        <f t="shared" si="71"/>
        <v>156.01476322303068</v>
      </c>
      <c r="Q291" s="45">
        <f t="shared" si="72"/>
        <v>517.73788091790925</v>
      </c>
      <c r="R291" s="153">
        <f t="shared" si="78"/>
        <v>-6.0173658323634749E-2</v>
      </c>
      <c r="S291">
        <v>0</v>
      </c>
      <c r="T291">
        <v>74.760000000000005</v>
      </c>
      <c r="U291">
        <v>58.35</v>
      </c>
      <c r="V291">
        <f t="shared" si="79"/>
        <v>133.11000000000001</v>
      </c>
      <c r="W291" s="152">
        <f t="shared" si="73"/>
        <v>2.8895491016295485</v>
      </c>
    </row>
    <row r="292" spans="1:23" ht="16.2" customHeight="1" x14ac:dyDescent="0.3">
      <c r="A292" s="57" t="s">
        <v>47</v>
      </c>
      <c r="B292" s="157">
        <v>96.776579999999996</v>
      </c>
      <c r="C292" s="5">
        <v>90.554496900000004</v>
      </c>
      <c r="D292" s="50">
        <f>IFERROR((C292-B292)/B292,100%)</f>
        <v>-6.4293273227882114E-2</v>
      </c>
      <c r="E292" s="49">
        <v>4866420</v>
      </c>
      <c r="F292" s="49">
        <v>5916701.8576700948</v>
      </c>
      <c r="G292" s="48">
        <f t="shared" si="67"/>
        <v>0.21582227955459965</v>
      </c>
      <c r="H292" s="207">
        <f t="shared" si="68"/>
        <v>2.4823337871540795E-3</v>
      </c>
      <c r="I292" s="206">
        <f>B292/$B$3</f>
        <v>1.7532723693051587E-3</v>
      </c>
      <c r="J292" s="205">
        <v>109.30292700687987</v>
      </c>
      <c r="K292" s="205">
        <v>65.581756204127927</v>
      </c>
      <c r="L292" s="205">
        <v>69.953873284403116</v>
      </c>
      <c r="M292" s="154">
        <v>244.8385564954109</v>
      </c>
      <c r="N292" s="45">
        <f t="shared" si="69"/>
        <v>94.328683911855023</v>
      </c>
      <c r="O292" s="45">
        <f t="shared" si="70"/>
        <v>61.065411163990355</v>
      </c>
      <c r="P292" s="45">
        <f t="shared" si="71"/>
        <v>67.023012253160147</v>
      </c>
      <c r="Q292" s="45">
        <f t="shared" si="72"/>
        <v>222.41710732900552</v>
      </c>
      <c r="R292" s="153">
        <f t="shared" si="78"/>
        <v>-9.157646363931915E-2</v>
      </c>
      <c r="S292">
        <v>57.8095</v>
      </c>
      <c r="T292">
        <v>46.18</v>
      </c>
      <c r="U292">
        <v>36.04</v>
      </c>
      <c r="V292">
        <f t="shared" si="79"/>
        <v>140.02949999999998</v>
      </c>
      <c r="W292" s="152">
        <f t="shared" si="73"/>
        <v>0.58835893386040472</v>
      </c>
    </row>
    <row r="293" spans="1:23" ht="16.2" customHeight="1" x14ac:dyDescent="0.3">
      <c r="A293" s="57" t="s">
        <v>46</v>
      </c>
      <c r="B293" s="157">
        <v>1038.1587030000001</v>
      </c>
      <c r="C293" s="5">
        <v>140.78881530000001</v>
      </c>
      <c r="D293" s="50">
        <f>IFERROR((C293-B293)/B293,100%)</f>
        <v>-0.86438603761336474</v>
      </c>
      <c r="E293" s="49">
        <v>26523258.900000002</v>
      </c>
      <c r="F293" s="49">
        <v>6647309.909072197</v>
      </c>
      <c r="G293" s="48">
        <f t="shared" si="67"/>
        <v>-0.74937808607402323</v>
      </c>
      <c r="H293" s="207">
        <f t="shared" si="68"/>
        <v>3.8593868337485648E-3</v>
      </c>
      <c r="I293" s="206">
        <f>B293/$B$3</f>
        <v>1.8808010873328864E-2</v>
      </c>
      <c r="J293" s="205">
        <v>191.28012226203975</v>
      </c>
      <c r="K293" s="205">
        <v>114.76807335722386</v>
      </c>
      <c r="L293" s="205">
        <v>122.41927824770544</v>
      </c>
      <c r="M293" s="154">
        <v>428.46747386696904</v>
      </c>
      <c r="N293" s="45">
        <f t="shared" si="69"/>
        <v>146.65669968244546</v>
      </c>
      <c r="O293" s="45">
        <f t="shared" si="70"/>
        <v>94.940916110214687</v>
      </c>
      <c r="P293" s="45">
        <f t="shared" si="71"/>
        <v>104.20344451121125</v>
      </c>
      <c r="Q293" s="45">
        <f t="shared" si="72"/>
        <v>345.8010603038714</v>
      </c>
      <c r="R293" s="153">
        <f t="shared" si="78"/>
        <v>-0.19293509683949539</v>
      </c>
      <c r="S293">
        <v>279.97030000000001</v>
      </c>
      <c r="T293">
        <v>98.95</v>
      </c>
      <c r="U293">
        <v>77.23</v>
      </c>
      <c r="V293">
        <f t="shared" si="79"/>
        <v>456.15030000000002</v>
      </c>
      <c r="W293" s="152">
        <f t="shared" si="73"/>
        <v>-0.24191421050502129</v>
      </c>
    </row>
    <row r="294" spans="1:23" ht="16.2" customHeight="1" x14ac:dyDescent="0.3">
      <c r="A294" s="57" t="s">
        <v>45</v>
      </c>
      <c r="B294" s="157">
        <v>0</v>
      </c>
      <c r="C294" s="5">
        <v>144.66375000000002</v>
      </c>
      <c r="D294" s="50">
        <f>IFERROR((C294-B294)/B294,100%)</f>
        <v>1</v>
      </c>
      <c r="E294" s="49">
        <v>0</v>
      </c>
      <c r="F294" s="49">
        <v>8563051.3499999996</v>
      </c>
      <c r="G294" s="48">
        <f t="shared" si="67"/>
        <v>1</v>
      </c>
      <c r="H294" s="207">
        <f t="shared" si="68"/>
        <v>3.9656088509659754E-3</v>
      </c>
      <c r="I294" s="206">
        <f>B294/$B$3</f>
        <v>0</v>
      </c>
      <c r="J294" s="205">
        <v>169.68397942600299</v>
      </c>
      <c r="K294" s="205">
        <v>101.8103876556018</v>
      </c>
      <c r="L294" s="205">
        <v>108.59774683264192</v>
      </c>
      <c r="M294" s="154">
        <v>380.09211391424668</v>
      </c>
      <c r="N294" s="45">
        <f t="shared" si="69"/>
        <v>150.69313633670706</v>
      </c>
      <c r="O294" s="45">
        <f t="shared" si="70"/>
        <v>97.553977733762991</v>
      </c>
      <c r="P294" s="45">
        <f t="shared" si="71"/>
        <v>107.07143897608134</v>
      </c>
      <c r="Q294" s="45">
        <f t="shared" si="72"/>
        <v>355.31855304655141</v>
      </c>
      <c r="R294" s="153">
        <f t="shared" si="78"/>
        <v>-6.5177781808134272E-2</v>
      </c>
      <c r="S294">
        <v>0</v>
      </c>
      <c r="T294">
        <v>55.11</v>
      </c>
      <c r="U294">
        <v>54.08</v>
      </c>
      <c r="V294">
        <f t="shared" si="79"/>
        <v>109.19</v>
      </c>
      <c r="W294" s="152">
        <f t="shared" si="73"/>
        <v>2.2541309006919263</v>
      </c>
    </row>
    <row r="295" spans="1:23" ht="16.2" customHeight="1" x14ac:dyDescent="0.3">
      <c r="A295" s="57" t="s">
        <v>44</v>
      </c>
      <c r="B295" s="157">
        <v>38.000610000000009</v>
      </c>
      <c r="C295" s="5">
        <v>94.989038550000004</v>
      </c>
      <c r="D295" s="50">
        <f>IFERROR((C295-B295)/B295,100%)</f>
        <v>1.4996714144851881</v>
      </c>
      <c r="E295" s="49">
        <v>1662600</v>
      </c>
      <c r="F295" s="49">
        <v>4840422.3</v>
      </c>
      <c r="G295" s="48">
        <f t="shared" si="67"/>
        <v>1.9113570913027786</v>
      </c>
      <c r="H295" s="207">
        <f t="shared" si="68"/>
        <v>2.6038960832871277E-3</v>
      </c>
      <c r="I295" s="206">
        <f>B295/$B$3</f>
        <v>6.8844569140324367E-4</v>
      </c>
      <c r="J295" s="205">
        <v>57</v>
      </c>
      <c r="K295" s="205">
        <v>34.200000000000003</v>
      </c>
      <c r="L295" s="205">
        <v>36.480000000000004</v>
      </c>
      <c r="M295" s="154">
        <v>127.68</v>
      </c>
      <c r="N295" s="45">
        <f t="shared" si="69"/>
        <v>98.948051164910851</v>
      </c>
      <c r="O295" s="45">
        <f t="shared" si="70"/>
        <v>64.055843648863345</v>
      </c>
      <c r="P295" s="45">
        <f t="shared" si="71"/>
        <v>70.305194248752443</v>
      </c>
      <c r="Q295" s="45">
        <f t="shared" si="72"/>
        <v>233.30908906252665</v>
      </c>
      <c r="R295" s="153">
        <f t="shared" si="78"/>
        <v>0.82729549704359839</v>
      </c>
      <c r="S295">
        <v>50.093999999999994</v>
      </c>
      <c r="T295">
        <v>37.04</v>
      </c>
      <c r="U295">
        <v>52.25</v>
      </c>
      <c r="V295">
        <f t="shared" si="79"/>
        <v>139.38399999999999</v>
      </c>
      <c r="W295" s="152">
        <f t="shared" si="73"/>
        <v>0.67385847057428883</v>
      </c>
    </row>
    <row r="296" spans="1:23" ht="16.2" customHeight="1" thickBot="1" x14ac:dyDescent="0.35">
      <c r="A296" s="59" t="s">
        <v>43</v>
      </c>
      <c r="B296" s="157">
        <v>0</v>
      </c>
      <c r="C296" s="5">
        <v>115.19445</v>
      </c>
      <c r="D296" s="50">
        <f>IFERROR((C296-B296)/B296,100%)</f>
        <v>1</v>
      </c>
      <c r="E296" s="49">
        <v>0</v>
      </c>
      <c r="F296" s="49">
        <v>7886651.8500000006</v>
      </c>
      <c r="G296" s="48">
        <f t="shared" si="67"/>
        <v>1</v>
      </c>
      <c r="H296" s="207">
        <f t="shared" si="68"/>
        <v>3.1577788526991556E-3</v>
      </c>
      <c r="I296" s="206">
        <f>B296/$B$3</f>
        <v>0</v>
      </c>
      <c r="J296" s="205">
        <v>83.999999999999986</v>
      </c>
      <c r="K296" s="205">
        <v>50.4</v>
      </c>
      <c r="L296" s="205">
        <v>53.76</v>
      </c>
      <c r="M296" s="154">
        <v>188.15999999999997</v>
      </c>
      <c r="N296" s="45">
        <f t="shared" si="69"/>
        <v>119.99559640256791</v>
      </c>
      <c r="O296" s="45">
        <f t="shared" si="70"/>
        <v>77.681359776399233</v>
      </c>
      <c r="P296" s="45">
        <f t="shared" si="71"/>
        <v>85.260029022877205</v>
      </c>
      <c r="Q296" s="45">
        <f t="shared" si="72"/>
        <v>282.93698520184432</v>
      </c>
      <c r="R296" s="153">
        <f t="shared" si="78"/>
        <v>0.50370421557102674</v>
      </c>
      <c r="S296">
        <v>14.045</v>
      </c>
      <c r="T296">
        <v>68.209999999999994</v>
      </c>
      <c r="U296">
        <v>44.67</v>
      </c>
      <c r="V296">
        <f t="shared" si="79"/>
        <v>126.925</v>
      </c>
      <c r="W296" s="152">
        <f t="shared" si="73"/>
        <v>1.2291667142158307</v>
      </c>
    </row>
    <row r="297" spans="1:23" ht="16.2" thickBot="1" x14ac:dyDescent="0.35">
      <c r="A297" s="56" t="s">
        <v>42</v>
      </c>
      <c r="B297" s="42">
        <v>1498.0093830000001</v>
      </c>
      <c r="C297" s="40">
        <v>1038.9413107500002</v>
      </c>
      <c r="D297" s="41">
        <f>IFERROR((C297-B297)/B297,100%)</f>
        <v>-0.30645206729656371</v>
      </c>
      <c r="E297" s="40">
        <v>39570078.900000006</v>
      </c>
      <c r="F297" s="40">
        <v>58878049.213200003</v>
      </c>
      <c r="G297" s="39">
        <f t="shared" si="67"/>
        <v>0.48794369002888177</v>
      </c>
      <c r="H297" s="150">
        <f t="shared" si="68"/>
        <v>2.8480077818696062E-2</v>
      </c>
      <c r="I297" s="150">
        <f>B297/$B$3</f>
        <v>2.7138988174347234E-2</v>
      </c>
      <c r="J297" s="204">
        <v>1013.1986144604024</v>
      </c>
      <c r="K297" s="36">
        <v>607.91916867624138</v>
      </c>
      <c r="L297" s="36">
        <v>648.44711325465755</v>
      </c>
      <c r="M297" s="36">
        <v>2269.5648963913013</v>
      </c>
      <c r="N297" s="36">
        <f t="shared" si="69"/>
        <v>1082.2429571104503</v>
      </c>
      <c r="O297" s="36">
        <f t="shared" si="70"/>
        <v>700.60991433992308</v>
      </c>
      <c r="P297" s="36">
        <f t="shared" si="71"/>
        <v>768.96210110479365</v>
      </c>
      <c r="Q297" s="148">
        <f t="shared" si="72"/>
        <v>2551.8149725551671</v>
      </c>
      <c r="R297" s="41"/>
      <c r="S297" s="42">
        <f>SUM(S290:S296)</f>
        <v>482.98290000000003</v>
      </c>
      <c r="T297" s="42">
        <f>SUM(T290:T296)</f>
        <v>490</v>
      </c>
      <c r="U297" s="42">
        <f>SUM(U290:U296)</f>
        <v>403.8175</v>
      </c>
      <c r="V297" s="147">
        <f>SUM(V290:V296)</f>
        <v>1376.8004000000001</v>
      </c>
      <c r="W297" s="146">
        <f t="shared" si="73"/>
        <v>0.85343857581328919</v>
      </c>
    </row>
    <row r="298" spans="1:23" ht="16.2" customHeight="1" x14ac:dyDescent="0.3">
      <c r="A298" s="58" t="s">
        <v>41</v>
      </c>
      <c r="B298" s="157">
        <v>0</v>
      </c>
      <c r="C298" s="5">
        <v>0</v>
      </c>
      <c r="D298" s="50">
        <f>IFERROR((C298-B298)/B298,100%)</f>
        <v>1</v>
      </c>
      <c r="E298" s="49">
        <v>0</v>
      </c>
      <c r="F298" s="49">
        <v>95200.000000000015</v>
      </c>
      <c r="G298" s="48">
        <f t="shared" si="67"/>
        <v>1</v>
      </c>
      <c r="H298" s="207">
        <f t="shared" si="68"/>
        <v>0</v>
      </c>
      <c r="I298" s="206">
        <f>B298/$B$3</f>
        <v>0</v>
      </c>
      <c r="J298" s="205">
        <v>24.000000000000004</v>
      </c>
      <c r="K298" s="205">
        <v>14.4</v>
      </c>
      <c r="L298" s="205">
        <v>15.360000000000001</v>
      </c>
      <c r="M298" s="154">
        <v>53.760000000000005</v>
      </c>
      <c r="N298" s="45">
        <f t="shared" si="69"/>
        <v>0</v>
      </c>
      <c r="O298" s="45">
        <f t="shared" si="70"/>
        <v>0</v>
      </c>
      <c r="P298" s="45">
        <f t="shared" si="71"/>
        <v>0</v>
      </c>
      <c r="Q298" s="45">
        <f t="shared" si="72"/>
        <v>0</v>
      </c>
      <c r="R298" s="153">
        <f t="shared" ref="R298:R308" si="80">Q298/M298-1</f>
        <v>-1</v>
      </c>
      <c r="S298">
        <v>0</v>
      </c>
      <c r="T298">
        <v>0</v>
      </c>
      <c r="U298">
        <v>0</v>
      </c>
      <c r="V298">
        <f t="shared" ref="V298:V308" si="81">SUM(S298:U298)</f>
        <v>0</v>
      </c>
      <c r="W298" s="152">
        <f t="shared" si="73"/>
        <v>1</v>
      </c>
    </row>
    <row r="299" spans="1:23" ht="16.2" customHeight="1" x14ac:dyDescent="0.3">
      <c r="A299" s="57" t="s">
        <v>40</v>
      </c>
      <c r="B299" s="157">
        <v>0</v>
      </c>
      <c r="C299" s="5">
        <v>0</v>
      </c>
      <c r="D299" s="50">
        <f>IFERROR((C299-B299)/B299,100%)</f>
        <v>1</v>
      </c>
      <c r="E299" s="49">
        <v>0</v>
      </c>
      <c r="F299" s="49">
        <v>83300</v>
      </c>
      <c r="G299" s="48">
        <f t="shared" si="67"/>
        <v>1</v>
      </c>
      <c r="H299" s="207">
        <f t="shared" si="68"/>
        <v>0</v>
      </c>
      <c r="I299" s="206">
        <f>B299/$B$3</f>
        <v>0</v>
      </c>
      <c r="J299" s="205">
        <v>20.999999999999996</v>
      </c>
      <c r="K299" s="205">
        <v>12.6</v>
      </c>
      <c r="L299" s="205">
        <v>13.44</v>
      </c>
      <c r="M299" s="154">
        <v>47.039999999999992</v>
      </c>
      <c r="N299" s="45">
        <f t="shared" si="69"/>
        <v>0</v>
      </c>
      <c r="O299" s="45">
        <f t="shared" si="70"/>
        <v>0</v>
      </c>
      <c r="P299" s="45">
        <f t="shared" si="71"/>
        <v>0</v>
      </c>
      <c r="Q299" s="45">
        <f t="shared" si="72"/>
        <v>0</v>
      </c>
      <c r="R299" s="153">
        <f t="shared" si="80"/>
        <v>-1</v>
      </c>
      <c r="S299">
        <v>0</v>
      </c>
      <c r="T299">
        <v>0</v>
      </c>
      <c r="U299">
        <v>0</v>
      </c>
      <c r="V299">
        <f t="shared" si="81"/>
        <v>0</v>
      </c>
      <c r="W299" s="152">
        <f t="shared" si="73"/>
        <v>1</v>
      </c>
    </row>
    <row r="300" spans="1:23" ht="16.2" customHeight="1" x14ac:dyDescent="0.3">
      <c r="A300" s="55" t="s">
        <v>39</v>
      </c>
      <c r="B300" s="157">
        <v>87.867644999999996</v>
      </c>
      <c r="C300" s="5">
        <v>77.615580000000008</v>
      </c>
      <c r="D300" s="50">
        <f>IFERROR((C300-B300)/B300,100%)</f>
        <v>-0.11667622365433816</v>
      </c>
      <c r="E300" s="49">
        <v>2862400.5</v>
      </c>
      <c r="F300" s="49">
        <v>3334040.0310000004</v>
      </c>
      <c r="G300" s="48">
        <f t="shared" si="67"/>
        <v>0.16477062905767395</v>
      </c>
      <c r="H300" s="207">
        <f t="shared" si="68"/>
        <v>2.1276444929766978E-3</v>
      </c>
      <c r="I300" s="206">
        <f>B300/$B$3</f>
        <v>1.5918718571622864E-3</v>
      </c>
      <c r="J300" s="205">
        <v>96.000000000000014</v>
      </c>
      <c r="K300" s="205">
        <v>57.6</v>
      </c>
      <c r="L300" s="205">
        <v>61.440000000000005</v>
      </c>
      <c r="M300" s="154">
        <v>215.04000000000002</v>
      </c>
      <c r="N300" s="45">
        <f t="shared" si="69"/>
        <v>80.850490733114512</v>
      </c>
      <c r="O300" s="45">
        <f t="shared" si="70"/>
        <v>52.340054527226769</v>
      </c>
      <c r="P300" s="45">
        <f t="shared" si="71"/>
        <v>57.446401310370838</v>
      </c>
      <c r="Q300" s="45">
        <f t="shared" si="72"/>
        <v>190.63694657071213</v>
      </c>
      <c r="R300" s="153">
        <f t="shared" si="80"/>
        <v>-0.11348146125970937</v>
      </c>
      <c r="S300">
        <v>52.291249999999998</v>
      </c>
      <c r="T300">
        <v>36.08</v>
      </c>
      <c r="U300">
        <v>49.51</v>
      </c>
      <c r="V300">
        <f t="shared" si="81"/>
        <v>137.88124999999999</v>
      </c>
      <c r="W300" s="152">
        <f t="shared" si="73"/>
        <v>0.38261690092534073</v>
      </c>
    </row>
    <row r="301" spans="1:23" ht="16.2" customHeight="1" x14ac:dyDescent="0.3">
      <c r="A301" s="57" t="s">
        <v>38</v>
      </c>
      <c r="B301" s="157">
        <v>0</v>
      </c>
      <c r="C301" s="5">
        <v>11.2875</v>
      </c>
      <c r="D301" s="50">
        <f>IFERROR((C301-B301)/B301,100%)</f>
        <v>1</v>
      </c>
      <c r="E301" s="49">
        <v>0</v>
      </c>
      <c r="F301" s="49">
        <v>342016.5</v>
      </c>
      <c r="G301" s="48">
        <f t="shared" si="67"/>
        <v>1</v>
      </c>
      <c r="H301" s="207">
        <f t="shared" si="68"/>
        <v>3.0941967082478121E-4</v>
      </c>
      <c r="I301" s="206">
        <f>B301/$B$3</f>
        <v>0</v>
      </c>
      <c r="J301" s="205">
        <v>20.999999999999996</v>
      </c>
      <c r="K301" s="205">
        <v>12.6</v>
      </c>
      <c r="L301" s="205">
        <v>13.44</v>
      </c>
      <c r="M301" s="154">
        <v>47.039999999999992</v>
      </c>
      <c r="N301" s="45">
        <f t="shared" si="69"/>
        <v>11.757947491341685</v>
      </c>
      <c r="O301" s="45">
        <f t="shared" si="70"/>
        <v>7.6117239022896177</v>
      </c>
      <c r="P301" s="45">
        <f t="shared" si="71"/>
        <v>8.354331112269092</v>
      </c>
      <c r="Q301" s="45">
        <f t="shared" si="72"/>
        <v>27.724002505900394</v>
      </c>
      <c r="R301" s="153">
        <f t="shared" si="80"/>
        <v>-0.41062919842898815</v>
      </c>
      <c r="S301">
        <v>0</v>
      </c>
      <c r="T301">
        <v>4.76</v>
      </c>
      <c r="U301">
        <v>4.88</v>
      </c>
      <c r="V301">
        <f t="shared" si="81"/>
        <v>9.64</v>
      </c>
      <c r="W301" s="152">
        <f t="shared" si="73"/>
        <v>1.8759338699066797</v>
      </c>
    </row>
    <row r="302" spans="1:23" ht="16.2" customHeight="1" x14ac:dyDescent="0.3">
      <c r="A302" s="57" t="s">
        <v>37</v>
      </c>
      <c r="B302" s="157">
        <v>0</v>
      </c>
      <c r="C302" s="5">
        <v>0</v>
      </c>
      <c r="D302" s="50">
        <f>IFERROR((C302-B302)/B302,100%)</f>
        <v>1</v>
      </c>
      <c r="E302" s="49">
        <v>0</v>
      </c>
      <c r="F302" s="49">
        <v>253732.5</v>
      </c>
      <c r="G302" s="48">
        <f t="shared" si="67"/>
        <v>1</v>
      </c>
      <c r="H302" s="207">
        <f t="shared" si="68"/>
        <v>0</v>
      </c>
      <c r="I302" s="206">
        <f>B302/$B$3</f>
        <v>0</v>
      </c>
      <c r="J302" s="205">
        <v>20.999999999999996</v>
      </c>
      <c r="K302" s="205">
        <v>12.6</v>
      </c>
      <c r="L302" s="205">
        <v>13.44</v>
      </c>
      <c r="M302" s="154">
        <v>47.039999999999992</v>
      </c>
      <c r="N302" s="45">
        <f t="shared" si="69"/>
        <v>0</v>
      </c>
      <c r="O302" s="45">
        <f t="shared" si="70"/>
        <v>0</v>
      </c>
      <c r="P302" s="45">
        <f t="shared" si="71"/>
        <v>0</v>
      </c>
      <c r="Q302" s="45">
        <f t="shared" si="72"/>
        <v>0</v>
      </c>
      <c r="R302" s="153">
        <f t="shared" si="80"/>
        <v>-1</v>
      </c>
      <c r="S302">
        <v>0</v>
      </c>
      <c r="T302">
        <v>1.43</v>
      </c>
      <c r="U302">
        <v>1.22</v>
      </c>
      <c r="V302">
        <f t="shared" si="81"/>
        <v>2.65</v>
      </c>
      <c r="W302" s="152">
        <f t="shared" si="73"/>
        <v>-1</v>
      </c>
    </row>
    <row r="303" spans="1:23" ht="16.2" customHeight="1" x14ac:dyDescent="0.3">
      <c r="A303" s="57" t="s">
        <v>36</v>
      </c>
      <c r="B303" s="157">
        <v>0</v>
      </c>
      <c r="C303" s="5">
        <v>15.309000000000001</v>
      </c>
      <c r="D303" s="50">
        <f>IFERROR((C303-B303)/B303,100%)</f>
        <v>1</v>
      </c>
      <c r="E303" s="49">
        <v>0</v>
      </c>
      <c r="F303" s="49">
        <v>78669</v>
      </c>
      <c r="G303" s="48">
        <f t="shared" si="67"/>
        <v>1</v>
      </c>
      <c r="H303" s="207">
        <f t="shared" si="68"/>
        <v>4.1965942331398235E-4</v>
      </c>
      <c r="I303" s="206">
        <f>B303/$B$3</f>
        <v>0</v>
      </c>
      <c r="J303" s="205">
        <v>6.0000000000000009</v>
      </c>
      <c r="K303" s="205">
        <v>3.6</v>
      </c>
      <c r="L303" s="205">
        <v>3.8400000000000003</v>
      </c>
      <c r="M303" s="154">
        <v>13.440000000000001</v>
      </c>
      <c r="N303" s="45">
        <f t="shared" si="69"/>
        <v>15.94705808593133</v>
      </c>
      <c r="O303" s="45">
        <f t="shared" si="70"/>
        <v>10.323621813523966</v>
      </c>
      <c r="P303" s="45">
        <f t="shared" si="71"/>
        <v>11.330804429477524</v>
      </c>
      <c r="Q303" s="45">
        <f t="shared" si="72"/>
        <v>37.60148432893282</v>
      </c>
      <c r="R303" s="153">
        <f t="shared" si="80"/>
        <v>1.7977294887598823</v>
      </c>
      <c r="S303">
        <v>0</v>
      </c>
      <c r="T303">
        <v>1.67</v>
      </c>
      <c r="U303">
        <v>0.73250000000000004</v>
      </c>
      <c r="V303">
        <f t="shared" si="81"/>
        <v>2.4024999999999999</v>
      </c>
      <c r="W303" s="152">
        <f t="shared" si="73"/>
        <v>14.650982030773289</v>
      </c>
    </row>
    <row r="304" spans="1:23" ht="16.2" customHeight="1" x14ac:dyDescent="0.3">
      <c r="A304" s="57" t="s">
        <v>35</v>
      </c>
      <c r="B304" s="157">
        <v>0</v>
      </c>
      <c r="C304" s="5">
        <v>0</v>
      </c>
      <c r="D304" s="50">
        <f>IFERROR((C304-B304)/B304,100%)</f>
        <v>1</v>
      </c>
      <c r="E304" s="49">
        <v>0</v>
      </c>
      <c r="F304" s="49">
        <v>72495</v>
      </c>
      <c r="G304" s="48">
        <f t="shared" si="67"/>
        <v>1</v>
      </c>
      <c r="H304" s="207">
        <f t="shared" si="68"/>
        <v>0</v>
      </c>
      <c r="I304" s="206">
        <f>B304/$B$3</f>
        <v>0</v>
      </c>
      <c r="J304" s="205">
        <v>6.0000000000000009</v>
      </c>
      <c r="K304" s="205">
        <v>3.6</v>
      </c>
      <c r="L304" s="205">
        <v>3.8400000000000003</v>
      </c>
      <c r="M304" s="154">
        <v>13.440000000000001</v>
      </c>
      <c r="N304" s="45">
        <f t="shared" si="69"/>
        <v>0</v>
      </c>
      <c r="O304" s="45">
        <f t="shared" si="70"/>
        <v>0</v>
      </c>
      <c r="P304" s="45">
        <f t="shared" si="71"/>
        <v>0</v>
      </c>
      <c r="Q304" s="45">
        <f t="shared" si="72"/>
        <v>0</v>
      </c>
      <c r="R304" s="153">
        <f t="shared" si="80"/>
        <v>-1</v>
      </c>
      <c r="S304">
        <v>0</v>
      </c>
      <c r="T304">
        <v>2.38</v>
      </c>
      <c r="U304">
        <v>2.44</v>
      </c>
      <c r="V304">
        <f t="shared" si="81"/>
        <v>4.82</v>
      </c>
      <c r="W304" s="152">
        <f t="shared" si="73"/>
        <v>-1</v>
      </c>
    </row>
    <row r="305" spans="1:23" ht="16.2" customHeight="1" x14ac:dyDescent="0.3">
      <c r="A305" s="57" t="s">
        <v>34</v>
      </c>
      <c r="B305" s="157">
        <v>49.282687200000005</v>
      </c>
      <c r="C305" s="5">
        <v>4.0635000000000003</v>
      </c>
      <c r="D305" s="50">
        <f>IFERROR((C305-B305)/B305,100%)</f>
        <v>-0.91754710972822118</v>
      </c>
      <c r="E305" s="49">
        <v>2020609.8</v>
      </c>
      <c r="F305" s="49">
        <v>118003.5</v>
      </c>
      <c r="G305" s="48">
        <f t="shared" si="67"/>
        <v>-0.94160005558717963</v>
      </c>
      <c r="H305" s="207">
        <f t="shared" si="68"/>
        <v>1.1139108149692125E-4</v>
      </c>
      <c r="I305" s="206">
        <f>B305/$B$3</f>
        <v>8.9283971135236469E-4</v>
      </c>
      <c r="J305" s="205">
        <v>9</v>
      </c>
      <c r="K305" s="205">
        <v>5.4</v>
      </c>
      <c r="L305" s="205">
        <v>5.76</v>
      </c>
      <c r="M305" s="154">
        <v>20.16</v>
      </c>
      <c r="N305" s="45">
        <f t="shared" si="69"/>
        <v>4.2328610968830072</v>
      </c>
      <c r="O305" s="45">
        <f t="shared" si="70"/>
        <v>2.7402206048242626</v>
      </c>
      <c r="P305" s="45">
        <f t="shared" si="71"/>
        <v>3.0075592004168739</v>
      </c>
      <c r="Q305" s="45">
        <f t="shared" si="72"/>
        <v>9.9806409021241436</v>
      </c>
      <c r="R305" s="153">
        <f t="shared" si="80"/>
        <v>-0.50492852668035004</v>
      </c>
      <c r="S305">
        <v>24.337499999999999</v>
      </c>
      <c r="T305">
        <v>2.38</v>
      </c>
      <c r="U305">
        <v>2.44</v>
      </c>
      <c r="V305">
        <f t="shared" si="81"/>
        <v>29.157499999999999</v>
      </c>
      <c r="W305" s="152">
        <f t="shared" si="73"/>
        <v>-0.6576990173326196</v>
      </c>
    </row>
    <row r="306" spans="1:23" ht="16.2" customHeight="1" x14ac:dyDescent="0.3">
      <c r="A306" s="57" t="s">
        <v>33</v>
      </c>
      <c r="B306" s="157">
        <v>0</v>
      </c>
      <c r="C306" s="5">
        <v>0</v>
      </c>
      <c r="D306" s="50">
        <f>IFERROR((C306-B306)/B306,100%)</f>
        <v>1</v>
      </c>
      <c r="E306" s="49">
        <v>0</v>
      </c>
      <c r="F306" s="49">
        <v>108742.5</v>
      </c>
      <c r="G306" s="48">
        <f t="shared" si="67"/>
        <v>1</v>
      </c>
      <c r="H306" s="207">
        <f t="shared" si="68"/>
        <v>0</v>
      </c>
      <c r="I306" s="206">
        <f>B306/$B$3</f>
        <v>0</v>
      </c>
      <c r="J306" s="205">
        <v>9</v>
      </c>
      <c r="K306" s="205">
        <v>5.4</v>
      </c>
      <c r="L306" s="205">
        <v>5.76</v>
      </c>
      <c r="M306" s="154">
        <v>20.16</v>
      </c>
      <c r="N306" s="45">
        <f t="shared" si="69"/>
        <v>0</v>
      </c>
      <c r="O306" s="45">
        <f t="shared" si="70"/>
        <v>0</v>
      </c>
      <c r="P306" s="45">
        <f t="shared" si="71"/>
        <v>0</v>
      </c>
      <c r="Q306" s="45">
        <f t="shared" si="72"/>
        <v>0</v>
      </c>
      <c r="R306" s="153">
        <f t="shared" si="80"/>
        <v>-1</v>
      </c>
      <c r="S306">
        <v>0</v>
      </c>
      <c r="T306">
        <v>2.14</v>
      </c>
      <c r="U306">
        <v>2.1974999999999998</v>
      </c>
      <c r="V306">
        <f t="shared" si="81"/>
        <v>4.3375000000000004</v>
      </c>
      <c r="W306" s="152">
        <f t="shared" si="73"/>
        <v>-1</v>
      </c>
    </row>
    <row r="307" spans="1:23" ht="16.2" customHeight="1" x14ac:dyDescent="0.3">
      <c r="A307" s="57" t="s">
        <v>32</v>
      </c>
      <c r="B307" s="157">
        <v>0</v>
      </c>
      <c r="C307" s="5">
        <v>0</v>
      </c>
      <c r="D307" s="50">
        <f>IFERROR((C307-B307)/B307,100%)</f>
        <v>1</v>
      </c>
      <c r="E307" s="49">
        <v>0</v>
      </c>
      <c r="F307" s="49">
        <v>78669</v>
      </c>
      <c r="G307" s="48">
        <f t="shared" si="67"/>
        <v>1</v>
      </c>
      <c r="H307" s="207">
        <f t="shared" si="68"/>
        <v>0</v>
      </c>
      <c r="I307" s="206">
        <f>B307/$B$3</f>
        <v>0</v>
      </c>
      <c r="J307" s="205">
        <v>6.0000000000000009</v>
      </c>
      <c r="K307" s="205">
        <v>3.6</v>
      </c>
      <c r="L307" s="205">
        <v>3.8400000000000003</v>
      </c>
      <c r="M307" s="154">
        <v>13.440000000000001</v>
      </c>
      <c r="N307" s="45">
        <f t="shared" si="69"/>
        <v>0</v>
      </c>
      <c r="O307" s="45">
        <f t="shared" si="70"/>
        <v>0</v>
      </c>
      <c r="P307" s="45">
        <f t="shared" si="71"/>
        <v>0</v>
      </c>
      <c r="Q307" s="45">
        <f t="shared" si="72"/>
        <v>0</v>
      </c>
      <c r="R307" s="153">
        <f t="shared" si="80"/>
        <v>-1</v>
      </c>
      <c r="S307">
        <v>0</v>
      </c>
      <c r="T307">
        <v>0</v>
      </c>
      <c r="U307">
        <v>1.22</v>
      </c>
      <c r="V307">
        <f t="shared" si="81"/>
        <v>1.22</v>
      </c>
      <c r="W307" s="152">
        <f t="shared" si="73"/>
        <v>-1</v>
      </c>
    </row>
    <row r="308" spans="1:23" ht="16.2" customHeight="1" thickBot="1" x14ac:dyDescent="0.35">
      <c r="A308" s="54" t="s">
        <v>31</v>
      </c>
      <c r="B308" s="157">
        <v>0</v>
      </c>
      <c r="C308" s="5">
        <v>4.5149999999999997</v>
      </c>
      <c r="D308" s="50">
        <f>IFERROR((C308-B308)/B308,100%)</f>
        <v>1</v>
      </c>
      <c r="E308" s="49">
        <v>0</v>
      </c>
      <c r="F308" s="49">
        <v>72495</v>
      </c>
      <c r="G308" s="48">
        <f t="shared" si="67"/>
        <v>1</v>
      </c>
      <c r="H308" s="207">
        <f t="shared" si="68"/>
        <v>1.2376786832991247E-4</v>
      </c>
      <c r="I308" s="206">
        <f>B308/$B$3</f>
        <v>0</v>
      </c>
      <c r="J308" s="205">
        <v>6.0000000000000009</v>
      </c>
      <c r="K308" s="205">
        <v>3.6</v>
      </c>
      <c r="L308" s="205">
        <v>3.8400000000000003</v>
      </c>
      <c r="M308" s="154">
        <v>13.440000000000001</v>
      </c>
      <c r="N308" s="45">
        <f t="shared" si="69"/>
        <v>4.7031789965366739</v>
      </c>
      <c r="O308" s="45">
        <f t="shared" si="70"/>
        <v>3.0446895609158466</v>
      </c>
      <c r="P308" s="45">
        <f t="shared" si="71"/>
        <v>3.3417324449076369</v>
      </c>
      <c r="Q308" s="45">
        <f t="shared" si="72"/>
        <v>11.089601002360157</v>
      </c>
      <c r="R308" s="153">
        <f t="shared" si="80"/>
        <v>-0.1748808778005837</v>
      </c>
      <c r="S308">
        <v>0</v>
      </c>
      <c r="T308">
        <v>9.0399999999999991</v>
      </c>
      <c r="U308">
        <v>9.2725000000000009</v>
      </c>
      <c r="V308">
        <f t="shared" si="81"/>
        <v>18.3125</v>
      </c>
      <c r="W308" s="152">
        <f t="shared" si="73"/>
        <v>-0.39442451864244876</v>
      </c>
    </row>
    <row r="309" spans="1:23" ht="16.2" thickBot="1" x14ac:dyDescent="0.35">
      <c r="A309" s="56" t="s">
        <v>30</v>
      </c>
      <c r="B309" s="42">
        <v>137.15033220000001</v>
      </c>
      <c r="C309" s="40">
        <v>112.79058000000001</v>
      </c>
      <c r="D309" s="41">
        <f>IFERROR((C309-B309)/B309,100%)</f>
        <v>-0.17761351218950969</v>
      </c>
      <c r="E309" s="40">
        <v>4883010.3</v>
      </c>
      <c r="F309" s="40">
        <v>4637363.0310000004</v>
      </c>
      <c r="G309" s="39">
        <f t="shared" si="67"/>
        <v>-5.0306522802132818E-2</v>
      </c>
      <c r="H309" s="150">
        <f t="shared" si="68"/>
        <v>3.0918825369422947E-3</v>
      </c>
      <c r="I309" s="150">
        <f>B309/$B$3</f>
        <v>2.4847115685146513E-3</v>
      </c>
      <c r="J309" s="204">
        <v>225</v>
      </c>
      <c r="K309" s="36">
        <v>134.99999999999997</v>
      </c>
      <c r="L309" s="36">
        <v>144</v>
      </c>
      <c r="M309" s="36">
        <v>504</v>
      </c>
      <c r="N309" s="36">
        <f t="shared" si="69"/>
        <v>117.4915364038072</v>
      </c>
      <c r="O309" s="36">
        <f t="shared" si="70"/>
        <v>76.060310408780452</v>
      </c>
      <c r="P309" s="36">
        <f t="shared" si="71"/>
        <v>83.480828497441962</v>
      </c>
      <c r="Q309" s="148">
        <f t="shared" si="72"/>
        <v>277.03267531002962</v>
      </c>
      <c r="R309" s="41"/>
      <c r="S309" s="42">
        <f>SUM(S298:S308)</f>
        <v>76.628749999999997</v>
      </c>
      <c r="T309" s="42">
        <f>SUM(T298:T308)</f>
        <v>59.88</v>
      </c>
      <c r="U309" s="42">
        <f>SUM(U298:U308)</f>
        <v>73.912499999999994</v>
      </c>
      <c r="V309" s="147">
        <f>SUM(V298:V308)</f>
        <v>210.42125000000001</v>
      </c>
      <c r="W309" s="146">
        <f t="shared" si="73"/>
        <v>0.31656225457281334</v>
      </c>
    </row>
    <row r="310" spans="1:23" ht="16.2" customHeight="1" thickBot="1" x14ac:dyDescent="0.35">
      <c r="A310" s="35" t="s">
        <v>29</v>
      </c>
      <c r="B310" s="34">
        <v>3124.3353882000001</v>
      </c>
      <c r="C310" s="32">
        <v>2173.9400182500003</v>
      </c>
      <c r="D310" s="33">
        <f>IFERROR((C310-B310)/B310,100%)</f>
        <v>-0.30419121248616782</v>
      </c>
      <c r="E310" s="32">
        <v>79436926.800000012</v>
      </c>
      <c r="F310" s="32">
        <v>117290282.94771257</v>
      </c>
      <c r="G310" s="31">
        <f t="shared" si="67"/>
        <v>0.47652090372298433</v>
      </c>
      <c r="H310" s="144">
        <f t="shared" si="68"/>
        <v>5.9593338191781524E-2</v>
      </c>
      <c r="I310" s="144">
        <f>B310/$B$3</f>
        <v>5.6602650233903359E-2</v>
      </c>
      <c r="J310" s="203">
        <v>2252.1986144604025</v>
      </c>
      <c r="K310" s="202">
        <v>1351.3191686762414</v>
      </c>
      <c r="L310" s="202">
        <v>1441.4071132546576</v>
      </c>
      <c r="M310" s="202">
        <v>5044.9248963913014</v>
      </c>
      <c r="N310" s="28">
        <f t="shared" si="69"/>
        <v>2264.5468512876978</v>
      </c>
      <c r="O310" s="28">
        <f t="shared" si="70"/>
        <v>1465.9961195178255</v>
      </c>
      <c r="P310" s="28">
        <f t="shared" si="71"/>
        <v>1609.0201311781011</v>
      </c>
      <c r="Q310" s="143">
        <f t="shared" si="72"/>
        <v>5339.5631019836246</v>
      </c>
      <c r="R310" s="142"/>
      <c r="S310" s="34">
        <f>S309+S297+S289</f>
        <v>1065.6772000000001</v>
      </c>
      <c r="T310" s="34">
        <f>T309+T297+T289</f>
        <v>1129.9000000000001</v>
      </c>
      <c r="U310" s="34">
        <f>U309+U297+U289</f>
        <v>912.57</v>
      </c>
      <c r="V310" s="141">
        <f>V309+V297+V289</f>
        <v>3108.1472000000003</v>
      </c>
      <c r="W310" s="140">
        <f t="shared" si="73"/>
        <v>0.71792478232164292</v>
      </c>
    </row>
    <row r="311" spans="1:23" ht="16.2" customHeight="1" x14ac:dyDescent="0.3">
      <c r="A311" s="53" t="s">
        <v>28</v>
      </c>
      <c r="B311" s="157">
        <v>381.592353</v>
      </c>
      <c r="C311" s="5">
        <v>198.17568750000001</v>
      </c>
      <c r="D311" s="50">
        <f>IFERROR((C311-B311)/B311,100%)</f>
        <v>-0.48066127127028668</v>
      </c>
      <c r="E311" s="49">
        <v>10308032.279999999</v>
      </c>
      <c r="F311" s="49">
        <v>9982524.3000000007</v>
      </c>
      <c r="G311" s="48">
        <f t="shared" si="67"/>
        <v>-3.1578090867212402E-2</v>
      </c>
      <c r="H311" s="207">
        <f t="shared" si="68"/>
        <v>5.4325099438958767E-3</v>
      </c>
      <c r="I311" s="206">
        <f>B311/$B$3</f>
        <v>6.9131945854362751E-3</v>
      </c>
      <c r="J311" s="205">
        <v>89.999999999999986</v>
      </c>
      <c r="K311" s="205">
        <v>53.999999999999993</v>
      </c>
      <c r="L311" s="205">
        <v>57.599999999999994</v>
      </c>
      <c r="M311" s="154">
        <v>201.59999999999997</v>
      </c>
      <c r="N311" s="45">
        <f t="shared" si="69"/>
        <v>206.4353778680433</v>
      </c>
      <c r="O311" s="45">
        <f t="shared" si="70"/>
        <v>133.63974461983855</v>
      </c>
      <c r="P311" s="45">
        <f t="shared" si="71"/>
        <v>146.67776848518866</v>
      </c>
      <c r="Q311" s="45">
        <f t="shared" si="72"/>
        <v>486.75289097307052</v>
      </c>
      <c r="R311" s="153">
        <f>Q311/M311-1</f>
        <v>1.4144488639537234</v>
      </c>
      <c r="S311">
        <v>97.004449999999991</v>
      </c>
      <c r="T311">
        <v>85.79</v>
      </c>
      <c r="U311">
        <v>36.094999999999999</v>
      </c>
      <c r="V311">
        <f>SUM(S311:U311)</f>
        <v>218.88944999999998</v>
      </c>
      <c r="W311" s="152">
        <f t="shared" si="73"/>
        <v>1.2237384715118547</v>
      </c>
    </row>
    <row r="312" spans="1:23" ht="16.2" customHeight="1" x14ac:dyDescent="0.3">
      <c r="A312" s="52" t="s">
        <v>27</v>
      </c>
      <c r="B312" s="157">
        <v>0</v>
      </c>
      <c r="C312" s="5">
        <v>65.369062499999998</v>
      </c>
      <c r="D312" s="50">
        <f>IFERROR((C312-B312)/B312,100%)</f>
        <v>1</v>
      </c>
      <c r="E312" s="49">
        <v>0</v>
      </c>
      <c r="F312" s="49">
        <v>0</v>
      </c>
      <c r="G312" s="48">
        <f t="shared" si="67"/>
        <v>1</v>
      </c>
      <c r="H312" s="207">
        <f t="shared" si="68"/>
        <v>1.791935663421887E-3</v>
      </c>
      <c r="I312" s="206">
        <f>B312/$B$3</f>
        <v>0</v>
      </c>
      <c r="J312" s="205">
        <v>179.99999999999997</v>
      </c>
      <c r="K312" s="205">
        <v>107.99999999999999</v>
      </c>
      <c r="L312" s="205">
        <v>115.19999999999999</v>
      </c>
      <c r="M312" s="154">
        <v>403.19999999999993</v>
      </c>
      <c r="N312" s="45">
        <f t="shared" si="69"/>
        <v>68.09355521003171</v>
      </c>
      <c r="O312" s="45">
        <f t="shared" si="70"/>
        <v>44.081617320178424</v>
      </c>
      <c r="P312" s="45">
        <f t="shared" si="71"/>
        <v>48.382262912390949</v>
      </c>
      <c r="Q312" s="45">
        <f t="shared" si="72"/>
        <v>160.55743544260108</v>
      </c>
      <c r="R312" s="153">
        <f>Q312/M312-1</f>
        <v>-0.60179207479513619</v>
      </c>
      <c r="S312">
        <v>0</v>
      </c>
      <c r="T312">
        <v>38.549999999999997</v>
      </c>
      <c r="U312">
        <v>16.217500000000001</v>
      </c>
      <c r="V312">
        <f>SUM(S312:U312)</f>
        <v>54.767499999999998</v>
      </c>
      <c r="W312" s="152">
        <f t="shared" si="73"/>
        <v>1.9316188513735533</v>
      </c>
    </row>
    <row r="313" spans="1:23" ht="16.2" customHeight="1" x14ac:dyDescent="0.3">
      <c r="A313" s="52" t="s">
        <v>26</v>
      </c>
      <c r="B313" s="157">
        <v>87.928335000000004</v>
      </c>
      <c r="C313" s="5">
        <v>51.097725000000004</v>
      </c>
      <c r="D313" s="50">
        <f>IFERROR((C313-B313)/B313,100%)</f>
        <v>-0.4188707769799121</v>
      </c>
      <c r="E313" s="49">
        <v>2348040</v>
      </c>
      <c r="F313" s="49">
        <v>2990967.5040000002</v>
      </c>
      <c r="G313" s="48">
        <f t="shared" si="67"/>
        <v>0.27381454489702056</v>
      </c>
      <c r="H313" s="207">
        <f t="shared" si="68"/>
        <v>1.4007212624048899E-3</v>
      </c>
      <c r="I313" s="206">
        <f>B313/$B$3</f>
        <v>1.592971359749515E-3</v>
      </c>
      <c r="J313" s="205">
        <v>60</v>
      </c>
      <c r="K313" s="205">
        <v>36</v>
      </c>
      <c r="L313" s="205">
        <v>38.4</v>
      </c>
      <c r="M313" s="154">
        <v>134.4</v>
      </c>
      <c r="N313" s="45">
        <f t="shared" si="69"/>
        <v>53.227407971385816</v>
      </c>
      <c r="O313" s="45">
        <f t="shared" si="70"/>
        <v>34.457743055160293</v>
      </c>
      <c r="P313" s="45">
        <f t="shared" si="71"/>
        <v>37.819474084932025</v>
      </c>
      <c r="Q313" s="45">
        <f t="shared" si="72"/>
        <v>125.50462511147813</v>
      </c>
      <c r="R313" s="153">
        <f>Q313/M313-1</f>
        <v>-6.6185825063406756E-2</v>
      </c>
      <c r="S313">
        <v>37.615500000000004</v>
      </c>
      <c r="T313">
        <v>37.11</v>
      </c>
      <c r="U313">
        <v>12.42</v>
      </c>
      <c r="V313">
        <f>SUM(S313:U313)</f>
        <v>87.145500000000013</v>
      </c>
      <c r="W313" s="152">
        <f t="shared" si="73"/>
        <v>0.44017333208803799</v>
      </c>
    </row>
    <row r="314" spans="1:23" ht="16.2" customHeight="1" thickBot="1" x14ac:dyDescent="0.35">
      <c r="A314" s="51" t="s">
        <v>25</v>
      </c>
      <c r="B314" s="157">
        <v>218.00245799999999</v>
      </c>
      <c r="C314" s="5">
        <v>76.7345775</v>
      </c>
      <c r="D314" s="50">
        <f>IFERROR((C314-B314)/B314,100%)</f>
        <v>-0.64801049399176958</v>
      </c>
      <c r="E314" s="49">
        <v>5919492.4800000004</v>
      </c>
      <c r="F314" s="49">
        <v>2794025.85</v>
      </c>
      <c r="G314" s="48">
        <f t="shared" si="67"/>
        <v>-0.52799570918620375</v>
      </c>
      <c r="H314" s="207">
        <f t="shared" si="68"/>
        <v>2.1034939278785085E-3</v>
      </c>
      <c r="I314" s="206">
        <f>B314/$B$3</f>
        <v>3.9494853615617363E-3</v>
      </c>
      <c r="J314" s="205">
        <v>120</v>
      </c>
      <c r="K314" s="205">
        <v>72</v>
      </c>
      <c r="L314" s="205">
        <v>76.8</v>
      </c>
      <c r="M314" s="154">
        <v>268.8</v>
      </c>
      <c r="N314" s="45">
        <f t="shared" si="69"/>
        <v>79.932769259383321</v>
      </c>
      <c r="O314" s="45">
        <f t="shared" si="70"/>
        <v>51.745950625811311</v>
      </c>
      <c r="P314" s="45">
        <f t="shared" si="71"/>
        <v>56.794336052719729</v>
      </c>
      <c r="Q314" s="45">
        <f t="shared" si="72"/>
        <v>188.47305593791435</v>
      </c>
      <c r="R314" s="153">
        <f>Q314/M314-1</f>
        <v>-0.2988353573738306</v>
      </c>
      <c r="S314">
        <v>61.654499999999999</v>
      </c>
      <c r="T314">
        <v>99.23</v>
      </c>
      <c r="U314">
        <v>25.97</v>
      </c>
      <c r="V314">
        <f>SUM(S314:U314)</f>
        <v>186.8545</v>
      </c>
      <c r="W314" s="152">
        <f t="shared" si="73"/>
        <v>8.6621191243151825E-3</v>
      </c>
    </row>
    <row r="315" spans="1:23" ht="16.2" thickBot="1" x14ac:dyDescent="0.35">
      <c r="A315" s="43" t="s">
        <v>24</v>
      </c>
      <c r="B315" s="42">
        <v>687.523146</v>
      </c>
      <c r="C315" s="40">
        <v>391.37705250000005</v>
      </c>
      <c r="D315" s="41">
        <f>IFERROR((C315-B315)/B315,100%)</f>
        <v>-0.43074345238116529</v>
      </c>
      <c r="E315" s="40">
        <v>18575564.759999998</v>
      </c>
      <c r="F315" s="40">
        <v>15767517.654000001</v>
      </c>
      <c r="G315" s="39">
        <f t="shared" si="67"/>
        <v>-0.15116886847213129</v>
      </c>
      <c r="H315" s="150">
        <f t="shared" si="68"/>
        <v>1.0728660797601163E-2</v>
      </c>
      <c r="I315" s="150">
        <f>B315/$B$3</f>
        <v>1.2455651306747527E-2</v>
      </c>
      <c r="J315" s="204">
        <v>449.99999999999994</v>
      </c>
      <c r="K315" s="36">
        <v>270</v>
      </c>
      <c r="L315" s="36">
        <v>288</v>
      </c>
      <c r="M315" s="36">
        <v>1008</v>
      </c>
      <c r="N315" s="36">
        <f t="shared" si="69"/>
        <v>407.68911030884419</v>
      </c>
      <c r="O315" s="36">
        <f t="shared" si="70"/>
        <v>263.92505562098859</v>
      </c>
      <c r="P315" s="36">
        <f t="shared" si="71"/>
        <v>289.67384153523142</v>
      </c>
      <c r="Q315" s="148">
        <f t="shared" si="72"/>
        <v>961.2880074650642</v>
      </c>
      <c r="R315" s="41"/>
      <c r="S315" s="42">
        <f>SUM(S311:S314)</f>
        <v>196.27445</v>
      </c>
      <c r="T315" s="42">
        <f>SUM(T311:T314)</f>
        <v>260.68</v>
      </c>
      <c r="U315" s="42">
        <f>SUM(U311:U314)</f>
        <v>90.702500000000001</v>
      </c>
      <c r="V315" s="147">
        <f>SUM(V311:V314)</f>
        <v>547.65695000000005</v>
      </c>
      <c r="W315" s="146">
        <f t="shared" si="73"/>
        <v>0.75527400403676814</v>
      </c>
    </row>
    <row r="316" spans="1:23" ht="16.2" customHeight="1" x14ac:dyDescent="0.3">
      <c r="A316" s="53" t="s">
        <v>23</v>
      </c>
      <c r="B316" s="157">
        <v>150.829083</v>
      </c>
      <c r="C316" s="5">
        <v>118.81086000000001</v>
      </c>
      <c r="D316" s="50">
        <f>IFERROR((C316-B316)/B316,100%)</f>
        <v>-0.2122814934835876</v>
      </c>
      <c r="E316" s="49">
        <v>4546145.0999999996</v>
      </c>
      <c r="F316" s="49">
        <v>5728530.1500000004</v>
      </c>
      <c r="G316" s="48">
        <f t="shared" si="67"/>
        <v>0.26008519833649851</v>
      </c>
      <c r="H316" s="207">
        <f t="shared" si="68"/>
        <v>3.2569140369088962E-3</v>
      </c>
      <c r="I316" s="206">
        <f>B316/$B$3</f>
        <v>2.7325254076093039E-3</v>
      </c>
      <c r="J316" s="205">
        <v>165</v>
      </c>
      <c r="K316" s="205">
        <v>99</v>
      </c>
      <c r="L316" s="205">
        <v>105.60000000000001</v>
      </c>
      <c r="M316" s="154">
        <v>369.6</v>
      </c>
      <c r="N316" s="45">
        <f t="shared" si="69"/>
        <v>123.76273340253806</v>
      </c>
      <c r="O316" s="45">
        <f t="shared" si="70"/>
        <v>80.120085307958846</v>
      </c>
      <c r="P316" s="45">
        <f t="shared" si="71"/>
        <v>87.936678996540195</v>
      </c>
      <c r="Q316" s="45">
        <f t="shared" si="72"/>
        <v>291.8194977070371</v>
      </c>
      <c r="R316" s="153">
        <f t="shared" ref="R316:R324" si="82">Q316/M316-1</f>
        <v>-0.21044508196147971</v>
      </c>
      <c r="S316">
        <v>124.46355</v>
      </c>
      <c r="T316">
        <v>76.849999999999994</v>
      </c>
      <c r="U316">
        <v>63.022500000000001</v>
      </c>
      <c r="V316">
        <f>SUM(S316:U316)</f>
        <v>264.33605</v>
      </c>
      <c r="W316" s="152">
        <f t="shared" si="73"/>
        <v>0.10397162137754991</v>
      </c>
    </row>
    <row r="317" spans="1:23" ht="16.2" customHeight="1" x14ac:dyDescent="0.3">
      <c r="A317" s="52" t="s">
        <v>22</v>
      </c>
      <c r="B317" s="157">
        <v>0</v>
      </c>
      <c r="C317" s="5">
        <v>44.58684825000001</v>
      </c>
      <c r="D317" s="50">
        <f>IFERROR((C317-B317)/B317,100%)</f>
        <v>1</v>
      </c>
      <c r="E317" s="49">
        <v>0</v>
      </c>
      <c r="F317" s="49">
        <v>3159931.0164372469</v>
      </c>
      <c r="G317" s="48">
        <f t="shared" si="67"/>
        <v>1</v>
      </c>
      <c r="H317" s="207">
        <f t="shared" si="68"/>
        <v>1.222241232215236E-3</v>
      </c>
      <c r="I317" s="206">
        <f>B317/$B$3</f>
        <v>0</v>
      </c>
      <c r="J317" s="205">
        <v>54</v>
      </c>
      <c r="K317" s="205">
        <v>32.4</v>
      </c>
      <c r="L317" s="205">
        <v>34.56</v>
      </c>
      <c r="M317" s="154">
        <v>120.96000000000001</v>
      </c>
      <c r="N317" s="45">
        <f t="shared" si="69"/>
        <v>46.445166824178969</v>
      </c>
      <c r="O317" s="45">
        <f t="shared" si="70"/>
        <v>30.067134312494805</v>
      </c>
      <c r="P317" s="45">
        <f t="shared" si="71"/>
        <v>33.000513269811371</v>
      </c>
      <c r="Q317" s="45">
        <f t="shared" si="72"/>
        <v>109.51281440648515</v>
      </c>
      <c r="R317" s="153">
        <f t="shared" si="82"/>
        <v>-9.4636124285010448E-2</v>
      </c>
      <c r="S317">
        <v>0</v>
      </c>
      <c r="T317">
        <v>35.549999999999997</v>
      </c>
      <c r="U317">
        <v>10.7475</v>
      </c>
      <c r="V317">
        <f>SUM(S317:U317)</f>
        <v>46.297499999999999</v>
      </c>
      <c r="W317" s="152">
        <f t="shared" si="73"/>
        <v>1.3654152903825292</v>
      </c>
    </row>
    <row r="318" spans="1:23" ht="16.2" customHeight="1" x14ac:dyDescent="0.3">
      <c r="A318" s="52" t="s">
        <v>21</v>
      </c>
      <c r="B318" s="157">
        <v>0</v>
      </c>
      <c r="C318" s="5">
        <v>75.431658749999997</v>
      </c>
      <c r="D318" s="50">
        <f>IFERROR((C318-B318)/B318,100%)</f>
        <v>1</v>
      </c>
      <c r="E318" s="49">
        <v>0</v>
      </c>
      <c r="F318" s="49">
        <v>5895313.8170813406</v>
      </c>
      <c r="G318" s="48">
        <f t="shared" si="67"/>
        <v>1</v>
      </c>
      <c r="H318" s="207">
        <f t="shared" si="68"/>
        <v>2.0677775433171407E-3</v>
      </c>
      <c r="I318" s="206">
        <f>B318/$B$3</f>
        <v>0</v>
      </c>
      <c r="J318" s="205">
        <v>99</v>
      </c>
      <c r="K318" s="205">
        <v>59.4</v>
      </c>
      <c r="L318" s="205">
        <v>63.36</v>
      </c>
      <c r="M318" s="154">
        <v>221.76</v>
      </c>
      <c r="N318" s="45">
        <f t="shared" si="69"/>
        <v>78.57554664605135</v>
      </c>
      <c r="O318" s="45">
        <f t="shared" si="70"/>
        <v>50.867327565601663</v>
      </c>
      <c r="P318" s="45">
        <f t="shared" si="71"/>
        <v>55.829993669562796</v>
      </c>
      <c r="Q318" s="45">
        <f t="shared" si="72"/>
        <v>185.2728678812158</v>
      </c>
      <c r="R318" s="153">
        <f t="shared" si="82"/>
        <v>-0.16453432593246842</v>
      </c>
      <c r="S318">
        <v>0</v>
      </c>
      <c r="T318">
        <v>89.92</v>
      </c>
      <c r="U318">
        <v>27.1875</v>
      </c>
      <c r="V318">
        <f>SUM(S318:U318)</f>
        <v>117.1075</v>
      </c>
      <c r="W318" s="152">
        <f t="shared" si="73"/>
        <v>0.58207516923523939</v>
      </c>
    </row>
    <row r="319" spans="1:23" ht="16.2" customHeight="1" x14ac:dyDescent="0.3">
      <c r="A319" s="52" t="s">
        <v>20</v>
      </c>
      <c r="B319" s="157">
        <v>359.66556600000001</v>
      </c>
      <c r="C319" s="5">
        <v>50.786237250000006</v>
      </c>
      <c r="D319" s="50">
        <f>IFERROR((C319-B319)/B319,100%)</f>
        <v>-0.85879594253401503</v>
      </c>
      <c r="E319" s="49">
        <v>8262000</v>
      </c>
      <c r="F319" s="49">
        <v>3925637.2582407072</v>
      </c>
      <c r="G319" s="48">
        <f t="shared" si="67"/>
        <v>-0.52485629892995556</v>
      </c>
      <c r="H319" s="207">
        <f t="shared" si="68"/>
        <v>1.3921825747352597E-3</v>
      </c>
      <c r="I319" s="206">
        <f>B319/$B$3</f>
        <v>6.5159535401881422E-3</v>
      </c>
      <c r="J319" s="205">
        <v>66</v>
      </c>
      <c r="K319" s="205">
        <v>39.6</v>
      </c>
      <c r="L319" s="205">
        <v>42.24</v>
      </c>
      <c r="M319" s="154">
        <v>147.84</v>
      </c>
      <c r="N319" s="45">
        <f t="shared" si="69"/>
        <v>52.902937839939867</v>
      </c>
      <c r="O319" s="45">
        <f t="shared" si="70"/>
        <v>34.247691338487385</v>
      </c>
      <c r="P319" s="45">
        <f t="shared" si="71"/>
        <v>37.588929517852009</v>
      </c>
      <c r="Q319" s="45">
        <f t="shared" si="72"/>
        <v>124.73955869627926</v>
      </c>
      <c r="R319" s="153">
        <f t="shared" si="82"/>
        <v>-0.15625298500893359</v>
      </c>
      <c r="S319">
        <v>106.34909999999999</v>
      </c>
      <c r="T319">
        <v>102.53</v>
      </c>
      <c r="U319">
        <v>25.29</v>
      </c>
      <c r="V319">
        <f>SUM(S319:U319)</f>
        <v>234.16909999999999</v>
      </c>
      <c r="W319" s="152">
        <f t="shared" si="73"/>
        <v>-0.46730991110151054</v>
      </c>
    </row>
    <row r="320" spans="1:23" ht="16.2" customHeight="1" x14ac:dyDescent="0.3">
      <c r="A320" s="166" t="s">
        <v>19</v>
      </c>
      <c r="B320" s="157">
        <v>0</v>
      </c>
      <c r="C320" s="5">
        <v>49.75300575</v>
      </c>
      <c r="D320" s="50">
        <f>IFERROR((C320-B320)/B320,100%)</f>
        <v>1</v>
      </c>
      <c r="E320" s="49">
        <v>0</v>
      </c>
      <c r="F320" s="49">
        <v>3925637.2582407072</v>
      </c>
      <c r="G320" s="48">
        <f t="shared" si="67"/>
        <v>1</v>
      </c>
      <c r="H320" s="207">
        <f t="shared" si="68"/>
        <v>1.3638590176485888E-3</v>
      </c>
      <c r="I320" s="206">
        <f>B320/$B$3</f>
        <v>0</v>
      </c>
      <c r="J320" s="205">
        <v>66</v>
      </c>
      <c r="K320" s="205">
        <v>39.6</v>
      </c>
      <c r="L320" s="205">
        <v>42.24</v>
      </c>
      <c r="M320" s="154">
        <v>147.84</v>
      </c>
      <c r="N320" s="45">
        <f t="shared" si="69"/>
        <v>51.826642670646372</v>
      </c>
      <c r="O320" s="45">
        <f t="shared" si="70"/>
        <v>33.550931834155286</v>
      </c>
      <c r="P320" s="45">
        <f t="shared" si="71"/>
        <v>36.824193476511894</v>
      </c>
      <c r="Q320" s="45">
        <f t="shared" si="72"/>
        <v>122.20176798131355</v>
      </c>
      <c r="R320" s="153">
        <f t="shared" si="82"/>
        <v>-0.17341877718267351</v>
      </c>
      <c r="W320" s="152">
        <f t="shared" si="73"/>
        <v>1</v>
      </c>
    </row>
    <row r="321" spans="1:23" ht="16.2" customHeight="1" x14ac:dyDescent="0.3">
      <c r="A321" s="52" t="s">
        <v>18</v>
      </c>
      <c r="B321" s="157">
        <v>165.08343000000002</v>
      </c>
      <c r="C321" s="5">
        <v>86.629200000000012</v>
      </c>
      <c r="D321" s="50">
        <f>IFERROR((C321-B321)/B321,100%)</f>
        <v>-0.47523988325175942</v>
      </c>
      <c r="E321" s="49">
        <v>3685088.64</v>
      </c>
      <c r="F321" s="49">
        <v>6116838</v>
      </c>
      <c r="G321" s="48">
        <f t="shared" si="67"/>
        <v>0.65988897352547804</v>
      </c>
      <c r="H321" s="207">
        <f t="shared" si="68"/>
        <v>2.3747312113235118E-3</v>
      </c>
      <c r="I321" s="206">
        <f>B321/$B$3</f>
        <v>2.990767150989654E-3</v>
      </c>
      <c r="J321" s="205">
        <v>81</v>
      </c>
      <c r="K321" s="205">
        <v>48.6</v>
      </c>
      <c r="L321" s="205">
        <v>51.84</v>
      </c>
      <c r="M321" s="154">
        <v>181.44</v>
      </c>
      <c r="N321" s="45">
        <f t="shared" si="69"/>
        <v>90.239786030293445</v>
      </c>
      <c r="O321" s="45">
        <f t="shared" si="70"/>
        <v>58.418387798558392</v>
      </c>
      <c r="P321" s="45">
        <f t="shared" si="71"/>
        <v>64.117742705734813</v>
      </c>
      <c r="Q321" s="45">
        <f t="shared" si="72"/>
        <v>212.77591653458666</v>
      </c>
      <c r="R321" s="153">
        <f t="shared" si="82"/>
        <v>0.17270677102395648</v>
      </c>
      <c r="S321">
        <v>67.531499999999994</v>
      </c>
      <c r="T321">
        <v>57.52</v>
      </c>
      <c r="U321">
        <v>35.532499999999999</v>
      </c>
      <c r="V321">
        <f>SUM(S321:U321)</f>
        <v>160.584</v>
      </c>
      <c r="W321" s="152">
        <f t="shared" si="73"/>
        <v>0.32501318023331499</v>
      </c>
    </row>
    <row r="322" spans="1:23" ht="16.2" customHeight="1" x14ac:dyDescent="0.3">
      <c r="A322" s="52" t="s">
        <v>17</v>
      </c>
      <c r="B322" s="157">
        <v>0</v>
      </c>
      <c r="C322" s="5">
        <v>70.830952500000009</v>
      </c>
      <c r="D322" s="50">
        <f>IFERROR((C322-B322)/B322,100%)</f>
        <v>1</v>
      </c>
      <c r="E322" s="49">
        <v>0</v>
      </c>
      <c r="F322" s="49">
        <v>4036294.5</v>
      </c>
      <c r="G322" s="48">
        <f t="shared" si="67"/>
        <v>1</v>
      </c>
      <c r="H322" s="207">
        <f t="shared" si="68"/>
        <v>1.9416602442308497E-3</v>
      </c>
      <c r="I322" s="206">
        <f>B322/$B$3</f>
        <v>0</v>
      </c>
      <c r="J322" s="205">
        <v>66</v>
      </c>
      <c r="K322" s="205">
        <v>39.6</v>
      </c>
      <c r="L322" s="205">
        <v>42.24</v>
      </c>
      <c r="M322" s="154">
        <v>147.84</v>
      </c>
      <c r="N322" s="45">
        <f t="shared" si="69"/>
        <v>73.783089280772288</v>
      </c>
      <c r="O322" s="45">
        <f t="shared" si="70"/>
        <v>47.764842008078901</v>
      </c>
      <c r="P322" s="45">
        <f t="shared" si="71"/>
        <v>52.42482659423294</v>
      </c>
      <c r="Q322" s="45">
        <f t="shared" si="72"/>
        <v>173.97275788308411</v>
      </c>
      <c r="R322" s="153">
        <f t="shared" si="82"/>
        <v>0.17676378438233309</v>
      </c>
      <c r="S322">
        <v>0</v>
      </c>
      <c r="T322">
        <v>35.26</v>
      </c>
      <c r="U322">
        <v>21.7775</v>
      </c>
      <c r="V322">
        <f>SUM(S322:U322)</f>
        <v>57.037499999999994</v>
      </c>
      <c r="W322" s="152">
        <f t="shared" si="73"/>
        <v>2.0501469714325511</v>
      </c>
    </row>
    <row r="323" spans="1:23" ht="16.2" customHeight="1" x14ac:dyDescent="0.3">
      <c r="A323" s="55" t="s">
        <v>16</v>
      </c>
      <c r="B323" s="157">
        <v>100.17879000000001</v>
      </c>
      <c r="C323" s="5">
        <v>109.61674500000001</v>
      </c>
      <c r="D323" s="50">
        <f>IFERROR((C323-B323)/B323,100%)</f>
        <v>9.4211109956508776E-2</v>
      </c>
      <c r="E323" s="49">
        <v>3212332.92</v>
      </c>
      <c r="F323" s="49">
        <v>4523077.6500000004</v>
      </c>
      <c r="G323" s="48">
        <f t="shared" si="67"/>
        <v>0.40803514537341307</v>
      </c>
      <c r="H323" s="207">
        <f t="shared" si="68"/>
        <v>3.004879482151405E-3</v>
      </c>
      <c r="I323" s="206">
        <f>B323/$B$3</f>
        <v>1.8149091908127354E-3</v>
      </c>
      <c r="J323" s="205">
        <v>81</v>
      </c>
      <c r="K323" s="205">
        <v>48.6</v>
      </c>
      <c r="L323" s="205">
        <v>51.84</v>
      </c>
      <c r="M323" s="154">
        <v>181.44</v>
      </c>
      <c r="N323" s="45">
        <f t="shared" si="69"/>
        <v>114.18542032175338</v>
      </c>
      <c r="O323" s="45">
        <f t="shared" si="70"/>
        <v>73.920035260924564</v>
      </c>
      <c r="P323" s="45">
        <f t="shared" si="71"/>
        <v>81.131746018087938</v>
      </c>
      <c r="Q323" s="45">
        <f t="shared" si="72"/>
        <v>269.2372016007659</v>
      </c>
      <c r="R323" s="153">
        <f t="shared" si="82"/>
        <v>0.48389110229699028</v>
      </c>
      <c r="S323">
        <v>37.52225</v>
      </c>
      <c r="T323">
        <v>12.15</v>
      </c>
      <c r="U323">
        <v>24.02</v>
      </c>
      <c r="V323">
        <f>SUM(S323:U323)</f>
        <v>73.692250000000001</v>
      </c>
      <c r="W323" s="152">
        <f t="shared" si="73"/>
        <v>2.6535348235501819</v>
      </c>
    </row>
    <row r="324" spans="1:23" ht="16.2" customHeight="1" thickBot="1" x14ac:dyDescent="0.35">
      <c r="A324" s="54" t="s">
        <v>15</v>
      </c>
      <c r="B324" s="157">
        <v>39.381740999999998</v>
      </c>
      <c r="C324" s="5">
        <v>40.073250000000002</v>
      </c>
      <c r="D324" s="50">
        <f>IFERROR((C324-B324)/B324,100%)</f>
        <v>1.7559127210754942E-2</v>
      </c>
      <c r="E324" s="49">
        <v>1239891.6000000001</v>
      </c>
      <c r="F324" s="49">
        <v>1862141.4000000001</v>
      </c>
      <c r="G324" s="48">
        <f t="shared" si="67"/>
        <v>0.50185822696113114</v>
      </c>
      <c r="H324" s="207">
        <f t="shared" si="68"/>
        <v>1.0985117894909558E-3</v>
      </c>
      <c r="I324" s="206">
        <f>B324/$B$3</f>
        <v>7.1346722885260155E-4</v>
      </c>
      <c r="J324" s="205">
        <v>36</v>
      </c>
      <c r="K324" s="205">
        <v>21.6</v>
      </c>
      <c r="L324" s="205">
        <v>23.04</v>
      </c>
      <c r="M324" s="154">
        <v>80.64</v>
      </c>
      <c r="N324" s="45">
        <f t="shared" si="69"/>
        <v>41.743448000656322</v>
      </c>
      <c r="O324" s="45">
        <f t="shared" si="70"/>
        <v>27.023390021477514</v>
      </c>
      <c r="P324" s="45">
        <f t="shared" si="71"/>
        <v>29.659818316255809</v>
      </c>
      <c r="Q324" s="45">
        <f t="shared" si="72"/>
        <v>98.426656338389648</v>
      </c>
      <c r="R324" s="153">
        <f t="shared" si="82"/>
        <v>0.22056865498995104</v>
      </c>
      <c r="S324">
        <v>25.575149999999997</v>
      </c>
      <c r="T324">
        <v>26.06</v>
      </c>
      <c r="U324">
        <v>26.195</v>
      </c>
      <c r="V324">
        <f>SUM(S324:U324)</f>
        <v>77.830150000000003</v>
      </c>
      <c r="W324" s="152">
        <f t="shared" si="73"/>
        <v>0.26463403113561573</v>
      </c>
    </row>
    <row r="325" spans="1:23" ht="16.2" thickBot="1" x14ac:dyDescent="0.35">
      <c r="A325" s="43" t="s">
        <v>14</v>
      </c>
      <c r="B325" s="42">
        <v>815.13861000000009</v>
      </c>
      <c r="C325" s="40">
        <v>646.51875750000011</v>
      </c>
      <c r="D325" s="41">
        <f>IFERROR((C325-B325)/B325,100%)</f>
        <v>-0.206860343052576</v>
      </c>
      <c r="E325" s="40">
        <v>20945458.260000002</v>
      </c>
      <c r="F325" s="40">
        <v>39173401.050000004</v>
      </c>
      <c r="G325" s="39">
        <f t="shared" ref="G325:G339" si="83">IFERROR((F325-E325)/E325,100%)</f>
        <v>0.87025753095172442</v>
      </c>
      <c r="H325" s="150">
        <f t="shared" ref="H325:H339" si="84">C325/$C$3</f>
        <v>1.7722757132021847E-2</v>
      </c>
      <c r="I325" s="150">
        <f>B325/$B$3</f>
        <v>1.4767622518452438E-2</v>
      </c>
      <c r="J325" s="204">
        <v>714</v>
      </c>
      <c r="K325" s="36">
        <v>428.40000000000009</v>
      </c>
      <c r="L325" s="36">
        <v>456.96000000000009</v>
      </c>
      <c r="M325" s="36">
        <v>1599.3600000000001</v>
      </c>
      <c r="N325" s="36">
        <f t="shared" ref="N325:N339" si="85">$N$3*H325</f>
        <v>673.46477101683024</v>
      </c>
      <c r="O325" s="36">
        <f t="shared" ref="O325:O339" si="86">$O$3*H325</f>
        <v>435.97982544773743</v>
      </c>
      <c r="P325" s="36">
        <f t="shared" ref="P325:P339" si="87">$P$3*H325</f>
        <v>478.51444256458984</v>
      </c>
      <c r="Q325" s="148">
        <f t="shared" ref="Q325:Q388" si="88">SUM(N325:P325)</f>
        <v>1587.9590390291576</v>
      </c>
      <c r="R325" s="41"/>
      <c r="S325" s="42">
        <f>SUM(S316:S324)</f>
        <v>361.44155000000001</v>
      </c>
      <c r="T325" s="42">
        <f>SUM(T316:T324)</f>
        <v>435.84</v>
      </c>
      <c r="U325" s="42">
        <f>SUM(U316:U324)</f>
        <v>233.77250000000001</v>
      </c>
      <c r="V325" s="147">
        <f>SUM(V316:V324)</f>
        <v>1031.05405</v>
      </c>
      <c r="W325" s="146">
        <f t="shared" ref="W325:W388" si="89">IFERROR((Q325-V325)/V325,100%)</f>
        <v>0.54013171184299957</v>
      </c>
    </row>
    <row r="326" spans="1:23" ht="16.2" customHeight="1" x14ac:dyDescent="0.3">
      <c r="A326" s="53" t="s">
        <v>13</v>
      </c>
      <c r="B326" s="157">
        <v>73.450199999999995</v>
      </c>
      <c r="C326" s="5">
        <v>12.600000000000001</v>
      </c>
      <c r="D326" s="50">
        <f>IFERROR((C326-B326)/B326,100%)</f>
        <v>-0.82845519821593405</v>
      </c>
      <c r="E326" s="49">
        <v>2572730.7000000002</v>
      </c>
      <c r="F326" s="49">
        <v>932817.9</v>
      </c>
      <c r="G326" s="48">
        <f t="shared" si="83"/>
        <v>-0.63742108725176727</v>
      </c>
      <c r="H326" s="207">
        <f t="shared" si="84"/>
        <v>3.4539870231603488E-4</v>
      </c>
      <c r="I326" s="206">
        <f>B326/$B$3</f>
        <v>1.3306753160727291E-3</v>
      </c>
      <c r="J326" s="205">
        <v>48.000000000000007</v>
      </c>
      <c r="K326" s="205">
        <v>28.8</v>
      </c>
      <c r="L326" s="205">
        <v>30.720000000000002</v>
      </c>
      <c r="M326" s="154">
        <v>107.52000000000001</v>
      </c>
      <c r="N326" s="45">
        <f t="shared" si="85"/>
        <v>13.125150688009326</v>
      </c>
      <c r="O326" s="45">
        <f t="shared" si="86"/>
        <v>8.4968080769744585</v>
      </c>
      <c r="P326" s="45">
        <f t="shared" si="87"/>
        <v>9.3257649625329417</v>
      </c>
      <c r="Q326" s="45">
        <f t="shared" si="88"/>
        <v>30.947723727516724</v>
      </c>
      <c r="R326" s="153">
        <f t="shared" ref="R326:R335" si="90">Q326/M326-1</f>
        <v>-0.71216774806997096</v>
      </c>
      <c r="S326">
        <v>24</v>
      </c>
      <c r="T326">
        <v>24</v>
      </c>
      <c r="U326">
        <v>0</v>
      </c>
      <c r="V326">
        <f t="shared" ref="V326:V334" si="91">SUM(S326:U326)</f>
        <v>48</v>
      </c>
      <c r="W326" s="152">
        <f t="shared" si="89"/>
        <v>-0.3552557556767349</v>
      </c>
    </row>
    <row r="327" spans="1:23" ht="16.2" customHeight="1" x14ac:dyDescent="0.3">
      <c r="A327" s="52" t="s">
        <v>12</v>
      </c>
      <c r="B327" s="157">
        <v>110.80550700000001</v>
      </c>
      <c r="C327" s="5">
        <v>16.199726550000001</v>
      </c>
      <c r="D327" s="50">
        <f>IFERROR((C327-B327)/B327,100%)</f>
        <v>-0.85380034811807681</v>
      </c>
      <c r="E327" s="49">
        <v>3516894.72</v>
      </c>
      <c r="F327" s="49">
        <v>1265147.1136363638</v>
      </c>
      <c r="G327" s="48">
        <f t="shared" si="83"/>
        <v>-0.64026585543158832</v>
      </c>
      <c r="H327" s="207">
        <f t="shared" si="84"/>
        <v>4.4407654986068385E-4</v>
      </c>
      <c r="I327" s="206">
        <f>B327/$B$3</f>
        <v>2.0074302459329452E-3</v>
      </c>
      <c r="J327" s="205">
        <v>24.000000000000004</v>
      </c>
      <c r="K327" s="205">
        <v>14.4</v>
      </c>
      <c r="L327" s="205">
        <v>15.360000000000001</v>
      </c>
      <c r="M327" s="154">
        <v>53.760000000000005</v>
      </c>
      <c r="N327" s="45">
        <f t="shared" si="85"/>
        <v>16.874908894705985</v>
      </c>
      <c r="O327" s="45">
        <f t="shared" si="86"/>
        <v>10.924283126572822</v>
      </c>
      <c r="P327" s="45">
        <f t="shared" si="87"/>
        <v>11.990066846238465</v>
      </c>
      <c r="Q327" s="45">
        <f t="shared" si="88"/>
        <v>39.789258867517269</v>
      </c>
      <c r="R327" s="153">
        <f t="shared" si="90"/>
        <v>-0.25987241689886043</v>
      </c>
      <c r="S327">
        <v>60.011249999999997</v>
      </c>
      <c r="T327">
        <v>21.73</v>
      </c>
      <c r="U327">
        <v>16.2</v>
      </c>
      <c r="V327">
        <f t="shared" si="91"/>
        <v>97.941249999999997</v>
      </c>
      <c r="W327" s="152">
        <f t="shared" si="89"/>
        <v>-0.5937436078514694</v>
      </c>
    </row>
    <row r="328" spans="1:23" ht="16.2" customHeight="1" x14ac:dyDescent="0.3">
      <c r="A328" s="52" t="s">
        <v>11</v>
      </c>
      <c r="B328" s="157">
        <v>0</v>
      </c>
      <c r="C328" s="5">
        <v>21.431930100000002</v>
      </c>
      <c r="D328" s="50">
        <f>IFERROR((C328-B328)/B328,100%)</f>
        <v>1</v>
      </c>
      <c r="E328" s="49">
        <v>0</v>
      </c>
      <c r="F328" s="49">
        <v>1309065.4636363636</v>
      </c>
      <c r="G328" s="48">
        <f t="shared" si="83"/>
        <v>1</v>
      </c>
      <c r="H328" s="207">
        <f t="shared" si="84"/>
        <v>5.8750482894190219E-4</v>
      </c>
      <c r="I328" s="206">
        <f>B328/$B$3</f>
        <v>0</v>
      </c>
      <c r="J328" s="205">
        <v>24.000000000000004</v>
      </c>
      <c r="K328" s="205">
        <v>14.4</v>
      </c>
      <c r="L328" s="205">
        <v>15.360000000000001</v>
      </c>
      <c r="M328" s="154">
        <v>53.760000000000005</v>
      </c>
      <c r="N328" s="45">
        <f t="shared" si="85"/>
        <v>22.325183499792281</v>
      </c>
      <c r="O328" s="45">
        <f t="shared" si="86"/>
        <v>14.452618791970794</v>
      </c>
      <c r="P328" s="45">
        <f t="shared" si="87"/>
        <v>15.862630381431359</v>
      </c>
      <c r="Q328" s="45">
        <f t="shared" si="88"/>
        <v>52.640432673194432</v>
      </c>
      <c r="R328" s="153">
        <f t="shared" si="90"/>
        <v>-2.0825285096829904E-2</v>
      </c>
      <c r="S328">
        <v>0</v>
      </c>
      <c r="T328">
        <v>11.59</v>
      </c>
      <c r="U328">
        <v>8.64</v>
      </c>
      <c r="V328">
        <f t="shared" si="91"/>
        <v>20.23</v>
      </c>
      <c r="W328" s="152">
        <f t="shared" si="89"/>
        <v>1.6020975122686325</v>
      </c>
    </row>
    <row r="329" spans="1:23" ht="16.2" customHeight="1" x14ac:dyDescent="0.3">
      <c r="A329" s="52" t="s">
        <v>10</v>
      </c>
      <c r="B329" s="157">
        <v>0</v>
      </c>
      <c r="C329" s="5">
        <v>12.795926849999999</v>
      </c>
      <c r="D329" s="50">
        <f>IFERROR((C329-B329)/B329,100%)</f>
        <v>1</v>
      </c>
      <c r="E329" s="49">
        <v>0</v>
      </c>
      <c r="F329" s="49">
        <v>953565.8727272728</v>
      </c>
      <c r="G329" s="48">
        <f t="shared" si="83"/>
        <v>1</v>
      </c>
      <c r="H329" s="207">
        <f t="shared" si="84"/>
        <v>3.5076956578737356E-4</v>
      </c>
      <c r="I329" s="206">
        <f>B329/$B$3</f>
        <v>0</v>
      </c>
      <c r="J329" s="205">
        <v>18</v>
      </c>
      <c r="K329" s="205">
        <v>10.8</v>
      </c>
      <c r="L329" s="205">
        <v>11.52</v>
      </c>
      <c r="M329" s="154">
        <v>40.32</v>
      </c>
      <c r="N329" s="45">
        <f t="shared" si="85"/>
        <v>13.329243499920196</v>
      </c>
      <c r="O329" s="45">
        <f t="shared" si="86"/>
        <v>8.6289313183693892</v>
      </c>
      <c r="P329" s="45">
        <f t="shared" si="87"/>
        <v>9.470778276259086</v>
      </c>
      <c r="Q329" s="45">
        <f t="shared" si="88"/>
        <v>31.428953094548671</v>
      </c>
      <c r="R329" s="153">
        <f t="shared" si="90"/>
        <v>-0.22051207602805878</v>
      </c>
      <c r="S329">
        <v>0</v>
      </c>
      <c r="T329">
        <v>13.52</v>
      </c>
      <c r="U329">
        <v>10.08</v>
      </c>
      <c r="V329">
        <f t="shared" si="91"/>
        <v>23.6</v>
      </c>
      <c r="W329" s="152">
        <f t="shared" si="89"/>
        <v>0.33173530061646905</v>
      </c>
    </row>
    <row r="330" spans="1:23" ht="16.2" customHeight="1" x14ac:dyDescent="0.3">
      <c r="A330" s="52" t="s">
        <v>9</v>
      </c>
      <c r="B330" s="157">
        <v>0</v>
      </c>
      <c r="C330" s="5">
        <v>14.312443950000002</v>
      </c>
      <c r="D330" s="50">
        <f>IFERROR((C330-B330)/B330,100%)</f>
        <v>1</v>
      </c>
      <c r="E330" s="49">
        <v>0</v>
      </c>
      <c r="F330" s="49">
        <v>996843.03205128212</v>
      </c>
      <c r="G330" s="48">
        <f t="shared" si="83"/>
        <v>1</v>
      </c>
      <c r="H330" s="207">
        <f t="shared" si="84"/>
        <v>3.9234123550007814E-4</v>
      </c>
      <c r="I330" s="206">
        <f>B330/$B$3</f>
        <v>0</v>
      </c>
      <c r="J330" s="205">
        <v>18</v>
      </c>
      <c r="K330" s="205">
        <v>10.8</v>
      </c>
      <c r="L330" s="205">
        <v>11.52</v>
      </c>
      <c r="M330" s="154">
        <v>40.32</v>
      </c>
      <c r="N330" s="45">
        <f t="shared" si="85"/>
        <v>14.90896694900297</v>
      </c>
      <c r="O330" s="45">
        <f t="shared" si="86"/>
        <v>9.6515943933019219</v>
      </c>
      <c r="P330" s="45">
        <f t="shared" si="87"/>
        <v>10.59321335850211</v>
      </c>
      <c r="Q330" s="45">
        <f t="shared" si="88"/>
        <v>35.153774700807006</v>
      </c>
      <c r="R330" s="153">
        <f t="shared" si="90"/>
        <v>-0.128130587777604</v>
      </c>
      <c r="S330">
        <v>0</v>
      </c>
      <c r="T330">
        <v>9.33</v>
      </c>
      <c r="U330">
        <v>2.9049999999999998</v>
      </c>
      <c r="V330">
        <f t="shared" si="91"/>
        <v>12.234999999999999</v>
      </c>
      <c r="W330" s="152">
        <f t="shared" si="89"/>
        <v>1.8732141153091137</v>
      </c>
    </row>
    <row r="331" spans="1:23" ht="16.2" customHeight="1" x14ac:dyDescent="0.3">
      <c r="A331" s="52" t="s">
        <v>8</v>
      </c>
      <c r="B331" s="157">
        <v>115.12561500000001</v>
      </c>
      <c r="C331" s="5">
        <v>64.285201049999998</v>
      </c>
      <c r="D331" s="50">
        <f>IFERROR((C331-B331)/B331,100%)</f>
        <v>-0.4416081855458493</v>
      </c>
      <c r="E331" s="49">
        <v>4605492.78</v>
      </c>
      <c r="F331" s="49">
        <v>3412130.0679487186</v>
      </c>
      <c r="G331" s="48">
        <f t="shared" si="83"/>
        <v>-0.25911726910823246</v>
      </c>
      <c r="H331" s="207">
        <f t="shared" si="84"/>
        <v>1.7622242079996348E-3</v>
      </c>
      <c r="I331" s="206">
        <f>B331/$B$3</f>
        <v>2.0856963511085382E-3</v>
      </c>
      <c r="J331" s="205">
        <v>63</v>
      </c>
      <c r="K331" s="205">
        <v>37.800000000000004</v>
      </c>
      <c r="L331" s="205">
        <v>40.32</v>
      </c>
      <c r="M331" s="154">
        <v>141.12</v>
      </c>
      <c r="N331" s="45">
        <f t="shared" si="85"/>
        <v>66.96451990398613</v>
      </c>
      <c r="O331" s="45">
        <f t="shared" si="86"/>
        <v>43.35071551679102</v>
      </c>
      <c r="P331" s="45">
        <f t="shared" si="87"/>
        <v>47.580053615990138</v>
      </c>
      <c r="Q331" s="45">
        <f t="shared" si="88"/>
        <v>157.89528903676728</v>
      </c>
      <c r="R331" s="153">
        <f t="shared" si="90"/>
        <v>0.11887251301564117</v>
      </c>
      <c r="S331">
        <v>39.274749999999997</v>
      </c>
      <c r="T331">
        <v>35.090000000000003</v>
      </c>
      <c r="U331">
        <v>10.925000000000001</v>
      </c>
      <c r="V331">
        <f t="shared" si="91"/>
        <v>85.289749999999998</v>
      </c>
      <c r="W331" s="152">
        <f t="shared" si="89"/>
        <v>0.85128094567948998</v>
      </c>
    </row>
    <row r="332" spans="1:23" ht="16.2" customHeight="1" x14ac:dyDescent="0.3">
      <c r="A332" s="52" t="s">
        <v>7</v>
      </c>
      <c r="B332" s="157">
        <v>0</v>
      </c>
      <c r="C332" s="5">
        <v>0</v>
      </c>
      <c r="D332" s="50">
        <f>IFERROR((C332-B332)/B332,100%)</f>
        <v>1</v>
      </c>
      <c r="E332" s="49">
        <v>0</v>
      </c>
      <c r="F332" s="49">
        <v>0</v>
      </c>
      <c r="G332" s="48">
        <f t="shared" si="83"/>
        <v>1</v>
      </c>
      <c r="H332" s="207">
        <f t="shared" si="84"/>
        <v>0</v>
      </c>
      <c r="I332" s="206">
        <f>B332/$B$3</f>
        <v>0</v>
      </c>
      <c r="J332" s="205">
        <v>36</v>
      </c>
      <c r="K332" s="205">
        <v>21.6</v>
      </c>
      <c r="L332" s="205">
        <v>23.04</v>
      </c>
      <c r="M332" s="154">
        <v>80.64</v>
      </c>
      <c r="N332" s="45">
        <f t="shared" si="85"/>
        <v>0</v>
      </c>
      <c r="O332" s="45">
        <f t="shared" si="86"/>
        <v>0</v>
      </c>
      <c r="P332" s="45">
        <f t="shared" si="87"/>
        <v>0</v>
      </c>
      <c r="Q332" s="45">
        <f t="shared" si="88"/>
        <v>0</v>
      </c>
      <c r="R332" s="153">
        <f t="shared" si="90"/>
        <v>-1</v>
      </c>
      <c r="S332">
        <v>0</v>
      </c>
      <c r="T332">
        <v>1.45</v>
      </c>
      <c r="U332">
        <v>1.08</v>
      </c>
      <c r="V332">
        <f t="shared" si="91"/>
        <v>2.5300000000000002</v>
      </c>
      <c r="W332" s="152">
        <f t="shared" si="89"/>
        <v>-1</v>
      </c>
    </row>
    <row r="333" spans="1:23" ht="16.2" customHeight="1" x14ac:dyDescent="0.3">
      <c r="A333" s="52" t="s">
        <v>6</v>
      </c>
      <c r="B333" s="157">
        <v>48.996057000000008</v>
      </c>
      <c r="C333" s="5">
        <v>0</v>
      </c>
      <c r="D333" s="50">
        <f>IFERROR((C333-B333)/B333,100%)</f>
        <v>-1</v>
      </c>
      <c r="E333" s="49">
        <v>1495971.78</v>
      </c>
      <c r="F333" s="49">
        <v>283062.15000000002</v>
      </c>
      <c r="G333" s="48">
        <f t="shared" si="83"/>
        <v>-0.81078376358142257</v>
      </c>
      <c r="H333" s="207">
        <f t="shared" si="84"/>
        <v>0</v>
      </c>
      <c r="I333" s="206">
        <f>B333/$B$3</f>
        <v>8.876469177046825E-4</v>
      </c>
      <c r="J333" s="205">
        <v>36</v>
      </c>
      <c r="K333" s="205">
        <v>21.6</v>
      </c>
      <c r="L333" s="205">
        <v>23.04</v>
      </c>
      <c r="M333" s="154">
        <v>80.64</v>
      </c>
      <c r="N333" s="45">
        <f t="shared" si="85"/>
        <v>0</v>
      </c>
      <c r="O333" s="45">
        <f t="shared" si="86"/>
        <v>0</v>
      </c>
      <c r="P333" s="45">
        <f t="shared" si="87"/>
        <v>0</v>
      </c>
      <c r="Q333" s="45">
        <f t="shared" si="88"/>
        <v>0</v>
      </c>
      <c r="R333" s="153">
        <f t="shared" si="90"/>
        <v>-1</v>
      </c>
      <c r="S333">
        <v>12.004000000000001</v>
      </c>
      <c r="T333">
        <v>12</v>
      </c>
      <c r="U333">
        <v>12</v>
      </c>
      <c r="V333">
        <f t="shared" si="91"/>
        <v>36.004000000000005</v>
      </c>
      <c r="W333" s="152">
        <f t="shared" si="89"/>
        <v>-1</v>
      </c>
    </row>
    <row r="334" spans="1:23" ht="16.2" customHeight="1" x14ac:dyDescent="0.3">
      <c r="A334" s="52" t="s">
        <v>5</v>
      </c>
      <c r="B334" s="157">
        <v>85.68</v>
      </c>
      <c r="C334" s="5">
        <v>25.200000000000003</v>
      </c>
      <c r="D334" s="50">
        <f>IFERROR((C334-B334)/B334,100%)</f>
        <v>-0.70588235294117652</v>
      </c>
      <c r="E334" s="49">
        <v>2087674.8</v>
      </c>
      <c r="F334" s="49">
        <v>1780800</v>
      </c>
      <c r="G334" s="48">
        <f t="shared" si="83"/>
        <v>-0.14699358348340461</v>
      </c>
      <c r="H334" s="207">
        <f t="shared" si="84"/>
        <v>6.9079740463206976E-4</v>
      </c>
      <c r="I334" s="206">
        <f>B334/$B$3</f>
        <v>1.5522389466755904E-3</v>
      </c>
      <c r="J334" s="205">
        <v>36</v>
      </c>
      <c r="K334" s="205">
        <v>21.6</v>
      </c>
      <c r="L334" s="205">
        <v>23.04</v>
      </c>
      <c r="M334" s="154">
        <v>80.64</v>
      </c>
      <c r="N334" s="45">
        <f t="shared" si="85"/>
        <v>26.250301376018651</v>
      </c>
      <c r="O334" s="45">
        <f t="shared" si="86"/>
        <v>16.993616153948917</v>
      </c>
      <c r="P334" s="45">
        <f t="shared" si="87"/>
        <v>18.651529925065883</v>
      </c>
      <c r="Q334" s="45">
        <f t="shared" si="88"/>
        <v>61.895447455033448</v>
      </c>
      <c r="R334" s="153">
        <f t="shared" si="90"/>
        <v>-0.2324473281865892</v>
      </c>
      <c r="S334">
        <v>24.017499999999998</v>
      </c>
      <c r="T334">
        <v>36</v>
      </c>
      <c r="U334">
        <v>12</v>
      </c>
      <c r="V334">
        <f t="shared" si="91"/>
        <v>72.017499999999998</v>
      </c>
      <c r="W334" s="152">
        <f t="shared" si="89"/>
        <v>-0.14054990169009685</v>
      </c>
    </row>
    <row r="335" spans="1:23" ht="16.2" customHeight="1" thickBot="1" x14ac:dyDescent="0.35">
      <c r="A335" s="160" t="s">
        <v>4</v>
      </c>
      <c r="B335" s="157">
        <v>0</v>
      </c>
      <c r="C335" s="5">
        <v>25.202100000000005</v>
      </c>
      <c r="D335" s="50">
        <f>IFERROR((C335-B335)/B335,100%)</f>
        <v>1</v>
      </c>
      <c r="E335" s="49">
        <v>0</v>
      </c>
      <c r="F335" s="49">
        <v>1451437.05</v>
      </c>
      <c r="G335" s="48">
        <f t="shared" si="83"/>
        <v>1</v>
      </c>
      <c r="H335" s="207">
        <f t="shared" si="84"/>
        <v>6.9085497108245584E-4</v>
      </c>
      <c r="I335" s="206">
        <f>B335/$B$3</f>
        <v>0</v>
      </c>
      <c r="J335" s="205">
        <v>36</v>
      </c>
      <c r="K335" s="205">
        <v>21.6</v>
      </c>
      <c r="L335" s="205">
        <v>23.04</v>
      </c>
      <c r="M335" s="154">
        <v>80.64</v>
      </c>
      <c r="N335" s="45">
        <f t="shared" si="85"/>
        <v>26.252488901133322</v>
      </c>
      <c r="O335" s="45">
        <f t="shared" si="86"/>
        <v>16.995032288628416</v>
      </c>
      <c r="P335" s="45">
        <f t="shared" si="87"/>
        <v>18.653084219226308</v>
      </c>
      <c r="Q335" s="45">
        <f t="shared" si="88"/>
        <v>61.900605408988049</v>
      </c>
      <c r="R335" s="153">
        <f t="shared" si="90"/>
        <v>-0.2323833654639379</v>
      </c>
      <c r="W335" s="152">
        <f t="shared" si="89"/>
        <v>1</v>
      </c>
    </row>
    <row r="336" spans="1:23" ht="16.2" thickBot="1" x14ac:dyDescent="0.35">
      <c r="A336" s="43" t="s">
        <v>3</v>
      </c>
      <c r="B336" s="42">
        <v>434.05737900000003</v>
      </c>
      <c r="C336" s="40">
        <v>192.02732849999998</v>
      </c>
      <c r="D336" s="41">
        <f>IFERROR((C336-B336)/B336,100%)</f>
        <v>-0.55759920740801416</v>
      </c>
      <c r="E336" s="40">
        <v>14278764.779999999</v>
      </c>
      <c r="F336" s="40">
        <v>12384868.650000002</v>
      </c>
      <c r="G336" s="39">
        <f t="shared" si="83"/>
        <v>-0.13263725253410871</v>
      </c>
      <c r="H336" s="150">
        <f t="shared" si="84"/>
        <v>5.2639674661202323E-3</v>
      </c>
      <c r="I336" s="150">
        <f>B336/$B$3</f>
        <v>7.8636877774944849E-3</v>
      </c>
      <c r="J336" s="204">
        <v>339</v>
      </c>
      <c r="K336" s="36">
        <v>203.39999999999998</v>
      </c>
      <c r="L336" s="36">
        <v>216.95999999999998</v>
      </c>
      <c r="M336" s="36">
        <v>759.3599999999999</v>
      </c>
      <c r="N336" s="36">
        <f t="shared" si="85"/>
        <v>200.03076371256881</v>
      </c>
      <c r="O336" s="36">
        <f t="shared" si="86"/>
        <v>129.49359966655771</v>
      </c>
      <c r="P336" s="36">
        <f t="shared" si="87"/>
        <v>142.12712158524627</v>
      </c>
      <c r="Q336" s="148">
        <f t="shared" si="88"/>
        <v>471.6514849643728</v>
      </c>
      <c r="R336" s="41"/>
      <c r="S336" s="42">
        <f>SUM(S326:S335)</f>
        <v>159.3075</v>
      </c>
      <c r="T336" s="42">
        <f>SUM(T326:T335)</f>
        <v>164.71</v>
      </c>
      <c r="U336" s="42">
        <f>SUM(U326:U335)</f>
        <v>73.83</v>
      </c>
      <c r="V336" s="147">
        <f>SUM(V326:V335)</f>
        <v>397.84749999999991</v>
      </c>
      <c r="W336" s="146">
        <f t="shared" si="89"/>
        <v>0.18550822856590252</v>
      </c>
    </row>
    <row r="337" spans="1:23" ht="16.2" customHeight="1" thickBot="1" x14ac:dyDescent="0.35">
      <c r="A337" s="35" t="s">
        <v>2</v>
      </c>
      <c r="B337" s="34">
        <v>1936.7191350000001</v>
      </c>
      <c r="C337" s="32">
        <v>1229.9231385000001</v>
      </c>
      <c r="D337" s="33">
        <f>IFERROR((C337-B337)/B337,100%)</f>
        <v>-0.36494501640786442</v>
      </c>
      <c r="E337" s="32">
        <v>53799787.799999997</v>
      </c>
      <c r="F337" s="32">
        <v>67325787.354000002</v>
      </c>
      <c r="G337" s="31">
        <f t="shared" si="83"/>
        <v>0.25141362275038576</v>
      </c>
      <c r="H337" s="144">
        <f t="shared" si="84"/>
        <v>3.3715385395743237E-2</v>
      </c>
      <c r="I337" s="144">
        <f>B337/$B$3</f>
        <v>3.508696160269445E-2</v>
      </c>
      <c r="J337" s="203">
        <v>1503</v>
      </c>
      <c r="K337" s="202">
        <v>901.80000000000007</v>
      </c>
      <c r="L337" s="202">
        <v>961.92000000000007</v>
      </c>
      <c r="M337" s="202">
        <v>3366.7200000000003</v>
      </c>
      <c r="N337" s="28">
        <f t="shared" si="85"/>
        <v>1281.1846450382429</v>
      </c>
      <c r="O337" s="28">
        <f t="shared" si="86"/>
        <v>829.39848073528367</v>
      </c>
      <c r="P337" s="28">
        <f t="shared" si="87"/>
        <v>910.31540568506739</v>
      </c>
      <c r="Q337" s="143">
        <f t="shared" si="88"/>
        <v>3020.8985314585943</v>
      </c>
      <c r="R337" s="142"/>
      <c r="S337" s="34">
        <f>S336+S325+S315</f>
        <v>717.02350000000001</v>
      </c>
      <c r="T337" s="34">
        <f>T336+T325+T315</f>
        <v>861.23</v>
      </c>
      <c r="U337" s="34">
        <f>U336+U325+U315</f>
        <v>398.30500000000001</v>
      </c>
      <c r="V337" s="141">
        <f>V336+V325+V315</f>
        <v>1976.5584999999999</v>
      </c>
      <c r="W337" s="140">
        <f t="shared" si="89"/>
        <v>0.52836282430223769</v>
      </c>
    </row>
    <row r="338" spans="1:23" ht="15" customHeight="1" thickBot="1" x14ac:dyDescent="0.35">
      <c r="A338" s="27" t="s">
        <v>349</v>
      </c>
      <c r="B338" s="26">
        <v>5061.0545232000004</v>
      </c>
      <c r="C338" s="24">
        <v>3403.8631567500006</v>
      </c>
      <c r="D338" s="25">
        <f>IFERROR((C338-B338)/B338,100%)</f>
        <v>-0.3274399354627367</v>
      </c>
      <c r="E338" s="24">
        <v>133236714.60000001</v>
      </c>
      <c r="F338" s="24">
        <v>184616070.30171257</v>
      </c>
      <c r="G338" s="23">
        <f t="shared" si="83"/>
        <v>0.38562460697085188</v>
      </c>
      <c r="H338" s="138">
        <f t="shared" si="84"/>
        <v>9.3308723587524775E-2</v>
      </c>
      <c r="I338" s="138">
        <f>B338/$B$3</f>
        <v>9.1689611836597809E-2</v>
      </c>
      <c r="J338" s="201">
        <v>3755.1986144604025</v>
      </c>
      <c r="K338" s="200">
        <v>2253.1191686762413</v>
      </c>
      <c r="L338" s="200">
        <v>2403.3271132546579</v>
      </c>
      <c r="M338" s="200">
        <v>8411.6448963913026</v>
      </c>
      <c r="N338" s="20">
        <f t="shared" si="85"/>
        <v>3545.7314963259414</v>
      </c>
      <c r="O338" s="20">
        <f t="shared" si="86"/>
        <v>2295.3946002531093</v>
      </c>
      <c r="P338" s="20">
        <f t="shared" si="87"/>
        <v>2519.3355368631687</v>
      </c>
      <c r="Q338" s="137">
        <f t="shared" si="88"/>
        <v>8360.461633442219</v>
      </c>
      <c r="R338" s="136"/>
      <c r="S338" s="26">
        <f>S337+S310</f>
        <v>1782.7007000000001</v>
      </c>
      <c r="T338" s="26">
        <f>T337+T310</f>
        <v>1991.13</v>
      </c>
      <c r="U338" s="26">
        <f>U337+U310</f>
        <v>1310.875</v>
      </c>
      <c r="V338" s="135">
        <f>V337+V310</f>
        <v>5084.7057000000004</v>
      </c>
      <c r="W338" s="134">
        <f t="shared" si="89"/>
        <v>0.64423707618755954</v>
      </c>
    </row>
    <row r="339" spans="1:23" ht="16.2" customHeight="1" thickBot="1" x14ac:dyDescent="0.35">
      <c r="A339" s="19" t="s">
        <v>0</v>
      </c>
      <c r="B339" s="18">
        <v>55197.687304200001</v>
      </c>
      <c r="C339" s="17">
        <v>36479.581178250002</v>
      </c>
      <c r="D339" s="16">
        <f>IFERROR((C339-B339)/B339,100%)</f>
        <v>-0.33911033306146748</v>
      </c>
      <c r="E339" s="15">
        <v>1608776622.4152002</v>
      </c>
      <c r="F339" s="15">
        <v>1784780789.3153334</v>
      </c>
      <c r="G339" s="14">
        <f t="shared" si="83"/>
        <v>0.10940248910125522</v>
      </c>
      <c r="H339" s="132">
        <f t="shared" si="84"/>
        <v>1</v>
      </c>
      <c r="I339" s="132">
        <f>B339/$B$3</f>
        <v>1.0000000000000002</v>
      </c>
      <c r="J339" s="199">
        <v>37499.208318757905</v>
      </c>
      <c r="K339" s="199">
        <v>22499.524991254741</v>
      </c>
      <c r="L339" s="199">
        <v>23999.493324005056</v>
      </c>
      <c r="M339" s="131">
        <v>83998.226634017701</v>
      </c>
      <c r="N339" s="11">
        <f t="shared" si="85"/>
        <v>38000</v>
      </c>
      <c r="O339" s="11">
        <f t="shared" si="86"/>
        <v>24600</v>
      </c>
      <c r="P339" s="11">
        <f t="shared" si="87"/>
        <v>27000</v>
      </c>
      <c r="Q339" s="130">
        <f t="shared" si="88"/>
        <v>89600</v>
      </c>
      <c r="R339" s="129"/>
      <c r="S339" s="128">
        <f>S338+S279+S208+S114</f>
        <v>25111.231950000001</v>
      </c>
      <c r="T339" s="128">
        <f>T338+T279+T208+T114</f>
        <v>25149.97</v>
      </c>
      <c r="U339" s="128">
        <f>U338+U279+U208+U114</f>
        <v>16790.525000000001</v>
      </c>
      <c r="V339" s="127">
        <f>V338+V279+V208+V114</f>
        <v>67051.726949999997</v>
      </c>
      <c r="W339" s="13">
        <f t="shared" si="89"/>
        <v>0.3362817644773578</v>
      </c>
    </row>
    <row r="340" spans="1:23" ht="15.6" customHeight="1" x14ac:dyDescent="0.3">
      <c r="D340" s="9"/>
      <c r="E340" s="10"/>
      <c r="F340" s="10"/>
      <c r="G340" s="9"/>
      <c r="V340" s="126"/>
      <c r="W340" s="50"/>
    </row>
    <row r="341" spans="1:23" ht="15.6" customHeight="1" x14ac:dyDescent="0.3">
      <c r="V341" s="126"/>
      <c r="W341" s="50"/>
    </row>
    <row r="342" spans="1:23" ht="15.6" customHeight="1" x14ac:dyDescent="0.3">
      <c r="V342" s="126"/>
      <c r="W342" s="50"/>
    </row>
    <row r="343" spans="1:23" ht="15.6" customHeight="1" x14ac:dyDescent="0.3">
      <c r="D343" s="8"/>
      <c r="V343" s="126"/>
      <c r="W343" s="50"/>
    </row>
    <row r="344" spans="1:23" ht="15.6" customHeight="1" x14ac:dyDescent="0.3">
      <c r="E344" s="7"/>
      <c r="V344" s="126"/>
      <c r="W344" s="50"/>
    </row>
    <row r="345" spans="1:23" ht="15.6" customHeight="1" x14ac:dyDescent="0.3">
      <c r="V345" s="126"/>
      <c r="W345" s="50"/>
    </row>
    <row r="346" spans="1:23" ht="15.6" customHeight="1" x14ac:dyDescent="0.3">
      <c r="V346" s="126"/>
      <c r="W346" s="50"/>
    </row>
    <row r="347" spans="1:23" ht="15.6" customHeight="1" x14ac:dyDescent="0.3">
      <c r="V347" s="126"/>
      <c r="W347" s="50"/>
    </row>
    <row r="350" spans="1:23" ht="18" x14ac:dyDescent="0.3">
      <c r="V350" s="125"/>
      <c r="W350" s="124"/>
    </row>
  </sheetData>
  <autoFilter ref="A4:AA347" xr:uid="{33AC77EB-C3CD-4F4E-A40D-EA35EC2E55D1}">
    <filterColumn colId="23" showButton="0"/>
    <filterColumn colId="24" showButton="0"/>
    <filterColumn colId="25" showButton="0"/>
  </autoFilter>
  <mergeCells count="11">
    <mergeCell ref="J2:M2"/>
    <mergeCell ref="R3:R4"/>
    <mergeCell ref="S2:V2"/>
    <mergeCell ref="A1:A4"/>
    <mergeCell ref="B1:G1"/>
    <mergeCell ref="N1:Q1"/>
    <mergeCell ref="B2:D2"/>
    <mergeCell ref="E2:G2"/>
    <mergeCell ref="N2:Q2"/>
    <mergeCell ref="H3:I3"/>
    <mergeCell ref="J1:M1"/>
  </mergeCells>
  <conditionalFormatting sqref="A1">
    <cfRule type="duplicateValues" dxfId="36" priority="43"/>
    <cfRule type="duplicateValues" dxfId="35" priority="44"/>
  </conditionalFormatting>
  <conditionalFormatting sqref="A1:A4">
    <cfRule type="duplicateValues" dxfId="34" priority="45"/>
  </conditionalFormatting>
  <conditionalFormatting sqref="A54:A61 A51:A52 A38:A43 A28:A35 A13:A19 A21:A26 A5:A11 A45:A49">
    <cfRule type="duplicateValues" dxfId="33" priority="30"/>
  </conditionalFormatting>
  <conditionalFormatting sqref="A82">
    <cfRule type="duplicateValues" dxfId="32" priority="23"/>
  </conditionalFormatting>
  <conditionalFormatting sqref="A89">
    <cfRule type="duplicateValues" dxfId="31" priority="20"/>
  </conditionalFormatting>
  <conditionalFormatting sqref="A90">
    <cfRule type="duplicateValues" dxfId="30" priority="18"/>
  </conditionalFormatting>
  <conditionalFormatting sqref="A97">
    <cfRule type="duplicateValues" dxfId="29" priority="19"/>
  </conditionalFormatting>
  <conditionalFormatting sqref="A105">
    <cfRule type="duplicateValues" dxfId="28" priority="22"/>
  </conditionalFormatting>
  <conditionalFormatting sqref="A106:A111 A98:A104 A91:A96 A83:A88 A64:A70 A74:A81">
    <cfRule type="duplicateValues" dxfId="27" priority="31"/>
  </conditionalFormatting>
  <conditionalFormatting sqref="A112">
    <cfRule type="duplicateValues" dxfId="26" priority="21"/>
  </conditionalFormatting>
  <conditionalFormatting sqref="A126:A134">
    <cfRule type="duplicateValues" dxfId="25" priority="33"/>
  </conditionalFormatting>
  <conditionalFormatting sqref="A134">
    <cfRule type="duplicateValues" dxfId="24" priority="32"/>
  </conditionalFormatting>
  <conditionalFormatting sqref="A136:A142 A122:A124 A115:A119">
    <cfRule type="duplicateValues" dxfId="23" priority="24"/>
  </conditionalFormatting>
  <conditionalFormatting sqref="A164:A166 A168:A173 A154:A162 A145:A152">
    <cfRule type="duplicateValues" dxfId="22" priority="28"/>
  </conditionalFormatting>
  <conditionalFormatting sqref="A185:A190 A136:A142 A38:A43 A28:A35 A13:A19 A21:A26 A5:A11 A122:A124 A164:A166 A168:A173 A176 A178:A183 A64:A70 A83:A88 A91:A96 A98:A104 A115:A119 A154:A162 A192:A196 A198:A205 A45:A52 A106:A111 A126:A134 A145:A152 A54:A61 A74:A81">
    <cfRule type="duplicateValues" dxfId="21" priority="34"/>
  </conditionalFormatting>
  <conditionalFormatting sqref="A185:A190 A176 A178:A183 A192:A196 A198:A205">
    <cfRule type="duplicateValues" dxfId="20" priority="35"/>
  </conditionalFormatting>
  <conditionalFormatting sqref="A230">
    <cfRule type="duplicateValues" dxfId="19" priority="38"/>
    <cfRule type="duplicateValues" dxfId="18" priority="39"/>
    <cfRule type="duplicateValues" dxfId="17" priority="40"/>
    <cfRule type="duplicateValues" dxfId="16" priority="41"/>
    <cfRule type="duplicateValues" dxfId="15" priority="42"/>
  </conditionalFormatting>
  <conditionalFormatting sqref="A241:A248 A225:A228 A209:A214 A216:A223 A231:A239">
    <cfRule type="duplicateValues" dxfId="14" priority="25"/>
  </conditionalFormatting>
  <conditionalFormatting sqref="A276 A251:A256 A264:A269 A258:A262 A271:A274">
    <cfRule type="duplicateValues" dxfId="13" priority="26"/>
  </conditionalFormatting>
  <conditionalFormatting sqref="A298:A308 A290:A296 A280:A288">
    <cfRule type="duplicateValues" dxfId="12" priority="36"/>
  </conditionalFormatting>
  <conditionalFormatting sqref="A311">
    <cfRule type="duplicateValues" dxfId="11" priority="37"/>
  </conditionalFormatting>
  <conditionalFormatting sqref="A312:A314 A316:A324 A326">
    <cfRule type="duplicateValues" dxfId="10" priority="29"/>
  </conditionalFormatting>
  <conditionalFormatting sqref="A327:A334">
    <cfRule type="duplicateValues" dxfId="9" priority="27"/>
  </conditionalFormatting>
  <conditionalFormatting sqref="G1:G2 G340:G1048576">
    <cfRule type="cellIs" dxfId="8" priority="13" operator="lessThan">
      <formula>0</formula>
    </cfRule>
  </conditionalFormatting>
  <conditionalFormatting sqref="R5:R339">
    <cfRule type="cellIs" dxfId="7" priority="7" operator="lessThan">
      <formula>0</formula>
    </cfRule>
  </conditionalFormatting>
  <conditionalFormatting sqref="V346 V343">
    <cfRule type="duplicateValues" dxfId="6" priority="9"/>
    <cfRule type="duplicateValues" dxfId="5" priority="10"/>
    <cfRule type="duplicateValues" dxfId="4" priority="11"/>
  </conditionalFormatting>
  <conditionalFormatting sqref="V346">
    <cfRule type="duplicateValues" dxfId="3" priority="12"/>
  </conditionalFormatting>
  <conditionalFormatting sqref="W3">
    <cfRule type="cellIs" dxfId="2" priority="5" operator="lessThan">
      <formula>0</formula>
    </cfRule>
  </conditionalFormatting>
  <conditionalFormatting sqref="W5:W347">
    <cfRule type="cellIs" dxfId="1" priority="3" operator="lessThan">
      <formula>0</formula>
    </cfRule>
  </conditionalFormatting>
  <conditionalFormatting sqref="G3:G339">
    <cfRule type="cellIs" dxfId="0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FCACD14D-346A-456A-858C-182A0DFF602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D1:D2 D340:D1048576</xm:sqref>
        </x14:conditionalFormatting>
        <x14:conditionalFormatting xmlns:xm="http://schemas.microsoft.com/office/excel/2006/main">
          <x14:cfRule type="iconSet" priority="14" id="{B5E26E38-BA4D-489E-8C92-F90E9107086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D3</xm:sqref>
        </x14:conditionalFormatting>
        <x14:conditionalFormatting xmlns:xm="http://schemas.microsoft.com/office/excel/2006/main">
          <x14:cfRule type="iconSet" priority="15" id="{9A2A35F0-1195-4592-9E8D-5247DA148EA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D4:D339</xm:sqref>
        </x14:conditionalFormatting>
        <x14:conditionalFormatting xmlns:xm="http://schemas.microsoft.com/office/excel/2006/main">
          <x14:cfRule type="iconSet" priority="6" id="{6AAB33FF-A034-400C-ACF1-4202E3CA4DB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W3</xm:sqref>
        </x14:conditionalFormatting>
        <x14:conditionalFormatting xmlns:xm="http://schemas.microsoft.com/office/excel/2006/main">
          <x14:cfRule type="iconSet" priority="4" id="{4103F039-1225-40D3-A72A-F320F89979B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W5:W339</xm:sqref>
        </x14:conditionalFormatting>
        <x14:conditionalFormatting xmlns:xm="http://schemas.microsoft.com/office/excel/2006/main">
          <x14:cfRule type="iconSet" priority="8" id="{A1A031B8-B2FB-4071-98DF-44B83D5EF6A3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W340:W347</xm:sqref>
        </x14:conditionalFormatting>
        <x14:conditionalFormatting xmlns:xm="http://schemas.microsoft.com/office/excel/2006/main">
          <x14:cfRule type="iconSet" priority="2" id="{391E6213-B0EF-46A6-8FA5-E9572C4516BD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9.9999999999999995E-7</xm:f>
              </x14:cfvo>
            </x14:iconSet>
          </x14:cfRule>
          <xm:sqref>G3:G339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Growth Analysis</vt:lpstr>
      <vt:lpstr>April - Jun (Q2) Collection</vt:lpstr>
      <vt:lpstr>April - Jun (Q2) Delivery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Ahasanul Rahat</dc:creator>
  <cp:lastModifiedBy>Ahasanul Rahat</cp:lastModifiedBy>
  <dcterms:created xsi:type="dcterms:W3CDTF">2026-09-15T15:55:57Z</dcterms:created>
  <dcterms:modified xsi:type="dcterms:W3CDTF">2026-09-16T05:03:49Z</dcterms:modified>
</cp:coreProperties>
</file>